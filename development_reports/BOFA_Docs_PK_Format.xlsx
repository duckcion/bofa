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1 Plan Check" sheetId="24" state="visible" r:id="rId24"/>
    <sheet xmlns:r="http://schemas.openxmlformats.org/officeDocument/2006/relationships" name="Pokemon Availability" sheetId="25" state="visible" r:id="rId25"/>
    <sheet xmlns:r="http://schemas.openxmlformats.org/officeDocument/2006/relationships" name="Gifts &amp; Trades" sheetId="26" state="visible" r:id="rId26"/>
    <sheet xmlns:r="http://schemas.openxmlformats.org/officeDocument/2006/relationships" name="TM &amp; HM Locations" sheetId="27" state="visible" r:id="rId27"/>
    <sheet xmlns:r="http://schemas.openxmlformats.org/officeDocument/2006/relationships" name="Items" sheetId="28" state="visible" r:id="rId28"/>
    <sheet xmlns:r="http://schemas.openxmlformats.org/officeDocument/2006/relationships" name="Item Locations" sheetId="29" state="visible" r:id="rId29"/>
    <sheet xmlns:r="http://schemas.openxmlformats.org/officeDocument/2006/relationships" name="Balance Issues" sheetId="30" state="visible" r:id="rId30"/>
    <sheet xmlns:r="http://schemas.openxmlformats.org/officeDocument/2006/relationships" name="Change Log" sheetId="31" state="visible" r:id="rId31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4" hidden="1">'Pokemon Availability'!$A$1:$H$225</definedName>
    <definedName name="_xlnm._FilterDatabase" localSheetId="25" hidden="1">'Gifts &amp; Trades'!$A$1:$K$19</definedName>
    <definedName name="_xlnm._FilterDatabase" localSheetId="26" hidden="1">'TM &amp; HM Locations'!$A$1:$G$48</definedName>
    <definedName name="_xlnm._FilterDatabase" localSheetId="27" hidden="1">'Items'!$A$1:$F$589</definedName>
    <definedName name="_xlnm._FilterDatabase" localSheetId="28" hidden="1">'Item Locations'!$A$1:$F$491</definedName>
    <definedName name="_xlnm._FilterDatabase" localSheetId="29" hidden="1">'Balance Issues'!$A$1:$I$3</definedName>
    <definedName name="_xlnm._FilterDatabase" localSheetId="30" hidden="1">'Change Log'!$A$1:$G$6191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1 Plan Check'!A1" TargetMode="External" Id="rId23"/><Relationship Type="http://schemas.openxmlformats.org/officeDocument/2006/relationships/hyperlink" Target="#'Pokemon Availability'!A1" TargetMode="External" Id="rId24"/><Relationship Type="http://schemas.openxmlformats.org/officeDocument/2006/relationships/hyperlink" Target="#'Gifts &amp; Trades'!A1" TargetMode="External" Id="rId25"/><Relationship Type="http://schemas.openxmlformats.org/officeDocument/2006/relationships/hyperlink" Target="#'TM &amp; HM Locations'!A1" TargetMode="External" Id="rId26"/><Relationship Type="http://schemas.openxmlformats.org/officeDocument/2006/relationships/hyperlink" Target="#'Items'!A1" TargetMode="External" Id="rId27"/><Relationship Type="http://schemas.openxmlformats.org/officeDocument/2006/relationships/hyperlink" Target="#'Item Locations'!A1" TargetMode="External" Id="rId28"/><Relationship Type="http://schemas.openxmlformats.org/officeDocument/2006/relationships/hyperlink" Target="#'Balance Issues'!A1" TargetMode="External" Id="rId29"/><Relationship Type="http://schemas.openxmlformats.org/officeDocument/2006/relationships/hyperlink" Target="#'Change Log'!A1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1 Plan Check</t>
        </is>
      </c>
      <c r="C26" s="4" t="inlineStr">
        <is>
          <t>Trainer counts per area and every open decision (read this first)</t>
        </is>
      </c>
    </row>
    <row r="27">
      <c r="B27" s="3" t="inlineStr">
        <is>
          <t>Pokemon Availability</t>
        </is>
      </c>
      <c r="C27" s="4" t="inlineStr"/>
    </row>
    <row r="28">
      <c r="B28" s="3" t="inlineStr">
        <is>
          <t>Gifts &amp; Trades</t>
        </is>
      </c>
      <c r="C28" s="4" t="inlineStr"/>
    </row>
    <row r="29">
      <c r="B29" s="3" t="inlineStr">
        <is>
          <t>TM &amp; HM Locations</t>
        </is>
      </c>
      <c r="C29" s="4" t="inlineStr"/>
    </row>
    <row r="30">
      <c r="B30" s="3" t="inlineStr">
        <is>
          <t>Items</t>
        </is>
      </c>
      <c r="C30" s="4" t="inlineStr">
        <is>
          <t>Every Gen 1-6 item: pocket, price, fling power, description and where to find it</t>
        </is>
      </c>
    </row>
    <row r="31">
      <c r="B31" s="3" t="inlineStr">
        <is>
          <t>Item Locations</t>
        </is>
      </c>
      <c r="C31" s="4" t="inlineStr"/>
    </row>
    <row r="32">
      <c r="B32" s="3" t="inlineStr">
        <is>
          <t>Balance Issues</t>
        </is>
      </c>
      <c r="C32" s="4" t="inlineStr"/>
    </row>
    <row r="33">
      <c r="B33" s="3" t="inlineStr">
        <is>
          <t>Change Log</t>
        </is>
      </c>
      <c r="C33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10" t="inlineStr">
        <is>
          <t>Skill Link</t>
        </is>
      </c>
      <c r="M649" s="6" t="inlineStr">
        <is>
          <t>Technician</t>
        </is>
      </c>
      <c r="N649" s="10" t="inlineStr">
        <is>
          <t>Cute Charm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CINCCINO</t>
        </is>
      </c>
      <c r="B396" s="10" t="inlineStr">
        <is>
          <t>Skill Link</t>
        </is>
      </c>
      <c r="C396" s="6" t="inlineStr">
        <is>
          <t>Technician</t>
        </is>
      </c>
      <c r="D396" s="10" t="inlineStr">
        <is>
          <t>Cute Charm</t>
        </is>
      </c>
      <c r="E396" s="27" t="inlineStr">
        <is>
          <t>Cute Charm / Technician / Skill Link</t>
        </is>
      </c>
    </row>
    <row r="397">
      <c r="A397" s="7" t="inlineStr">
        <is>
          <t>SWANNA</t>
        </is>
      </c>
      <c r="B397" s="6" t="inlineStr">
        <is>
          <t>Keen Eye</t>
        </is>
      </c>
      <c r="C397" s="10" t="inlineStr">
        <is>
          <t>Hydration</t>
        </is>
      </c>
      <c r="D397" s="10" t="inlineStr">
        <is>
          <t>Competitive</t>
        </is>
      </c>
      <c r="E397" s="27" t="inlineStr">
        <is>
          <t>Keen Eye / Big Pecks / Hydration</t>
        </is>
      </c>
    </row>
    <row r="398">
      <c r="A398" s="7" t="inlineStr">
        <is>
          <t>VANILLUXE</t>
        </is>
      </c>
      <c r="B398" s="6" t="inlineStr">
        <is>
          <t>Ice Body</t>
        </is>
      </c>
      <c r="C398" s="10" t="inlineStr">
        <is>
          <t>Ice Body</t>
        </is>
      </c>
      <c r="D398" s="10" t="inlineStr">
        <is>
          <t>Slush Rush</t>
        </is>
      </c>
      <c r="E398" s="27" t="inlineStr">
        <is>
          <t>Ice Body / Snow Warning / Weak Armor</t>
        </is>
      </c>
    </row>
    <row r="399">
      <c r="A399" s="7" t="inlineStr">
        <is>
          <t>EMOLGA</t>
        </is>
      </c>
      <c r="B399" s="6" t="inlineStr">
        <is>
          <t>Static</t>
        </is>
      </c>
      <c r="C399" s="10" t="inlineStr">
        <is>
          <t>Motor Drive</t>
        </is>
      </c>
      <c r="D399" s="10" t="inlineStr">
        <is>
          <t>Lightning Rod</t>
        </is>
      </c>
      <c r="E399" s="27" t="inlineStr">
        <is>
          <t>Static / - / Motor Drive</t>
        </is>
      </c>
    </row>
    <row r="400">
      <c r="A400" s="7" t="inlineStr">
        <is>
          <t>EELEKTROSS</t>
        </is>
      </c>
      <c r="B400" s="6" t="inlineStr">
        <is>
          <t>Levitate</t>
        </is>
      </c>
      <c r="C400" s="10" t="inlineStr">
        <is>
          <t>Levitate</t>
        </is>
      </c>
      <c r="D400" s="10" t="inlineStr">
        <is>
          <t>Levitate</t>
        </is>
      </c>
      <c r="E400" s="27" t="inlineStr">
        <is>
          <t>Levitate / - / -</t>
        </is>
      </c>
    </row>
    <row r="401">
      <c r="A401" s="7" t="inlineStr">
        <is>
          <t>BEHEEYEM</t>
        </is>
      </c>
      <c r="B401" s="6" t="inlineStr">
        <is>
          <t>Telepathy</t>
        </is>
      </c>
      <c r="C401" s="10" t="inlineStr">
        <is>
          <t>Analytic</t>
        </is>
      </c>
      <c r="D401" s="10" t="inlineStr">
        <is>
          <t>Trace</t>
        </is>
      </c>
      <c r="E401" s="27" t="inlineStr">
        <is>
          <t>Telepathy / Synchronize / Analytic</t>
        </is>
      </c>
    </row>
    <row r="402">
      <c r="A402" s="7" t="inlineStr">
        <is>
          <t>CRYOGONAL</t>
        </is>
      </c>
      <c r="B402" s="6" t="inlineStr">
        <is>
          <t>Levitate</t>
        </is>
      </c>
      <c r="C402" s="10" t="inlineStr">
        <is>
          <t>Ice Body</t>
        </is>
      </c>
      <c r="D402" s="10" t="inlineStr">
        <is>
          <t>Levitate</t>
        </is>
      </c>
      <c r="E402" s="27" t="inlineStr">
        <is>
          <t>Levitate / - / -</t>
        </is>
      </c>
    </row>
    <row r="403">
      <c r="A403" s="7" t="inlineStr">
        <is>
          <t>STUNFISK</t>
        </is>
      </c>
      <c r="B403" s="6" t="inlineStr">
        <is>
          <t>Static</t>
        </is>
      </c>
      <c r="C403" s="6" t="inlineStr">
        <is>
          <t>Limber</t>
        </is>
      </c>
      <c r="D403" s="10" t="inlineStr">
        <is>
          <t>Water Absorb</t>
        </is>
      </c>
      <c r="E403" s="27" t="inlineStr">
        <is>
          <t>Static / Limber / Sand Veil</t>
        </is>
      </c>
    </row>
    <row r="404">
      <c r="A404" s="7" t="inlineStr">
        <is>
          <t>CHESNAUGHT</t>
        </is>
      </c>
      <c r="B404" s="6" t="inlineStr">
        <is>
          <t>Overgrow</t>
        </is>
      </c>
      <c r="C404" s="10" t="inlineStr">
        <is>
          <t>Bulletproof</t>
        </is>
      </c>
      <c r="D404" s="10" t="inlineStr">
        <is>
          <t>Iron Barbs</t>
        </is>
      </c>
      <c r="E404" s="27" t="inlineStr">
        <is>
          <t>Overgrow / - / Bulletproof</t>
        </is>
      </c>
    </row>
    <row r="405">
      <c r="A405" s="7" t="inlineStr">
        <is>
          <t>DELPHOX</t>
        </is>
      </c>
      <c r="B405" s="6" t="inlineStr">
        <is>
          <t>Blaze</t>
        </is>
      </c>
      <c r="C405" s="10" t="inlineStr">
        <is>
          <t>Magician</t>
        </is>
      </c>
      <c r="D405" s="10" t="inlineStr">
        <is>
          <t>Magic Guard</t>
        </is>
      </c>
      <c r="E405" s="27" t="inlineStr">
        <is>
          <t>Blaze / - / Magician</t>
        </is>
      </c>
    </row>
    <row r="406">
      <c r="A406" s="7" t="inlineStr">
        <is>
          <t>PYROAR</t>
        </is>
      </c>
      <c r="B406" s="6" t="inlineStr">
        <is>
          <t>Rivalry</t>
        </is>
      </c>
      <c r="C406" s="6" t="inlineStr">
        <is>
          <t>Unnerve</t>
        </is>
      </c>
      <c r="D406" s="10" t="inlineStr">
        <is>
          <t>Competitive</t>
        </is>
      </c>
      <c r="E406" s="27" t="inlineStr">
        <is>
          <t>Rivalry / Unnerve / Moxie</t>
        </is>
      </c>
    </row>
    <row r="407">
      <c r="A407" s="7" t="inlineStr">
        <is>
          <t>GOGOAT</t>
        </is>
      </c>
      <c r="B407" s="6" t="inlineStr">
        <is>
          <t>Sap Sipper</t>
        </is>
      </c>
      <c r="C407" s="10" t="inlineStr">
        <is>
          <t>Grass Pelt</t>
        </is>
      </c>
      <c r="D407" s="10" t="inlineStr">
        <is>
          <t>Regenerator</t>
        </is>
      </c>
      <c r="E407" s="27" t="inlineStr">
        <is>
          <t>Sap Sipper / - / Grass Pelt</t>
        </is>
      </c>
    </row>
    <row r="408">
      <c r="A408" s="7" t="inlineStr">
        <is>
          <t>AROMATISSE</t>
        </is>
      </c>
      <c r="B408" s="6" t="inlineStr">
        <is>
          <t>Healer</t>
        </is>
      </c>
      <c r="C408" s="10" t="inlineStr">
        <is>
          <t>Aroma Veil</t>
        </is>
      </c>
      <c r="D408" s="10" t="inlineStr">
        <is>
          <t>Regenerator</t>
        </is>
      </c>
      <c r="E408" s="27" t="inlineStr">
        <is>
          <t>Healer / - / Aroma Veil</t>
        </is>
      </c>
    </row>
    <row r="409">
      <c r="A409" s="7" t="inlineStr">
        <is>
          <t>SLURPUFF</t>
        </is>
      </c>
      <c r="B409" s="6" t="inlineStr">
        <is>
          <t>Sweet Veil</t>
        </is>
      </c>
      <c r="C409" s="10" t="inlineStr">
        <is>
          <t>Unburden</t>
        </is>
      </c>
      <c r="D409" s="10" t="inlineStr">
        <is>
          <t>Aroma Veil</t>
        </is>
      </c>
      <c r="E409" s="27" t="inlineStr">
        <is>
          <t>Sweet Veil / - / Unburden</t>
        </is>
      </c>
    </row>
    <row r="410">
      <c r="A410" s="7" t="inlineStr">
        <is>
          <t>CLAWITZER</t>
        </is>
      </c>
      <c r="B410" s="6" t="inlineStr">
        <is>
          <t>Mega Launcher</t>
        </is>
      </c>
      <c r="C410" s="10" t="inlineStr">
        <is>
          <t>Mega Launcher</t>
        </is>
      </c>
      <c r="D410" s="10" t="inlineStr">
        <is>
          <t>Mega Launcher</t>
        </is>
      </c>
      <c r="E410" s="27" t="inlineStr">
        <is>
          <t>Mega Launcher / - / -</t>
        </is>
      </c>
    </row>
    <row r="411">
      <c r="A411" s="7" t="inlineStr">
        <is>
          <t>TYRANTRUM</t>
        </is>
      </c>
      <c r="B411" s="6" t="inlineStr">
        <is>
          <t>Strong Jaw</t>
        </is>
      </c>
      <c r="C411" s="10" t="inlineStr">
        <is>
          <t>Rock Head</t>
        </is>
      </c>
      <c r="D411" s="10" t="inlineStr">
        <is>
          <t>Intimidate</t>
        </is>
      </c>
      <c r="E411" s="27" t="inlineStr">
        <is>
          <t>Strong Jaw / - / Rock Head</t>
        </is>
      </c>
    </row>
    <row r="412">
      <c r="A412" s="7" t="inlineStr">
        <is>
          <t>AMAURA</t>
        </is>
      </c>
      <c r="B412" s="6" t="inlineStr">
        <is>
          <t>Refrigerate</t>
        </is>
      </c>
      <c r="C412" s="6" t="inlineStr">
        <is>
          <t>-</t>
        </is>
      </c>
      <c r="D412" s="10" t="inlineStr">
        <is>
          <t>Thick Fat</t>
        </is>
      </c>
      <c r="E412" s="27" t="inlineStr">
        <is>
          <t>Refrigerate / - / Snow Warning</t>
        </is>
      </c>
    </row>
    <row r="413">
      <c r="A413" s="7" t="inlineStr">
        <is>
          <t>AURORUS</t>
        </is>
      </c>
      <c r="B413" s="6" t="inlineStr">
        <is>
          <t>Refrigerate</t>
        </is>
      </c>
      <c r="C413" s="10" t="inlineStr">
        <is>
          <t>Refrigerate</t>
        </is>
      </c>
      <c r="D413" s="10" t="inlineStr">
        <is>
          <t>Filter</t>
        </is>
      </c>
      <c r="E413" s="27" t="inlineStr">
        <is>
          <t>Refrigerate / - / Snow Warning</t>
        </is>
      </c>
    </row>
    <row r="414">
      <c r="A414" s="7" t="inlineStr">
        <is>
          <t>DEDENNE</t>
        </is>
      </c>
      <c r="B414" s="6" t="inlineStr">
        <is>
          <t>Cheek Pouch</t>
        </is>
      </c>
      <c r="C414" s="6" t="inlineStr">
        <is>
          <t>Pickup</t>
        </is>
      </c>
      <c r="D414" s="10" t="inlineStr">
        <is>
          <t>Pixilate</t>
        </is>
      </c>
      <c r="E414" s="27" t="inlineStr">
        <is>
          <t>Cheek Pouch / Pickup / Plus</t>
        </is>
      </c>
    </row>
    <row r="415">
      <c r="A415" s="7" t="inlineStr">
        <is>
          <t>CARBINK</t>
        </is>
      </c>
      <c r="B415" s="6" t="inlineStr">
        <is>
          <t>Clear Body</t>
        </is>
      </c>
      <c r="C415" s="10" t="inlineStr">
        <is>
          <t>Sturdy</t>
        </is>
      </c>
      <c r="D415" s="10" t="inlineStr">
        <is>
          <t>Magic Bounce</t>
        </is>
      </c>
      <c r="E415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7" t="inlineStr">
        <is>
          <t>QUILAVA</t>
        </is>
      </c>
      <c r="B88" s="6" t="inlineStr">
        <is>
          <t>Level Up</t>
        </is>
      </c>
      <c r="C88" s="6" t="n">
        <v>36</v>
      </c>
      <c r="D88" s="6" t="inlineStr">
        <is>
          <t>TYPHLOSION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7" t="inlineStr">
        <is>
          <t>CROCONAW</t>
        </is>
      </c>
      <c r="B90" s="6" t="inlineStr">
        <is>
          <t>Level Up</t>
        </is>
      </c>
      <c r="C90" s="6" t="n">
        <v>30</v>
      </c>
      <c r="D90" s="6" t="inlineStr">
        <is>
          <t>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18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28" t="inlineStr">
        <is>
          <t>PATRAT</t>
        </is>
      </c>
      <c r="B245" s="29" t="inlineStr">
        <is>
          <t>Level Up</t>
        </is>
      </c>
      <c r="C245" s="29" t="n">
        <v>17</v>
      </c>
      <c r="D245" s="29" t="inlineStr">
        <is>
          <t>WATCHOG</t>
        </is>
      </c>
      <c r="AF245" s="27" t="inlineStr">
        <is>
          <t>Lv 20 -&gt; 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28" t="inlineStr">
        <is>
          <t>ROGGENROLA</t>
        </is>
      </c>
      <c r="B256" s="29" t="inlineStr">
        <is>
          <t>Level Up</t>
        </is>
      </c>
      <c r="C256" s="29" t="n">
        <v>22</v>
      </c>
      <c r="D256" s="29" t="inlineStr">
        <is>
          <t>BOLDORE</t>
        </is>
      </c>
      <c r="AF256" s="27" t="inlineStr">
        <is>
          <t>Lv 25 -&gt; 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22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28" t="inlineStr">
        <is>
          <t>SEWADDLE</t>
        </is>
      </c>
      <c r="B264" s="29" t="inlineStr">
        <is>
          <t>Level Up</t>
        </is>
      </c>
      <c r="C264" s="29" t="n">
        <v>16</v>
      </c>
      <c r="D264" s="29" t="inlineStr">
        <is>
          <t>SWADLOON</t>
        </is>
      </c>
      <c r="AF264" s="27" t="inlineStr">
        <is>
          <t>Lv 20 -&gt; 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23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28" t="inlineStr">
        <is>
          <t>DEERLING (AUTUMN)</t>
        </is>
      </c>
      <c r="B288" s="29" t="inlineStr">
        <is>
          <t>Level Up</t>
        </is>
      </c>
      <c r="C288" s="29" t="n">
        <v>28</v>
      </c>
      <c r="D288" s="29" t="inlineStr">
        <is>
          <t>SAWSBUCK AUTUMN</t>
        </is>
      </c>
      <c r="AF288" s="27" t="inlineStr">
        <is>
          <t>Lv 34 -&gt; Sawsbuck Autumn</t>
        </is>
      </c>
    </row>
    <row r="289">
      <c r="A289" s="28" t="inlineStr">
        <is>
          <t>DEERLING (SPRING)</t>
        </is>
      </c>
      <c r="B289" s="29" t="inlineStr">
        <is>
          <t>Level Up</t>
        </is>
      </c>
      <c r="C289" s="29" t="n">
        <v>28</v>
      </c>
      <c r="D289" s="29" t="inlineStr">
        <is>
          <t>SAWSBUCK SPRING</t>
        </is>
      </c>
      <c r="AF289" s="27" t="inlineStr">
        <is>
          <t>Lv 34 -&gt; Sawsbuck Spring</t>
        </is>
      </c>
    </row>
    <row r="290">
      <c r="A290" s="28" t="inlineStr">
        <is>
          <t>DEERLING (SUMMER)</t>
        </is>
      </c>
      <c r="B290" s="29" t="inlineStr">
        <is>
          <t>Level Up</t>
        </is>
      </c>
      <c r="C290" s="29" t="n">
        <v>28</v>
      </c>
      <c r="D290" s="29" t="inlineStr">
        <is>
          <t>SAWSBUCK SUMMER</t>
        </is>
      </c>
      <c r="AF290" s="27" t="inlineStr">
        <is>
          <t>Lv 34 -&gt; Sawsbuck Summer</t>
        </is>
      </c>
    </row>
    <row r="291">
      <c r="A291" s="28" t="inlineStr">
        <is>
          <t>DEERLING (WINTER)</t>
        </is>
      </c>
      <c r="B291" s="29" t="inlineStr">
        <is>
          <t>Level Up</t>
        </is>
      </c>
      <c r="C291" s="29" t="n">
        <v>28</v>
      </c>
      <c r="D291" s="29" t="inlineStr">
        <is>
          <t>SAWSBUCK WINTER</t>
        </is>
      </c>
      <c r="AF291" s="27" t="inlineStr">
        <is>
          <t>Lv 34 -&gt; 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34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28" t="inlineStr">
        <is>
          <t>SKIDDO</t>
        </is>
      </c>
      <c r="B327" s="29" t="inlineStr">
        <is>
          <t>Level Up</t>
        </is>
      </c>
      <c r="C327" s="29" t="n">
        <v>28</v>
      </c>
      <c r="D327" s="29" t="inlineStr">
        <is>
          <t>GOGOAT</t>
        </is>
      </c>
      <c r="AF327" s="27" t="inlineStr">
        <is>
          <t>Lv 32 -&gt; Gogoat</t>
        </is>
      </c>
    </row>
    <row r="328">
      <c r="A328" s="7" t="inlineStr">
        <is>
          <t>PANCHAM</t>
        </is>
      </c>
      <c r="B328" s="6" t="inlineStr">
        <is>
          <t>Level Dark Type Mon In Party 32</t>
        </is>
      </c>
      <c r="C328" s="6" t="n"/>
      <c r="D328" s="6" t="inlineStr">
        <is>
          <t>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28" t="inlineStr">
        <is>
          <t>BINACLE</t>
        </is>
      </c>
      <c r="B335" s="29" t="inlineStr">
        <is>
          <t>Level Up</t>
        </is>
      </c>
      <c r="C335" s="29" t="n">
        <v>33</v>
      </c>
      <c r="D335" s="29" t="inlineStr">
        <is>
          <t>BARBARACLE</t>
        </is>
      </c>
      <c r="AF335" s="27" t="inlineStr">
        <is>
          <t>Lv 39 -&gt; 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Vine Whip</t>
        </is>
      </c>
      <c r="G499" s="30" t="n">
        <v>5</v>
      </c>
      <c r="H499" s="6" t="inlineStr">
        <is>
          <t>Wrap</t>
        </is>
      </c>
      <c r="I499" s="30" t="n">
        <v>8</v>
      </c>
      <c r="J499" s="6" t="inlineStr">
        <is>
          <t>Growth</t>
        </is>
      </c>
      <c r="K499" s="30" t="n">
        <v>11</v>
      </c>
      <c r="L499" s="6" t="inlineStr">
        <is>
          <t>Leech Seed</t>
        </is>
      </c>
      <c r="M499" s="30" t="n">
        <v>14</v>
      </c>
      <c r="N499" s="6" t="inlineStr">
        <is>
          <t>Magical Leaf</t>
        </is>
      </c>
      <c r="O499" s="30" t="n">
        <v>17</v>
      </c>
      <c r="P499" s="6" t="inlineStr">
        <is>
          <t>Glare</t>
        </is>
      </c>
      <c r="Q499" s="30" t="n">
        <v>20</v>
      </c>
      <c r="R499" s="6" t="inlineStr">
        <is>
          <t>Mega Drain</t>
        </is>
      </c>
      <c r="S499" s="30" t="n">
        <v>23</v>
      </c>
      <c r="T499" s="6" t="inlineStr">
        <is>
          <t>Coil</t>
        </is>
      </c>
      <c r="U499" s="30" t="n">
        <v>26</v>
      </c>
      <c r="V499" s="6" t="inlineStr">
        <is>
          <t>Giga Drain</t>
        </is>
      </c>
      <c r="W499" s="30" t="n">
        <v>29</v>
      </c>
      <c r="X499" s="6" t="inlineStr">
        <is>
          <t>Leaf Blade</t>
        </is>
      </c>
      <c r="Y499" s="30" t="n">
        <v>32</v>
      </c>
      <c r="Z499" s="6" t="inlineStr">
        <is>
          <t>Leaf Storm</t>
        </is>
      </c>
      <c r="AA499" s="30" t="n">
        <v>36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Vine Whip</t>
        </is>
      </c>
      <c r="G500" s="30" t="n">
        <v>5</v>
      </c>
      <c r="H500" s="6" t="inlineStr">
        <is>
          <t>Wrap</t>
        </is>
      </c>
      <c r="I500" s="30" t="n">
        <v>8</v>
      </c>
      <c r="J500" s="6" t="inlineStr">
        <is>
          <t>Growth</t>
        </is>
      </c>
      <c r="K500" s="30" t="n">
        <v>11</v>
      </c>
      <c r="L500" s="6" t="inlineStr">
        <is>
          <t>Leech Seed</t>
        </is>
      </c>
      <c r="M500" s="30" t="n">
        <v>14</v>
      </c>
      <c r="N500" s="6" t="inlineStr">
        <is>
          <t>Magical Leaf</t>
        </is>
      </c>
      <c r="O500" s="30" t="n">
        <v>17</v>
      </c>
      <c r="P500" s="6" t="inlineStr">
        <is>
          <t>Glare</t>
        </is>
      </c>
      <c r="Q500" s="30" t="n">
        <v>20</v>
      </c>
      <c r="R500" s="6" t="inlineStr">
        <is>
          <t>Mega Drain</t>
        </is>
      </c>
      <c r="S500" s="30" t="n">
        <v>23</v>
      </c>
      <c r="T500" s="6" t="inlineStr">
        <is>
          <t>Coil</t>
        </is>
      </c>
      <c r="U500" s="30" t="n">
        <v>26</v>
      </c>
      <c r="V500" s="6" t="inlineStr">
        <is>
          <t>Giga Drain</t>
        </is>
      </c>
      <c r="W500" s="30" t="n">
        <v>29</v>
      </c>
      <c r="X500" s="6" t="inlineStr">
        <is>
          <t>Leaf Blade</t>
        </is>
      </c>
      <c r="Y500" s="30" t="n">
        <v>32</v>
      </c>
      <c r="Z500" s="6" t="inlineStr">
        <is>
          <t>Leaf Storm</t>
        </is>
      </c>
      <c r="AA500" s="30" t="n">
        <v>36</v>
      </c>
      <c r="AR500" s="31" t="n"/>
    </row>
    <row r="501">
      <c r="A501" s="7" t="inlineStr">
        <is>
          <t>SERPERIOR</t>
        </is>
      </c>
      <c r="B501" s="6" t="inlineStr">
        <is>
          <t>Dragon Tail</t>
        </is>
      </c>
      <c r="C501" s="30" t="inlineStr">
        <is>
          <t>Evo</t>
        </is>
      </c>
      <c r="D501" s="6" t="inlineStr">
        <is>
          <t>Tackle</t>
        </is>
      </c>
      <c r="E501" s="30" t="n">
        <v>1</v>
      </c>
      <c r="F501" s="6" t="inlineStr">
        <is>
          <t>Leer</t>
        </is>
      </c>
      <c r="G501" s="30" t="n">
        <v>1</v>
      </c>
      <c r="H501" s="6" t="inlineStr">
        <is>
          <t>Vine Whip</t>
        </is>
      </c>
      <c r="I501" s="30" t="n">
        <v>5</v>
      </c>
      <c r="J501" s="6" t="inlineStr">
        <is>
          <t>Wrap</t>
        </is>
      </c>
      <c r="K501" s="30" t="n">
        <v>8</v>
      </c>
      <c r="L501" s="6" t="inlineStr">
        <is>
          <t>Growth</t>
        </is>
      </c>
      <c r="M501" s="30" t="n">
        <v>11</v>
      </c>
      <c r="N501" s="6" t="inlineStr">
        <is>
          <t>Leech Seed</t>
        </is>
      </c>
      <c r="O501" s="30" t="n">
        <v>14</v>
      </c>
      <c r="P501" s="6" t="inlineStr">
        <is>
          <t>Magical Leaf</t>
        </is>
      </c>
      <c r="Q501" s="30" t="n">
        <v>17</v>
      </c>
      <c r="R501" s="6" t="inlineStr">
        <is>
          <t>Glare</t>
        </is>
      </c>
      <c r="S501" s="30" t="n">
        <v>20</v>
      </c>
      <c r="T501" s="6" t="inlineStr">
        <is>
          <t>Mega Drain</t>
        </is>
      </c>
      <c r="U501" s="30" t="n">
        <v>23</v>
      </c>
      <c r="V501" s="6" t="inlineStr">
        <is>
          <t>Coil</t>
        </is>
      </c>
      <c r="W501" s="30" t="n">
        <v>26</v>
      </c>
      <c r="X501" s="6" t="inlineStr">
        <is>
          <t>Giga Drain</t>
        </is>
      </c>
      <c r="Y501" s="30" t="n">
        <v>29</v>
      </c>
      <c r="Z501" s="6" t="inlineStr">
        <is>
          <t>Leaf Blade</t>
        </is>
      </c>
      <c r="AA501" s="30" t="n">
        <v>32</v>
      </c>
      <c r="AB501" s="6" t="inlineStr">
        <is>
          <t>Leaf Storm</t>
        </is>
      </c>
      <c r="AC501" s="30" t="n">
        <v>36</v>
      </c>
      <c r="AD501" s="6" t="inlineStr">
        <is>
          <t>Synthesis</t>
        </is>
      </c>
      <c r="AE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11</v>
      </c>
      <c r="L502" s="6" t="inlineStr">
        <is>
          <t>Defense Curl</t>
        </is>
      </c>
      <c r="M502" s="30" t="n">
        <v>14</v>
      </c>
      <c r="N502" s="6" t="inlineStr">
        <is>
          <t>Arm Thrust</t>
        </is>
      </c>
      <c r="O502" s="30" t="n">
        <v>17</v>
      </c>
      <c r="P502" s="6" t="inlineStr">
        <is>
          <t>Fire Fang</t>
        </is>
      </c>
      <c r="Q502" s="30" t="n">
        <v>20</v>
      </c>
      <c r="R502" s="6" t="inlineStr">
        <is>
          <t>Rollout</t>
        </is>
      </c>
      <c r="S502" s="30" t="n">
        <v>23</v>
      </c>
      <c r="T502" s="6" t="inlineStr">
        <is>
          <t>Take Down</t>
        </is>
      </c>
      <c r="U502" s="30" t="n">
        <v>26</v>
      </c>
      <c r="V502" s="6" t="inlineStr">
        <is>
          <t>Heat Crash</t>
        </is>
      </c>
      <c r="W502" s="30" t="n">
        <v>29</v>
      </c>
      <c r="X502" s="6" t="inlineStr">
        <is>
          <t>Assurance</t>
        </is>
      </c>
      <c r="Y502" s="30" t="n">
        <v>32</v>
      </c>
      <c r="Z502" s="6" t="inlineStr">
        <is>
          <t>Flamethrower</t>
        </is>
      </c>
      <c r="AA502" s="30" t="n">
        <v>35</v>
      </c>
      <c r="AB502" s="6" t="inlineStr">
        <is>
          <t>Head Smash</t>
        </is>
      </c>
      <c r="AC502" s="30" t="n">
        <v>38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11</v>
      </c>
      <c r="L503" s="6" t="inlineStr">
        <is>
          <t>Defense Curl</t>
        </is>
      </c>
      <c r="M503" s="30" t="n">
        <v>14</v>
      </c>
      <c r="N503" s="6" t="inlineStr">
        <is>
          <t>Arm Thrust</t>
        </is>
      </c>
      <c r="O503" s="30" t="n">
        <v>17</v>
      </c>
      <c r="P503" s="6" t="inlineStr">
        <is>
          <t>Fire Fang</t>
        </is>
      </c>
      <c r="Q503" s="30" t="n">
        <v>20</v>
      </c>
      <c r="R503" s="6" t="inlineStr">
        <is>
          <t>Rollout</t>
        </is>
      </c>
      <c r="S503" s="30" t="n">
        <v>23</v>
      </c>
      <c r="T503" s="6" t="inlineStr">
        <is>
          <t>Take Down</t>
        </is>
      </c>
      <c r="U503" s="30" t="n">
        <v>26</v>
      </c>
      <c r="V503" s="6" t="inlineStr">
        <is>
          <t>Heat Crash</t>
        </is>
      </c>
      <c r="W503" s="30" t="n">
        <v>29</v>
      </c>
      <c r="X503" s="6" t="inlineStr">
        <is>
          <t>Assurance</t>
        </is>
      </c>
      <c r="Y503" s="30" t="n">
        <v>32</v>
      </c>
      <c r="Z503" s="6" t="inlineStr">
        <is>
          <t>Drain Punch</t>
        </is>
      </c>
      <c r="AA503" s="30" t="n">
        <v>34</v>
      </c>
      <c r="AB503" s="6" t="inlineStr">
        <is>
          <t>Flamethrower</t>
        </is>
      </c>
      <c r="AC503" s="30" t="n">
        <v>35</v>
      </c>
      <c r="AD503" s="6" t="inlineStr">
        <is>
          <t>Head Smash</t>
        </is>
      </c>
      <c r="AE503" s="30" t="n">
        <v>38</v>
      </c>
      <c r="AF503" s="6" t="inlineStr">
        <is>
          <t>Flare Blitz</t>
        </is>
      </c>
      <c r="AG503" s="30" t="n">
        <v>41</v>
      </c>
      <c r="AR503" s="31" t="n"/>
    </row>
    <row r="504">
      <c r="A504" s="7" t="inlineStr">
        <is>
          <t>EMBOAR</t>
        </is>
      </c>
      <c r="B504" s="6" t="inlineStr">
        <is>
          <t>Hammer Arm</t>
        </is>
      </c>
      <c r="C504" s="30" t="inlineStr">
        <is>
          <t>Evo</t>
        </is>
      </c>
      <c r="D504" s="6" t="inlineStr">
        <is>
          <t>Tackle</t>
        </is>
      </c>
      <c r="E504" s="30" t="n">
        <v>1</v>
      </c>
      <c r="F504" s="6" t="inlineStr">
        <is>
          <t>Growl</t>
        </is>
      </c>
      <c r="G504" s="30" t="n">
        <v>1</v>
      </c>
      <c r="H504" s="6" t="inlineStr">
        <is>
          <t>Ember</t>
        </is>
      </c>
      <c r="I504" s="30" t="n">
        <v>5</v>
      </c>
      <c r="J504" s="6" t="inlineStr">
        <is>
          <t>Quick Attack</t>
        </is>
      </c>
      <c r="K504" s="30" t="n">
        <v>8</v>
      </c>
      <c r="L504" s="6" t="inlineStr">
        <is>
          <t>Flame Charge</t>
        </is>
      </c>
      <c r="M504" s="30" t="n">
        <v>11</v>
      </c>
      <c r="N504" s="6" t="inlineStr">
        <is>
          <t>Defense Curl</t>
        </is>
      </c>
      <c r="O504" s="30" t="n">
        <v>14</v>
      </c>
      <c r="P504" s="6" t="inlineStr">
        <is>
          <t>Arm Thrust</t>
        </is>
      </c>
      <c r="Q504" s="30" t="n">
        <v>17</v>
      </c>
      <c r="R504" s="6" t="inlineStr">
        <is>
          <t>Fire Fang</t>
        </is>
      </c>
      <c r="S504" s="30" t="n">
        <v>20</v>
      </c>
      <c r="T504" s="6" t="inlineStr">
        <is>
          <t>Rollout</t>
        </is>
      </c>
      <c r="U504" s="30" t="n">
        <v>23</v>
      </c>
      <c r="V504" s="6" t="inlineStr">
        <is>
          <t>Take Down</t>
        </is>
      </c>
      <c r="W504" s="30" t="n">
        <v>26</v>
      </c>
      <c r="X504" s="6" t="inlineStr">
        <is>
          <t>Heat Crash</t>
        </is>
      </c>
      <c r="Y504" s="30" t="n">
        <v>29</v>
      </c>
      <c r="Z504" s="6" t="inlineStr">
        <is>
          <t>Assurance</t>
        </is>
      </c>
      <c r="AA504" s="30" t="n">
        <v>32</v>
      </c>
      <c r="AB504" s="6" t="inlineStr">
        <is>
          <t>Drain Punch</t>
        </is>
      </c>
      <c r="AC504" s="30" t="n">
        <v>34</v>
      </c>
      <c r="AD504" s="6" t="inlineStr">
        <is>
          <t>Flamethrower</t>
        </is>
      </c>
      <c r="AE504" s="30" t="n">
        <v>35</v>
      </c>
      <c r="AF504" s="6" t="inlineStr">
        <is>
          <t>Head Smash</t>
        </is>
      </c>
      <c r="AG504" s="30" t="n">
        <v>38</v>
      </c>
      <c r="AH504" s="6" t="inlineStr">
        <is>
          <t>Flare Blitz</t>
        </is>
      </c>
      <c r="AI504" s="30" t="n">
        <v>40</v>
      </c>
      <c r="AJ504" s="6" t="inlineStr">
        <is>
          <t>Close Combat</t>
        </is>
      </c>
      <c r="AK504" s="30" t="n">
        <v>44</v>
      </c>
      <c r="AL504" s="6" t="inlineStr">
        <is>
          <t>Overheat</t>
        </is>
      </c>
      <c r="AM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Fury Cutter</t>
        </is>
      </c>
      <c r="K505" s="30" t="n">
        <v>11</v>
      </c>
      <c r="L505" s="6" t="inlineStr">
        <is>
          <t>Water Pulse</t>
        </is>
      </c>
      <c r="M505" s="30" t="n">
        <v>14</v>
      </c>
      <c r="N505" s="6" t="inlineStr">
        <is>
          <t>Focus Energy</t>
        </is>
      </c>
      <c r="O505" s="30" t="n">
        <v>17</v>
      </c>
      <c r="P505" s="6" t="inlineStr">
        <is>
          <t>Razor Shell</t>
        </is>
      </c>
      <c r="Q505" s="30" t="n">
        <v>20</v>
      </c>
      <c r="R505" s="6" t="inlineStr">
        <is>
          <t>Revenge</t>
        </is>
      </c>
      <c r="S505" s="30" t="n">
        <v>23</v>
      </c>
      <c r="T505" s="6" t="inlineStr">
        <is>
          <t>Aqua Tail</t>
        </is>
      </c>
      <c r="U505" s="30" t="n">
        <v>26</v>
      </c>
      <c r="V505" s="6" t="inlineStr">
        <is>
          <t>Encore</t>
        </is>
      </c>
      <c r="W505" s="30" t="n">
        <v>29</v>
      </c>
      <c r="X505" s="6" t="inlineStr">
        <is>
          <t>Slash</t>
        </is>
      </c>
      <c r="Y505" s="30" t="n">
        <v>32</v>
      </c>
      <c r="Z505" s="6" t="inlineStr">
        <is>
          <t>Hydro Pump</t>
        </is>
      </c>
      <c r="AA505" s="30" t="n">
        <v>35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Fury Cutter</t>
        </is>
      </c>
      <c r="K506" s="30" t="n">
        <v>11</v>
      </c>
      <c r="L506" s="6" t="inlineStr">
        <is>
          <t>Water Pulse</t>
        </is>
      </c>
      <c r="M506" s="30" t="n">
        <v>14</v>
      </c>
      <c r="N506" s="6" t="inlineStr">
        <is>
          <t>Focus Energy</t>
        </is>
      </c>
      <c r="O506" s="30" t="n">
        <v>17</v>
      </c>
      <c r="P506" s="6" t="inlineStr">
        <is>
          <t>Razor Shell</t>
        </is>
      </c>
      <c r="Q506" s="30" t="n">
        <v>20</v>
      </c>
      <c r="R506" s="6" t="inlineStr">
        <is>
          <t>Revenge</t>
        </is>
      </c>
      <c r="S506" s="30" t="n">
        <v>23</v>
      </c>
      <c r="T506" s="6" t="inlineStr">
        <is>
          <t>Aqua Tail</t>
        </is>
      </c>
      <c r="U506" s="30" t="n">
        <v>26</v>
      </c>
      <c r="V506" s="6" t="inlineStr">
        <is>
          <t>Encore</t>
        </is>
      </c>
      <c r="W506" s="30" t="n">
        <v>29</v>
      </c>
      <c r="X506" s="6" t="inlineStr">
        <is>
          <t>Slash</t>
        </is>
      </c>
      <c r="Y506" s="30" t="n">
        <v>32</v>
      </c>
      <c r="Z506" s="6" t="inlineStr">
        <is>
          <t>Sacred Sword</t>
        </is>
      </c>
      <c r="AA506" s="30" t="n">
        <v>34</v>
      </c>
      <c r="AB506" s="6" t="inlineStr">
        <is>
          <t>Hydro Pump</t>
        </is>
      </c>
      <c r="AC506" s="30" t="n">
        <v>35</v>
      </c>
      <c r="AD506" s="6" t="inlineStr">
        <is>
          <t>Swords Dance</t>
        </is>
      </c>
      <c r="AE506" s="30" t="n">
        <v>38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Aqua Jet</t>
        </is>
      </c>
      <c r="I507" s="30" t="n">
        <v>8</v>
      </c>
      <c r="J507" s="6" t="inlineStr">
        <is>
          <t>Fury Cutter</t>
        </is>
      </c>
      <c r="K507" s="30" t="n">
        <v>11</v>
      </c>
      <c r="L507" s="6" t="inlineStr">
        <is>
          <t>Water Pulse</t>
        </is>
      </c>
      <c r="M507" s="30" t="n">
        <v>14</v>
      </c>
      <c r="N507" s="6" t="inlineStr">
        <is>
          <t>Focus Energy</t>
        </is>
      </c>
      <c r="O507" s="30" t="n">
        <v>17</v>
      </c>
      <c r="P507" s="6" t="inlineStr">
        <is>
          <t>Razor Shell</t>
        </is>
      </c>
      <c r="Q507" s="30" t="n">
        <v>20</v>
      </c>
      <c r="R507" s="6" t="inlineStr">
        <is>
          <t>Revenge</t>
        </is>
      </c>
      <c r="S507" s="30" t="n">
        <v>23</v>
      </c>
      <c r="T507" s="6" t="inlineStr">
        <is>
          <t>Aqua Tail</t>
        </is>
      </c>
      <c r="U507" s="30" t="n">
        <v>26</v>
      </c>
      <c r="V507" s="6" t="inlineStr">
        <is>
          <t>Encore</t>
        </is>
      </c>
      <c r="W507" s="30" t="n">
        <v>29</v>
      </c>
      <c r="X507" s="6" t="inlineStr">
        <is>
          <t>Slash</t>
        </is>
      </c>
      <c r="Y507" s="30" t="n">
        <v>32</v>
      </c>
      <c r="Z507" s="6" t="inlineStr">
        <is>
          <t>Sacred Sword</t>
        </is>
      </c>
      <c r="AA507" s="30" t="n">
        <v>34</v>
      </c>
      <c r="AB507" s="6" t="inlineStr">
        <is>
          <t>Hydro Pump</t>
        </is>
      </c>
      <c r="AC507" s="30" t="n">
        <v>35</v>
      </c>
      <c r="AD507" s="6" t="inlineStr">
        <is>
          <t>Swords Dance</t>
        </is>
      </c>
      <c r="AE507" s="30" t="n">
        <v>38</v>
      </c>
      <c r="AF507" s="6" t="inlineStr">
        <is>
          <t>Megahorn</t>
        </is>
      </c>
      <c r="AG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Leer</t>
        </is>
      </c>
      <c r="E508" s="30" t="n">
        <v>1</v>
      </c>
      <c r="F508" s="6" t="inlineStr">
        <is>
          <t>Quick Attack</t>
        </is>
      </c>
      <c r="G508" s="30" t="n">
        <v>4</v>
      </c>
      <c r="H508" s="6" t="inlineStr">
        <is>
          <t>Bite</t>
        </is>
      </c>
      <c r="I508" s="30" t="n">
        <v>7</v>
      </c>
      <c r="J508" s="6" t="inlineStr">
        <is>
          <t>Hypnosis</t>
        </is>
      </c>
      <c r="K508" s="30" t="n">
        <v>10</v>
      </c>
      <c r="L508" s="6" t="inlineStr">
        <is>
          <t>Headbutt</t>
        </is>
      </c>
      <c r="M508" s="30" t="n">
        <v>13</v>
      </c>
      <c r="N508" s="6" t="inlineStr">
        <is>
          <t>Work Up</t>
        </is>
      </c>
      <c r="O508" s="30" t="n">
        <v>16</v>
      </c>
      <c r="P508" s="6" t="inlineStr">
        <is>
          <t>Super Fang</t>
        </is>
      </c>
      <c r="Q508" s="30" t="n">
        <v>19</v>
      </c>
      <c r="R508" s="6" t="inlineStr">
        <is>
          <t>Crunch</t>
        </is>
      </c>
      <c r="S508" s="30" t="n">
        <v>22</v>
      </c>
      <c r="T508" s="6" t="inlineStr">
        <is>
          <t>Detect</t>
        </is>
      </c>
      <c r="U508" s="30" t="n">
        <v>25</v>
      </c>
      <c r="V508" s="6" t="inlineStr">
        <is>
          <t>Hyper Fang</t>
        </is>
      </c>
      <c r="W508" s="30" t="n">
        <v>28</v>
      </c>
      <c r="X508" s="6" t="inlineStr">
        <is>
          <t>Sucker Punch</t>
        </is>
      </c>
      <c r="Y508" s="30" t="n">
        <v>31</v>
      </c>
      <c r="AR508" s="31" t="n"/>
    </row>
    <row r="509">
      <c r="A509" s="7" t="inlineStr">
        <is>
          <t>WATCHOG</t>
        </is>
      </c>
      <c r="B509" s="6" t="inlineStr">
        <is>
          <t>Confuse Ray</t>
        </is>
      </c>
      <c r="C509" s="30" t="inlineStr">
        <is>
          <t>Evo</t>
        </is>
      </c>
      <c r="D509" s="6" t="inlineStr">
        <is>
          <t>Tackle</t>
        </is>
      </c>
      <c r="E509" s="30" t="n">
        <v>1</v>
      </c>
      <c r="F509" s="6" t="inlineStr">
        <is>
          <t>Leer</t>
        </is>
      </c>
      <c r="G509" s="30" t="n">
        <v>1</v>
      </c>
      <c r="H509" s="6" t="inlineStr">
        <is>
          <t>Quick Attack</t>
        </is>
      </c>
      <c r="I509" s="30" t="n">
        <v>4</v>
      </c>
      <c r="J509" s="6" t="inlineStr">
        <is>
          <t>Bite</t>
        </is>
      </c>
      <c r="K509" s="30" t="n">
        <v>7</v>
      </c>
      <c r="L509" s="6" t="inlineStr">
        <is>
          <t>Hypnosis</t>
        </is>
      </c>
      <c r="M509" s="30" t="n">
        <v>10</v>
      </c>
      <c r="N509" s="6" t="inlineStr">
        <is>
          <t>Headbutt</t>
        </is>
      </c>
      <c r="O509" s="30" t="n">
        <v>13</v>
      </c>
      <c r="P509" s="6" t="inlineStr">
        <is>
          <t>Work Up</t>
        </is>
      </c>
      <c r="Q509" s="30" t="n">
        <v>16</v>
      </c>
      <c r="R509" s="6" t="inlineStr">
        <is>
          <t>Super Fang</t>
        </is>
      </c>
      <c r="S509" s="30" t="n">
        <v>20</v>
      </c>
      <c r="T509" s="6" t="inlineStr">
        <is>
          <t>Crunch</t>
        </is>
      </c>
      <c r="U509" s="30" t="n">
        <v>24</v>
      </c>
      <c r="V509" s="6" t="inlineStr">
        <is>
          <t>Detect</t>
        </is>
      </c>
      <c r="W509" s="30" t="n">
        <v>25</v>
      </c>
      <c r="X509" s="6" t="inlineStr">
        <is>
          <t>Hyper Fang</t>
        </is>
      </c>
      <c r="Y509" s="30" t="n">
        <v>28</v>
      </c>
      <c r="Z509" s="6" t="inlineStr">
        <is>
          <t>Sucker Punch</t>
        </is>
      </c>
      <c r="AA509" s="30" t="n">
        <v>31</v>
      </c>
      <c r="AB509" s="6" t="inlineStr">
        <is>
          <t>Mean Look</t>
        </is>
      </c>
      <c r="AC509" s="30" t="n">
        <v>36</v>
      </c>
      <c r="AD509" s="6" t="inlineStr">
        <is>
          <t>Parting Shot</t>
        </is>
      </c>
      <c r="AE509" s="30" t="n">
        <v>42</v>
      </c>
      <c r="AF509" s="6" t="inlineStr">
        <is>
          <t>Superpower</t>
        </is>
      </c>
      <c r="AG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Headbutt</t>
        </is>
      </c>
      <c r="I528" s="30" t="n">
        <v>8</v>
      </c>
      <c r="J528" s="6" t="inlineStr">
        <is>
          <t>Rock Polish</t>
        </is>
      </c>
      <c r="K528" s="30" t="n">
        <v>11</v>
      </c>
      <c r="L528" s="6" t="inlineStr">
        <is>
          <t>Smack Down</t>
        </is>
      </c>
      <c r="M528" s="30" t="n">
        <v>14</v>
      </c>
      <c r="N528" s="6" t="inlineStr">
        <is>
          <t>Rock Tomb</t>
        </is>
      </c>
      <c r="O528" s="30" t="n">
        <v>17</v>
      </c>
      <c r="P528" s="6" t="inlineStr">
        <is>
          <t>Stealth Rock</t>
        </is>
      </c>
      <c r="Q528" s="30" t="n">
        <v>20</v>
      </c>
      <c r="R528" s="6" t="inlineStr">
        <is>
          <t>Bulldoze</t>
        </is>
      </c>
      <c r="S528" s="30" t="n">
        <v>23</v>
      </c>
      <c r="T528" s="6" t="inlineStr">
        <is>
          <t>Rock Slide</t>
        </is>
      </c>
      <c r="U528" s="30" t="n">
        <v>26</v>
      </c>
      <c r="V528" s="6" t="inlineStr">
        <is>
          <t>Iron Defense</t>
        </is>
      </c>
      <c r="W528" s="30" t="n">
        <v>29</v>
      </c>
      <c r="X528" s="6" t="inlineStr">
        <is>
          <t>Explosion</t>
        </is>
      </c>
      <c r="Y528" s="30" t="n">
        <v>32</v>
      </c>
      <c r="Z528" s="6" t="inlineStr">
        <is>
          <t>Stone Edge</t>
        </is>
      </c>
      <c r="AA528" s="30" t="n">
        <v>36</v>
      </c>
      <c r="AR528" s="31" t="n"/>
    </row>
    <row r="529">
      <c r="A529" s="7" t="inlineStr">
        <is>
          <t>BOLDORE</t>
        </is>
      </c>
      <c r="B529" s="6" t="inlineStr">
        <is>
          <t>Power Gem</t>
        </is>
      </c>
      <c r="C529" s="30" t="inlineStr">
        <is>
          <t>Evo</t>
        </is>
      </c>
      <c r="D529" s="6" t="inlineStr">
        <is>
          <t>Tackle</t>
        </is>
      </c>
      <c r="E529" s="30" t="n">
        <v>1</v>
      </c>
      <c r="F529" s="6" t="inlineStr">
        <is>
          <t>Harden</t>
        </is>
      </c>
      <c r="G529" s="30" t="n">
        <v>1</v>
      </c>
      <c r="H529" s="6" t="inlineStr">
        <is>
          <t>Rock Throw</t>
        </is>
      </c>
      <c r="I529" s="30" t="n">
        <v>5</v>
      </c>
      <c r="J529" s="6" t="inlineStr">
        <is>
          <t>Headbutt</t>
        </is>
      </c>
      <c r="K529" s="30" t="n">
        <v>8</v>
      </c>
      <c r="L529" s="6" t="inlineStr">
        <is>
          <t>Rock Polish</t>
        </is>
      </c>
      <c r="M529" s="30" t="n">
        <v>11</v>
      </c>
      <c r="N529" s="6" t="inlineStr">
        <is>
          <t>Smack Down</t>
        </is>
      </c>
      <c r="O529" s="30" t="n">
        <v>14</v>
      </c>
      <c r="P529" s="6" t="inlineStr">
        <is>
          <t>Rock Tomb</t>
        </is>
      </c>
      <c r="Q529" s="30" t="n">
        <v>17</v>
      </c>
      <c r="R529" s="6" t="inlineStr">
        <is>
          <t>Stealth Rock</t>
        </is>
      </c>
      <c r="S529" s="30" t="n">
        <v>20</v>
      </c>
      <c r="T529" s="6" t="inlineStr">
        <is>
          <t>Bulldoze</t>
        </is>
      </c>
      <c r="U529" s="30" t="n">
        <v>23</v>
      </c>
      <c r="V529" s="6" t="inlineStr">
        <is>
          <t>Rock Slide</t>
        </is>
      </c>
      <c r="W529" s="30" t="n">
        <v>26</v>
      </c>
      <c r="X529" s="6" t="inlineStr">
        <is>
          <t>Iron Defense</t>
        </is>
      </c>
      <c r="Y529" s="30" t="n">
        <v>29</v>
      </c>
      <c r="Z529" s="6" t="inlineStr">
        <is>
          <t>Explosion</t>
        </is>
      </c>
      <c r="AA529" s="30" t="n">
        <v>32</v>
      </c>
      <c r="AB529" s="6" t="inlineStr">
        <is>
          <t>Stone Edge</t>
        </is>
      </c>
      <c r="AC529" s="30" t="n">
        <v>36</v>
      </c>
      <c r="AD529" s="6" t="inlineStr">
        <is>
          <t>Head Smash</t>
        </is>
      </c>
      <c r="AE529" s="30" t="n">
        <v>40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Razor Leaf</t>
        </is>
      </c>
      <c r="I544" s="30" t="n">
        <v>8</v>
      </c>
      <c r="J544" s="6" t="inlineStr">
        <is>
          <t>Struggle Bug</t>
        </is>
      </c>
      <c r="K544" s="30" t="n">
        <v>11</v>
      </c>
      <c r="L544" s="6" t="inlineStr">
        <is>
          <t>Protect</t>
        </is>
      </c>
      <c r="M544" s="30" t="n">
        <v>14</v>
      </c>
      <c r="N544" s="6" t="inlineStr">
        <is>
          <t>Pin Missile</t>
        </is>
      </c>
      <c r="O544" s="30" t="n">
        <v>17</v>
      </c>
      <c r="P544" s="6" t="inlineStr">
        <is>
          <t>X Scissor</t>
        </is>
      </c>
      <c r="Q544" s="30" t="n">
        <v>20</v>
      </c>
      <c r="R544" s="6" t="inlineStr">
        <is>
          <t>Synthesis</t>
        </is>
      </c>
      <c r="S544" s="30" t="n">
        <v>23</v>
      </c>
      <c r="T544" s="6" t="inlineStr">
        <is>
          <t>Sticky Web</t>
        </is>
      </c>
      <c r="U544" s="30" t="n">
        <v>26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Razor Leaf</t>
        </is>
      </c>
      <c r="I545" s="30" t="n">
        <v>8</v>
      </c>
      <c r="J545" s="6" t="inlineStr">
        <is>
          <t>Struggle Bug</t>
        </is>
      </c>
      <c r="K545" s="30" t="n">
        <v>11</v>
      </c>
      <c r="L545" s="6" t="inlineStr">
        <is>
          <t>Protect</t>
        </is>
      </c>
      <c r="M545" s="30" t="n">
        <v>14</v>
      </c>
      <c r="N545" s="6" t="inlineStr">
        <is>
          <t>Pin Missile</t>
        </is>
      </c>
      <c r="O545" s="30" t="n">
        <v>17</v>
      </c>
      <c r="P545" s="6" t="inlineStr">
        <is>
          <t>X Scissor</t>
        </is>
      </c>
      <c r="Q545" s="30" t="n">
        <v>20</v>
      </c>
      <c r="R545" s="6" t="inlineStr">
        <is>
          <t>Synthesis</t>
        </is>
      </c>
      <c r="S545" s="30" t="n">
        <v>23</v>
      </c>
      <c r="T545" s="6" t="inlineStr">
        <is>
          <t>Sticky Web</t>
        </is>
      </c>
      <c r="U545" s="30" t="n">
        <v>26</v>
      </c>
      <c r="AR545" s="31" t="n"/>
    </row>
    <row r="546">
      <c r="A546" s="7" t="inlineStr">
        <is>
          <t>LEAVANNY</t>
        </is>
      </c>
      <c r="B546" s="6" t="inlineStr">
        <is>
          <t>Slash</t>
        </is>
      </c>
      <c r="C546" s="30" t="inlineStr">
        <is>
          <t>Evo</t>
        </is>
      </c>
      <c r="D546" s="6" t="inlineStr">
        <is>
          <t>Tackle</t>
        </is>
      </c>
      <c r="E546" s="30" t="n">
        <v>1</v>
      </c>
      <c r="F546" s="6" t="inlineStr">
        <is>
          <t>String Shot</t>
        </is>
      </c>
      <c r="G546" s="30" t="n">
        <v>1</v>
      </c>
      <c r="H546" s="6" t="inlineStr">
        <is>
          <t>Bug Bite</t>
        </is>
      </c>
      <c r="I546" s="30" t="n">
        <v>5</v>
      </c>
      <c r="J546" s="6" t="inlineStr">
        <is>
          <t>Razor Leaf</t>
        </is>
      </c>
      <c r="K546" s="30" t="n">
        <v>8</v>
      </c>
      <c r="L546" s="6" t="inlineStr">
        <is>
          <t>Struggle Bug</t>
        </is>
      </c>
      <c r="M546" s="30" t="n">
        <v>11</v>
      </c>
      <c r="N546" s="6" t="inlineStr">
        <is>
          <t>Protect</t>
        </is>
      </c>
      <c r="O546" s="30" t="n">
        <v>14</v>
      </c>
      <c r="P546" s="6" t="inlineStr">
        <is>
          <t>Pin Missile</t>
        </is>
      </c>
      <c r="Q546" s="30" t="n">
        <v>17</v>
      </c>
      <c r="R546" s="6" t="inlineStr">
        <is>
          <t>X Scissor</t>
        </is>
      </c>
      <c r="S546" s="30" t="n">
        <v>20</v>
      </c>
      <c r="T546" s="6" t="inlineStr">
        <is>
          <t>Synthesis</t>
        </is>
      </c>
      <c r="U546" s="30" t="n">
        <v>23</v>
      </c>
      <c r="V546" s="6" t="inlineStr">
        <is>
          <t>Sticky Web</t>
        </is>
      </c>
      <c r="W546" s="30" t="n">
        <v>26</v>
      </c>
      <c r="X546" s="6" t="inlineStr">
        <is>
          <t>Leaf Blade</t>
        </is>
      </c>
      <c r="Y546" s="30" t="n">
        <v>30</v>
      </c>
      <c r="Z546" s="6" t="inlineStr">
        <is>
          <t>Leech Life</t>
        </is>
      </c>
      <c r="AA546" s="30" t="n">
        <v>34</v>
      </c>
      <c r="AB546" s="6" t="inlineStr">
        <is>
          <t>Swords Dance</t>
        </is>
      </c>
      <c r="AC546" s="30" t="n">
        <v>38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Absorb</t>
        </is>
      </c>
      <c r="C552" s="30" t="n">
        <v>1</v>
      </c>
      <c r="D552" s="6" t="inlineStr">
        <is>
          <t>Growth</t>
        </is>
      </c>
      <c r="E552" s="30" t="n">
        <v>1</v>
      </c>
      <c r="F552" s="6" t="inlineStr">
        <is>
          <t>Sleep Powder</t>
        </is>
      </c>
      <c r="G552" s="30" t="n">
        <v>5</v>
      </c>
      <c r="H552" s="6" t="inlineStr">
        <is>
          <t>Mega Drain</t>
        </is>
      </c>
      <c r="I552" s="30" t="n">
        <v>8</v>
      </c>
      <c r="J552" s="6" t="inlineStr">
        <is>
          <t>Leech Seed</t>
        </is>
      </c>
      <c r="K552" s="30" t="n">
        <v>11</v>
      </c>
      <c r="L552" s="6" t="inlineStr">
        <is>
          <t>Magical Leaf</t>
        </is>
      </c>
      <c r="M552" s="30" t="n">
        <v>14</v>
      </c>
      <c r="N552" s="6" t="inlineStr">
        <is>
          <t>Stun Spore</t>
        </is>
      </c>
      <c r="O552" s="30" t="n">
        <v>17</v>
      </c>
      <c r="P552" s="6" t="inlineStr">
        <is>
          <t>Giga Drain</t>
        </is>
      </c>
      <c r="Q552" s="30" t="n">
        <v>20</v>
      </c>
      <c r="R552" s="6" t="inlineStr">
        <is>
          <t>Synthesis</t>
        </is>
      </c>
      <c r="S552" s="30" t="n">
        <v>23</v>
      </c>
      <c r="T552" s="6" t="inlineStr">
        <is>
          <t>Quiver Dance</t>
        </is>
      </c>
      <c r="U552" s="30" t="n">
        <v>26</v>
      </c>
      <c r="V552" s="6" t="inlineStr">
        <is>
          <t>Energy Ball</t>
        </is>
      </c>
      <c r="W552" s="30" t="n">
        <v>29</v>
      </c>
      <c r="X552" s="6" t="inlineStr">
        <is>
          <t>Aromatherapy</t>
        </is>
      </c>
      <c r="Y552" s="30" t="n">
        <v>32</v>
      </c>
      <c r="Z552" s="6" t="inlineStr">
        <is>
          <t>Petal Dance</t>
        </is>
      </c>
      <c r="AA552" s="30" t="n">
        <v>35</v>
      </c>
      <c r="AR552" s="31" t="n"/>
    </row>
    <row r="553">
      <c r="A553" s="7" t="inlineStr">
        <is>
          <t>LILLIGANT</t>
        </is>
      </c>
      <c r="B553" s="6" t="inlineStr">
        <is>
          <t>Absorb</t>
        </is>
      </c>
      <c r="C553" s="30" t="n">
        <v>1</v>
      </c>
      <c r="D553" s="6" t="inlineStr">
        <is>
          <t>Growth</t>
        </is>
      </c>
      <c r="E553" s="30" t="n">
        <v>1</v>
      </c>
      <c r="F553" s="6" t="inlineStr">
        <is>
          <t>Mega Drain</t>
        </is>
      </c>
      <c r="G553" s="30" t="n">
        <v>1</v>
      </c>
      <c r="H553" s="6" t="inlineStr">
        <is>
          <t>Sleep Powder</t>
        </is>
      </c>
      <c r="I553" s="30" t="n">
        <v>1</v>
      </c>
      <c r="J553" s="6" t="inlineStr">
        <is>
          <t>Leech Seed</t>
        </is>
      </c>
      <c r="K553" s="30" t="n">
        <v>1</v>
      </c>
      <c r="L553" s="6" t="inlineStr">
        <is>
          <t>Petal Dance</t>
        </is>
      </c>
      <c r="M553" s="30" t="n">
        <v>44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Leer</t>
        </is>
      </c>
      <c r="C555" s="30" t="n">
        <v>1</v>
      </c>
      <c r="D555" s="6" t="inlineStr">
        <is>
          <t>Sand Attack</t>
        </is>
      </c>
      <c r="E555" s="30" t="n">
        <v>1</v>
      </c>
      <c r="F555" s="6" t="inlineStr">
        <is>
          <t>Bite</t>
        </is>
      </c>
      <c r="G555" s="30" t="n">
        <v>5</v>
      </c>
      <c r="H555" s="6" t="inlineStr">
        <is>
          <t>Mud Slap</t>
        </is>
      </c>
      <c r="I555" s="30" t="n">
        <v>8</v>
      </c>
      <c r="J555" s="6" t="inlineStr">
        <is>
          <t>Assurance</t>
        </is>
      </c>
      <c r="K555" s="30" t="n">
        <v>11</v>
      </c>
      <c r="L555" s="6" t="inlineStr">
        <is>
          <t>Bulldoze</t>
        </is>
      </c>
      <c r="M555" s="30" t="n">
        <v>14</v>
      </c>
      <c r="N555" s="6" t="inlineStr">
        <is>
          <t>Torment</t>
        </is>
      </c>
      <c r="O555" s="30" t="n">
        <v>17</v>
      </c>
      <c r="P555" s="6" t="inlineStr">
        <is>
          <t>Dig</t>
        </is>
      </c>
      <c r="Q555" s="30" t="n">
        <v>20</v>
      </c>
      <c r="R555" s="6" t="inlineStr">
        <is>
          <t>Crunch</t>
        </is>
      </c>
      <c r="S555" s="30" t="n">
        <v>23</v>
      </c>
      <c r="T555" s="6" t="inlineStr">
        <is>
          <t>Swagger</t>
        </is>
      </c>
      <c r="U555" s="30" t="n">
        <v>26</v>
      </c>
      <c r="V555" s="6" t="inlineStr">
        <is>
          <t>Earthquake</t>
        </is>
      </c>
      <c r="W555" s="30" t="n">
        <v>29</v>
      </c>
      <c r="X555" s="6" t="inlineStr">
        <is>
          <t>Foul Play</t>
        </is>
      </c>
      <c r="Y555" s="30" t="n">
        <v>32</v>
      </c>
      <c r="Z555" s="6" t="inlineStr">
        <is>
          <t>Thrash</t>
        </is>
      </c>
      <c r="AA555" s="30" t="n">
        <v>35</v>
      </c>
      <c r="AR555" s="31" t="n"/>
    </row>
    <row r="556">
      <c r="A556" s="7" t="inlineStr">
        <is>
          <t>KROKOROK</t>
        </is>
      </c>
      <c r="B556" s="6" t="inlineStr">
        <is>
          <t>Leer</t>
        </is>
      </c>
      <c r="C556" s="30" t="n">
        <v>1</v>
      </c>
      <c r="D556" s="6" t="inlineStr">
        <is>
          <t>Sand Attack</t>
        </is>
      </c>
      <c r="E556" s="30" t="n">
        <v>1</v>
      </c>
      <c r="F556" s="6" t="inlineStr">
        <is>
          <t>Bite</t>
        </is>
      </c>
      <c r="G556" s="30" t="n">
        <v>5</v>
      </c>
      <c r="H556" s="6" t="inlineStr">
        <is>
          <t>Mud Slap</t>
        </is>
      </c>
      <c r="I556" s="30" t="n">
        <v>8</v>
      </c>
      <c r="J556" s="6" t="inlineStr">
        <is>
          <t>Assurance</t>
        </is>
      </c>
      <c r="K556" s="30" t="n">
        <v>11</v>
      </c>
      <c r="L556" s="6" t="inlineStr">
        <is>
          <t>Bulldoze</t>
        </is>
      </c>
      <c r="M556" s="30" t="n">
        <v>14</v>
      </c>
      <c r="N556" s="6" t="inlineStr">
        <is>
          <t>Torment</t>
        </is>
      </c>
      <c r="O556" s="30" t="n">
        <v>17</v>
      </c>
      <c r="P556" s="6" t="inlineStr">
        <is>
          <t>Dig</t>
        </is>
      </c>
      <c r="Q556" s="30" t="n">
        <v>20</v>
      </c>
      <c r="R556" s="6" t="inlineStr">
        <is>
          <t>Crunch</t>
        </is>
      </c>
      <c r="S556" s="30" t="n">
        <v>23</v>
      </c>
      <c r="T556" s="6" t="inlineStr">
        <is>
          <t>Swagger</t>
        </is>
      </c>
      <c r="U556" s="30" t="n">
        <v>26</v>
      </c>
      <c r="V556" s="6" t="inlineStr">
        <is>
          <t>Earthquake</t>
        </is>
      </c>
      <c r="W556" s="30" t="n">
        <v>29</v>
      </c>
      <c r="X556" s="6" t="inlineStr">
        <is>
          <t>Foul Play</t>
        </is>
      </c>
      <c r="Y556" s="30" t="n">
        <v>32</v>
      </c>
      <c r="Z556" s="6" t="inlineStr">
        <is>
          <t>Thrash</t>
        </is>
      </c>
      <c r="AA556" s="30" t="n">
        <v>35</v>
      </c>
      <c r="AB556" s="6" t="inlineStr">
        <is>
          <t>Scary Face</t>
        </is>
      </c>
      <c r="AC556" s="30" t="n">
        <v>38</v>
      </c>
      <c r="AD556" s="6" t="inlineStr">
        <is>
          <t>Knock Off</t>
        </is>
      </c>
      <c r="AE556" s="30" t="n">
        <v>42</v>
      </c>
      <c r="AR556" s="31" t="n"/>
    </row>
    <row r="557">
      <c r="A557" s="7" t="inlineStr">
        <is>
          <t>KROOKODILE</t>
        </is>
      </c>
      <c r="B557" s="6" t="inlineStr">
        <is>
          <t>Leer</t>
        </is>
      </c>
      <c r="C557" s="30" t="n">
        <v>1</v>
      </c>
      <c r="D557" s="6" t="inlineStr">
        <is>
          <t>Sand Attack</t>
        </is>
      </c>
      <c r="E557" s="30" t="n">
        <v>1</v>
      </c>
      <c r="F557" s="6" t="inlineStr">
        <is>
          <t>Bite</t>
        </is>
      </c>
      <c r="G557" s="30" t="n">
        <v>5</v>
      </c>
      <c r="H557" s="6" t="inlineStr">
        <is>
          <t>Mud Slap</t>
        </is>
      </c>
      <c r="I557" s="30" t="n">
        <v>8</v>
      </c>
      <c r="J557" s="6" t="inlineStr">
        <is>
          <t>Assurance</t>
        </is>
      </c>
      <c r="K557" s="30" t="n">
        <v>11</v>
      </c>
      <c r="L557" s="6" t="inlineStr">
        <is>
          <t>Bulldoze</t>
        </is>
      </c>
      <c r="M557" s="30" t="n">
        <v>14</v>
      </c>
      <c r="N557" s="6" t="inlineStr">
        <is>
          <t>Torment</t>
        </is>
      </c>
      <c r="O557" s="30" t="n">
        <v>17</v>
      </c>
      <c r="P557" s="6" t="inlineStr">
        <is>
          <t>Dig</t>
        </is>
      </c>
      <c r="Q557" s="30" t="n">
        <v>20</v>
      </c>
      <c r="R557" s="6" t="inlineStr">
        <is>
          <t>Crunch</t>
        </is>
      </c>
      <c r="S557" s="30" t="n">
        <v>23</v>
      </c>
      <c r="T557" s="6" t="inlineStr">
        <is>
          <t>Swagger</t>
        </is>
      </c>
      <c r="U557" s="30" t="n">
        <v>26</v>
      </c>
      <c r="V557" s="6" t="inlineStr">
        <is>
          <t>Earthquake</t>
        </is>
      </c>
      <c r="W557" s="30" t="n">
        <v>29</v>
      </c>
      <c r="X557" s="6" t="inlineStr">
        <is>
          <t>Foul Play</t>
        </is>
      </c>
      <c r="Y557" s="30" t="n">
        <v>32</v>
      </c>
      <c r="Z557" s="6" t="inlineStr">
        <is>
          <t>Thrash</t>
        </is>
      </c>
      <c r="AA557" s="30" t="n">
        <v>35</v>
      </c>
      <c r="AB557" s="6" t="inlineStr">
        <is>
          <t>Scary Face</t>
        </is>
      </c>
      <c r="AC557" s="30" t="n">
        <v>38</v>
      </c>
      <c r="AD557" s="6" t="inlineStr">
        <is>
          <t>Knock Off</t>
        </is>
      </c>
      <c r="AE557" s="30" t="n">
        <v>42</v>
      </c>
      <c r="AF557" s="6" t="inlineStr">
        <is>
          <t>Stone Edge</t>
        </is>
      </c>
      <c r="AG557" s="30" t="n">
        <v>44</v>
      </c>
      <c r="AH557" s="6" t="inlineStr">
        <is>
          <t>Outrage</t>
        </is>
      </c>
      <c r="AI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Fake Tears</t>
        </is>
      </c>
      <c r="K574" s="30" t="n">
        <v>11</v>
      </c>
      <c r="L574" s="6" t="inlineStr">
        <is>
          <t>Feint Attack</t>
        </is>
      </c>
      <c r="M574" s="30" t="n">
        <v>14</v>
      </c>
      <c r="N574" s="6" t="inlineStr">
        <is>
          <t>Taunt</t>
        </is>
      </c>
      <c r="O574" s="30" t="n">
        <v>17</v>
      </c>
      <c r="P574" s="6" t="inlineStr">
        <is>
          <t>Extrasensory</t>
        </is>
      </c>
      <c r="Q574" s="30" t="n">
        <v>20</v>
      </c>
      <c r="R574" s="6" t="inlineStr">
        <is>
          <t>Nasty Plot</t>
        </is>
      </c>
      <c r="S574" s="30" t="n">
        <v>23</v>
      </c>
      <c r="T574" s="6" t="inlineStr">
        <is>
          <t>Night Daze</t>
        </is>
      </c>
      <c r="U574" s="30" t="n">
        <v>26</v>
      </c>
      <c r="V574" s="6" t="inlineStr">
        <is>
          <t>U Turn</t>
        </is>
      </c>
      <c r="W574" s="30" t="n">
        <v>29</v>
      </c>
      <c r="X574" s="6" t="inlineStr">
        <is>
          <t>Flamethrower</t>
        </is>
      </c>
      <c r="Y574" s="30" t="n">
        <v>32</v>
      </c>
      <c r="Z574" s="6" t="inlineStr">
        <is>
          <t>Dark Pulse</t>
        </is>
      </c>
      <c r="AA574" s="30" t="n">
        <v>36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Snarl</t>
        </is>
      </c>
      <c r="I575" s="30" t="n">
        <v>8</v>
      </c>
      <c r="J575" s="6" t="inlineStr">
        <is>
          <t>Fake Tears</t>
        </is>
      </c>
      <c r="K575" s="30" t="n">
        <v>11</v>
      </c>
      <c r="L575" s="6" t="inlineStr">
        <is>
          <t>Feint Attack</t>
        </is>
      </c>
      <c r="M575" s="30" t="n">
        <v>14</v>
      </c>
      <c r="N575" s="6" t="inlineStr">
        <is>
          <t>Taunt</t>
        </is>
      </c>
      <c r="O575" s="30" t="n">
        <v>17</v>
      </c>
      <c r="P575" s="6" t="inlineStr">
        <is>
          <t>Extrasensory</t>
        </is>
      </c>
      <c r="Q575" s="30" t="n">
        <v>20</v>
      </c>
      <c r="R575" s="6" t="inlineStr">
        <is>
          <t>Nasty Plot</t>
        </is>
      </c>
      <c r="S575" s="30" t="n">
        <v>23</v>
      </c>
      <c r="T575" s="6" t="inlineStr">
        <is>
          <t>Night Daze</t>
        </is>
      </c>
      <c r="U575" s="30" t="n">
        <v>26</v>
      </c>
      <c r="V575" s="6" t="inlineStr">
        <is>
          <t>U Turn</t>
        </is>
      </c>
      <c r="W575" s="30" t="n">
        <v>29</v>
      </c>
      <c r="X575" s="6" t="inlineStr">
        <is>
          <t>Flamethrower</t>
        </is>
      </c>
      <c r="Y575" s="30" t="n">
        <v>32</v>
      </c>
      <c r="Z575" s="6" t="inlineStr">
        <is>
          <t>Sludge Bomb</t>
        </is>
      </c>
      <c r="AA575" s="30" t="n">
        <v>34</v>
      </c>
      <c r="AB575" s="6" t="inlineStr">
        <is>
          <t>Dark Pulse</t>
        </is>
      </c>
      <c r="AC575" s="30" t="n">
        <v>36</v>
      </c>
      <c r="AD575" s="6" t="inlineStr">
        <is>
          <t>Focus Blast</t>
        </is>
      </c>
      <c r="AE575" s="30" t="n">
        <v>40</v>
      </c>
      <c r="AR575" s="31" t="n"/>
    </row>
    <row r="576">
      <c r="A576" s="7" t="inlineStr">
        <is>
          <t>MINCCINO</t>
        </is>
      </c>
      <c r="B576" s="6" t="inlineStr">
        <is>
          <t>Quick Attack</t>
        </is>
      </c>
      <c r="C576" s="30" t="n">
        <v>1</v>
      </c>
      <c r="D576" s="6" t="inlineStr">
        <is>
          <t>Baby Doll Eyes</t>
        </is>
      </c>
      <c r="E576" s="30" t="n">
        <v>1</v>
      </c>
      <c r="F576" s="6" t="inlineStr">
        <is>
          <t>Double Slap</t>
        </is>
      </c>
      <c r="G576" s="30" t="n">
        <v>5</v>
      </c>
      <c r="H576" s="6" t="inlineStr">
        <is>
          <t>Encore</t>
        </is>
      </c>
      <c r="I576" s="30" t="n">
        <v>8</v>
      </c>
      <c r="J576" s="6" t="inlineStr">
        <is>
          <t>Tail Slap</t>
        </is>
      </c>
      <c r="K576" s="30" t="n">
        <v>11</v>
      </c>
      <c r="L576" s="6" t="inlineStr">
        <is>
          <t>Bullet Seed</t>
        </is>
      </c>
      <c r="M576" s="30" t="n">
        <v>14</v>
      </c>
      <c r="N576" s="6" t="inlineStr">
        <is>
          <t>Tickle</t>
        </is>
      </c>
      <c r="O576" s="30" t="n">
        <v>17</v>
      </c>
      <c r="P576" s="6" t="inlineStr">
        <is>
          <t>Rock Blast</t>
        </is>
      </c>
      <c r="Q576" s="30" t="n">
        <v>20</v>
      </c>
      <c r="R576" s="6" t="inlineStr">
        <is>
          <t>Charm</t>
        </is>
      </c>
      <c r="S576" s="30" t="n">
        <v>23</v>
      </c>
      <c r="T576" s="6" t="inlineStr">
        <is>
          <t>Wake Up Slap</t>
        </is>
      </c>
      <c r="U576" s="30" t="n">
        <v>26</v>
      </c>
      <c r="V576" s="6" t="inlineStr">
        <is>
          <t>U Turn</t>
        </is>
      </c>
      <c r="W576" s="30" t="n">
        <v>30</v>
      </c>
      <c r="X576" s="6" t="inlineStr">
        <is>
          <t>Aqua Tail</t>
        </is>
      </c>
      <c r="Y576" s="30" t="n">
        <v>34</v>
      </c>
      <c r="Z576" s="6" t="inlineStr">
        <is>
          <t>Last Resort</t>
        </is>
      </c>
      <c r="AA576" s="30" t="n">
        <v>38</v>
      </c>
      <c r="AR576" s="31" t="n"/>
    </row>
    <row r="577">
      <c r="A577" s="7" t="inlineStr">
        <is>
          <t>CINCCINO</t>
        </is>
      </c>
      <c r="B577" s="6" t="inlineStr">
        <is>
          <t>Quick Attack</t>
        </is>
      </c>
      <c r="C577" s="30" t="n">
        <v>1</v>
      </c>
      <c r="D577" s="6" t="inlineStr">
        <is>
          <t>Baby Doll Eyes</t>
        </is>
      </c>
      <c r="E577" s="30" t="n">
        <v>1</v>
      </c>
      <c r="F577" s="6" t="inlineStr">
        <is>
          <t>Double Slap</t>
        </is>
      </c>
      <c r="G577" s="30" t="n">
        <v>1</v>
      </c>
      <c r="H577" s="6" t="inlineStr">
        <is>
          <t>Encore</t>
        </is>
      </c>
      <c r="I577" s="30" t="n">
        <v>1</v>
      </c>
      <c r="J577" s="6" t="inlineStr">
        <is>
          <t>Body Slam</t>
        </is>
      </c>
      <c r="K577" s="30" t="n">
        <v>32</v>
      </c>
      <c r="L577" s="6" t="inlineStr">
        <is>
          <t>Double Edge</t>
        </is>
      </c>
      <c r="M577" s="30" t="n">
        <v>48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Growl</t>
        </is>
      </c>
      <c r="E589" s="30" t="n">
        <v>1</v>
      </c>
      <c r="F589" s="6" t="inlineStr">
        <is>
          <t>Sand Attack</t>
        </is>
      </c>
      <c r="G589" s="30" t="n">
        <v>5</v>
      </c>
      <c r="H589" s="6" t="inlineStr">
        <is>
          <t>Double Kick</t>
        </is>
      </c>
      <c r="I589" s="30" t="n">
        <v>8</v>
      </c>
      <c r="J589" s="6" t="inlineStr">
        <is>
          <t>Bullet Seed</t>
        </is>
      </c>
      <c r="K589" s="30" t="n">
        <v>11</v>
      </c>
      <c r="L589" s="6" t="inlineStr">
        <is>
          <t>Leech Seed</t>
        </is>
      </c>
      <c r="M589" s="30" t="n">
        <v>14</v>
      </c>
      <c r="N589" s="6" t="inlineStr">
        <is>
          <t>Headbutt</t>
        </is>
      </c>
      <c r="O589" s="30" t="n">
        <v>17</v>
      </c>
      <c r="P589" s="6" t="inlineStr">
        <is>
          <t>Jump Kick</t>
        </is>
      </c>
      <c r="Q589" s="30" t="n">
        <v>20</v>
      </c>
      <c r="R589" s="6" t="inlineStr">
        <is>
          <t>Seed Bomb</t>
        </is>
      </c>
      <c r="S589" s="30" t="n">
        <v>23</v>
      </c>
      <c r="T589" s="6" t="inlineStr">
        <is>
          <t>Aromatherapy</t>
        </is>
      </c>
      <c r="U589" s="30" t="n">
        <v>26</v>
      </c>
      <c r="V589" s="6" t="inlineStr">
        <is>
          <t>Take Down</t>
        </is>
      </c>
      <c r="W589" s="30" t="n">
        <v>29</v>
      </c>
      <c r="X589" s="6" t="inlineStr">
        <is>
          <t>Horn Leech</t>
        </is>
      </c>
      <c r="Y589" s="30" t="n">
        <v>32</v>
      </c>
      <c r="Z589" s="6" t="inlineStr">
        <is>
          <t>Nature Power</t>
        </is>
      </c>
      <c r="AA589" s="30" t="n">
        <v>35</v>
      </c>
      <c r="AB589" s="6" t="inlineStr">
        <is>
          <t>Double Edge</t>
        </is>
      </c>
      <c r="AC589" s="30" t="n">
        <v>38</v>
      </c>
      <c r="AR589" s="31" t="n"/>
    </row>
    <row r="590">
      <c r="A590" s="7" t="inlineStr">
        <is>
          <t>SAWSBUCK (AUTUMN)</t>
        </is>
      </c>
      <c r="B590" s="6" t="inlineStr">
        <is>
          <t>Horn Leech</t>
        </is>
      </c>
      <c r="C590" s="30" t="inlineStr">
        <is>
          <t>Evo</t>
        </is>
      </c>
      <c r="D590" s="6" t="inlineStr">
        <is>
          <t>Tackle</t>
        </is>
      </c>
      <c r="E590" s="30" t="n">
        <v>1</v>
      </c>
      <c r="F590" s="6" t="inlineStr">
        <is>
          <t>Growl</t>
        </is>
      </c>
      <c r="G590" s="30" t="n">
        <v>1</v>
      </c>
      <c r="H590" s="6" t="inlineStr">
        <is>
          <t>Sand Attack</t>
        </is>
      </c>
      <c r="I590" s="30" t="n">
        <v>5</v>
      </c>
      <c r="J590" s="6" t="inlineStr">
        <is>
          <t>Double Kick</t>
        </is>
      </c>
      <c r="K590" s="30" t="n">
        <v>8</v>
      </c>
      <c r="L590" s="6" t="inlineStr">
        <is>
          <t>Bullet Seed</t>
        </is>
      </c>
      <c r="M590" s="30" t="n">
        <v>11</v>
      </c>
      <c r="N590" s="6" t="inlineStr">
        <is>
          <t>Leech Seed</t>
        </is>
      </c>
      <c r="O590" s="30" t="n">
        <v>14</v>
      </c>
      <c r="P590" s="6" t="inlineStr">
        <is>
          <t>Headbutt</t>
        </is>
      </c>
      <c r="Q590" s="30" t="n">
        <v>17</v>
      </c>
      <c r="R590" s="6" t="inlineStr">
        <is>
          <t>Jump Kick</t>
        </is>
      </c>
      <c r="S590" s="30" t="n">
        <v>20</v>
      </c>
      <c r="T590" s="6" t="inlineStr">
        <is>
          <t>Seed Bomb</t>
        </is>
      </c>
      <c r="U590" s="30" t="n">
        <v>23</v>
      </c>
      <c r="V590" s="6" t="inlineStr">
        <is>
          <t>Aromatherapy</t>
        </is>
      </c>
      <c r="W590" s="30" t="n">
        <v>26</v>
      </c>
      <c r="X590" s="6" t="inlineStr">
        <is>
          <t>Take Down</t>
        </is>
      </c>
      <c r="Y590" s="30" t="n">
        <v>29</v>
      </c>
      <c r="Z590" s="6" t="inlineStr">
        <is>
          <t>Nature Power</t>
        </is>
      </c>
      <c r="AA590" s="30" t="n">
        <v>35</v>
      </c>
      <c r="AB590" s="6" t="inlineStr">
        <is>
          <t>Megahorn</t>
        </is>
      </c>
      <c r="AC590" s="30" t="n">
        <v>36</v>
      </c>
      <c r="AD590" s="6" t="inlineStr">
        <is>
          <t>Double Edge</t>
        </is>
      </c>
      <c r="AE590" s="30" t="n">
        <v>38</v>
      </c>
      <c r="AF590" s="6" t="inlineStr">
        <is>
          <t>Swords Dance</t>
        </is>
      </c>
      <c r="AG590" s="30" t="n">
        <v>42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Mud Slap</t>
        </is>
      </c>
      <c r="C622" s="30" t="n">
        <v>1</v>
      </c>
      <c r="D622" s="6" t="inlineStr">
        <is>
          <t>Thunder Shock</t>
        </is>
      </c>
      <c r="E622" s="30" t="n">
        <v>1</v>
      </c>
      <c r="F622" s="6" t="inlineStr">
        <is>
          <t>Mud Shot</t>
        </is>
      </c>
      <c r="G622" s="30" t="n">
        <v>5</v>
      </c>
      <c r="H622" s="6" t="inlineStr">
        <is>
          <t>Thunder Wave</t>
        </is>
      </c>
      <c r="I622" s="30" t="n">
        <v>8</v>
      </c>
      <c r="J622" s="6" t="inlineStr">
        <is>
          <t>Bide</t>
        </is>
      </c>
      <c r="K622" s="30" t="n">
        <v>11</v>
      </c>
      <c r="L622" s="6" t="inlineStr">
        <is>
          <t>Bulldoze</t>
        </is>
      </c>
      <c r="M622" s="30" t="n">
        <v>14</v>
      </c>
      <c r="N622" s="6" t="inlineStr">
        <is>
          <t>Shock Wave</t>
        </is>
      </c>
      <c r="O622" s="30" t="n">
        <v>17</v>
      </c>
      <c r="P622" s="6" t="inlineStr">
        <is>
          <t>Scald</t>
        </is>
      </c>
      <c r="Q622" s="30" t="n">
        <v>20</v>
      </c>
      <c r="R622" s="6" t="inlineStr">
        <is>
          <t>Discharge</t>
        </is>
      </c>
      <c r="S622" s="30" t="n">
        <v>23</v>
      </c>
      <c r="T622" s="6" t="inlineStr">
        <is>
          <t>Mud Bomb</t>
        </is>
      </c>
      <c r="U622" s="30" t="n">
        <v>26</v>
      </c>
      <c r="V622" s="6" t="inlineStr">
        <is>
          <t>Endure</t>
        </is>
      </c>
      <c r="W622" s="30" t="n">
        <v>29</v>
      </c>
      <c r="X622" s="6" t="inlineStr">
        <is>
          <t>Earth Power</t>
        </is>
      </c>
      <c r="Y622" s="30" t="n">
        <v>32</v>
      </c>
      <c r="Z622" s="6" t="inlineStr">
        <is>
          <t>Thunderbolt</t>
        </is>
      </c>
      <c r="AA622" s="30" t="n">
        <v>36</v>
      </c>
      <c r="AR622" s="31" t="n"/>
    </row>
    <row r="623">
      <c r="A623" s="7" t="inlineStr">
        <is>
          <t>MIENFOO</t>
        </is>
      </c>
      <c r="B623" s="6" t="inlineStr">
        <is>
          <t>Pound</t>
        </is>
      </c>
      <c r="C623" s="30" t="n">
        <v>1</v>
      </c>
      <c r="D623" s="6" t="inlineStr">
        <is>
          <t>Detect</t>
        </is>
      </c>
      <c r="E623" s="30" t="n">
        <v>1</v>
      </c>
      <c r="F623" s="6" t="inlineStr">
        <is>
          <t>Fake Out</t>
        </is>
      </c>
      <c r="G623" s="30" t="n">
        <v>5</v>
      </c>
      <c r="H623" s="6" t="inlineStr">
        <is>
          <t>Low Kick</t>
        </is>
      </c>
      <c r="I623" s="30" t="n">
        <v>8</v>
      </c>
      <c r="J623" s="6" t="inlineStr">
        <is>
          <t>Meditate</t>
        </is>
      </c>
      <c r="K623" s="30" t="n">
        <v>11</v>
      </c>
      <c r="L623" s="6" t="inlineStr">
        <is>
          <t>Force Palm</t>
        </is>
      </c>
      <c r="M623" s="30" t="n">
        <v>14</v>
      </c>
      <c r="N623" s="6" t="inlineStr">
        <is>
          <t>Feint</t>
        </is>
      </c>
      <c r="O623" s="30" t="n">
        <v>17</v>
      </c>
      <c r="P623" s="6" t="inlineStr">
        <is>
          <t>Drain Punch</t>
        </is>
      </c>
      <c r="Q623" s="30" t="n">
        <v>20</v>
      </c>
      <c r="R623" s="6" t="inlineStr">
        <is>
          <t>U Turn</t>
        </is>
      </c>
      <c r="S623" s="30" t="n">
        <v>23</v>
      </c>
      <c r="T623" s="6" t="inlineStr">
        <is>
          <t>Knock Off</t>
        </is>
      </c>
      <c r="U623" s="30" t="n">
        <v>26</v>
      </c>
      <c r="V623" s="6" t="inlineStr">
        <is>
          <t>Jump Kick</t>
        </is>
      </c>
      <c r="W623" s="30" t="n">
        <v>29</v>
      </c>
      <c r="X623" s="6" t="inlineStr">
        <is>
          <t>Bounce</t>
        </is>
      </c>
      <c r="Y623" s="30" t="n">
        <v>32</v>
      </c>
      <c r="Z623" s="6" t="inlineStr">
        <is>
          <t>High Jump Kick</t>
        </is>
      </c>
      <c r="AA623" s="30" t="n">
        <v>36</v>
      </c>
      <c r="AR623" s="31" t="n"/>
    </row>
    <row r="624">
      <c r="A624" s="7" t="inlineStr">
        <is>
          <t>MIENSHAO</t>
        </is>
      </c>
      <c r="B624" s="6" t="inlineStr">
        <is>
          <t>Pound</t>
        </is>
      </c>
      <c r="C624" s="30" t="n">
        <v>1</v>
      </c>
      <c r="D624" s="6" t="inlineStr">
        <is>
          <t>Detect</t>
        </is>
      </c>
      <c r="E624" s="30" t="n">
        <v>1</v>
      </c>
      <c r="F624" s="6" t="inlineStr">
        <is>
          <t>Fake Out</t>
        </is>
      </c>
      <c r="G624" s="30" t="n">
        <v>5</v>
      </c>
      <c r="H624" s="6" t="inlineStr">
        <is>
          <t>Low Kick</t>
        </is>
      </c>
      <c r="I624" s="30" t="n">
        <v>8</v>
      </c>
      <c r="J624" s="6" t="inlineStr">
        <is>
          <t>Meditate</t>
        </is>
      </c>
      <c r="K624" s="30" t="n">
        <v>11</v>
      </c>
      <c r="L624" s="6" t="inlineStr">
        <is>
          <t>Force Palm</t>
        </is>
      </c>
      <c r="M624" s="30" t="n">
        <v>14</v>
      </c>
      <c r="N624" s="6" t="inlineStr">
        <is>
          <t>Feint</t>
        </is>
      </c>
      <c r="O624" s="30" t="n">
        <v>17</v>
      </c>
      <c r="P624" s="6" t="inlineStr">
        <is>
          <t>Drain Punch</t>
        </is>
      </c>
      <c r="Q624" s="30" t="n">
        <v>20</v>
      </c>
      <c r="R624" s="6" t="inlineStr">
        <is>
          <t>U Turn</t>
        </is>
      </c>
      <c r="S624" s="30" t="n">
        <v>23</v>
      </c>
      <c r="T624" s="6" t="inlineStr">
        <is>
          <t>Knock Off</t>
        </is>
      </c>
      <c r="U624" s="30" t="n">
        <v>26</v>
      </c>
      <c r="V624" s="6" t="inlineStr">
        <is>
          <t>Jump Kick</t>
        </is>
      </c>
      <c r="W624" s="30" t="n">
        <v>29</v>
      </c>
      <c r="X624" s="6" t="inlineStr">
        <is>
          <t>Bounce</t>
        </is>
      </c>
      <c r="Y624" s="30" t="n">
        <v>32</v>
      </c>
      <c r="Z624" s="6" t="inlineStr">
        <is>
          <t>High Jump Kick</t>
        </is>
      </c>
      <c r="AA624" s="30" t="n">
        <v>36</v>
      </c>
      <c r="AB624" s="6" t="inlineStr">
        <is>
          <t>Close Combat</t>
        </is>
      </c>
      <c r="AC624" s="30" t="n">
        <v>40</v>
      </c>
      <c r="AD624" s="6" t="inlineStr">
        <is>
          <t>Reversal</t>
        </is>
      </c>
      <c r="AE624" s="30" t="n">
        <v>44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Pound</t>
        </is>
      </c>
      <c r="C661" s="30" t="n">
        <v>1</v>
      </c>
      <c r="D661" s="6" t="inlineStr">
        <is>
          <t>Growl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Quick Attack</t>
        </is>
      </c>
      <c r="I661" s="30" t="n">
        <v>8</v>
      </c>
      <c r="J661" s="6" t="inlineStr">
        <is>
          <t>Lick</t>
        </is>
      </c>
      <c r="K661" s="30" t="n">
        <v>11</v>
      </c>
      <c r="L661" s="6" t="inlineStr">
        <is>
          <t>Water Pulse</t>
        </is>
      </c>
      <c r="M661" s="30" t="n">
        <v>14</v>
      </c>
      <c r="N661" s="6" t="inlineStr">
        <is>
          <t>Smokescreen</t>
        </is>
      </c>
      <c r="O661" s="30" t="n">
        <v>17</v>
      </c>
      <c r="P661" s="6" t="inlineStr">
        <is>
          <t>Round</t>
        </is>
      </c>
      <c r="Q661" s="30" t="n">
        <v>20</v>
      </c>
      <c r="R661" s="6" t="inlineStr">
        <is>
          <t>Bounce</t>
        </is>
      </c>
      <c r="S661" s="30" t="n">
        <v>23</v>
      </c>
      <c r="T661" s="6" t="inlineStr">
        <is>
          <t>Extrasensory</t>
        </is>
      </c>
      <c r="U661" s="30" t="n">
        <v>26</v>
      </c>
      <c r="V661" s="6" t="inlineStr">
        <is>
          <t>Substitute</t>
        </is>
      </c>
      <c r="W661" s="30" t="n">
        <v>29</v>
      </c>
      <c r="X661" s="6" t="inlineStr">
        <is>
          <t>Hydro Pump</t>
        </is>
      </c>
      <c r="Y661" s="30" t="n">
        <v>32</v>
      </c>
      <c r="Z661" s="6" t="inlineStr">
        <is>
          <t>Dark Pulse</t>
        </is>
      </c>
      <c r="AA661" s="30" t="n">
        <v>35</v>
      </c>
      <c r="AR661" s="31" t="n"/>
    </row>
    <row r="662">
      <c r="A662" s="7" t="inlineStr">
        <is>
          <t>FROGADIER</t>
        </is>
      </c>
      <c r="B662" s="6" t="inlineStr">
        <is>
          <t>Pound</t>
        </is>
      </c>
      <c r="C662" s="30" t="n">
        <v>1</v>
      </c>
      <c r="D662" s="6" t="inlineStr">
        <is>
          <t>Growl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Quick Attack</t>
        </is>
      </c>
      <c r="I662" s="30" t="n">
        <v>8</v>
      </c>
      <c r="J662" s="6" t="inlineStr">
        <is>
          <t>Lick</t>
        </is>
      </c>
      <c r="K662" s="30" t="n">
        <v>11</v>
      </c>
      <c r="L662" s="6" t="inlineStr">
        <is>
          <t>Water Pulse</t>
        </is>
      </c>
      <c r="M662" s="30" t="n">
        <v>14</v>
      </c>
      <c r="N662" s="6" t="inlineStr">
        <is>
          <t>Smokescreen</t>
        </is>
      </c>
      <c r="O662" s="30" t="n">
        <v>17</v>
      </c>
      <c r="P662" s="6" t="inlineStr">
        <is>
          <t>Round</t>
        </is>
      </c>
      <c r="Q662" s="30" t="n">
        <v>20</v>
      </c>
      <c r="R662" s="6" t="inlineStr">
        <is>
          <t>Bounce</t>
        </is>
      </c>
      <c r="S662" s="30" t="n">
        <v>23</v>
      </c>
      <c r="T662" s="6" t="inlineStr">
        <is>
          <t>Extrasensory</t>
        </is>
      </c>
      <c r="U662" s="30" t="n">
        <v>26</v>
      </c>
      <c r="V662" s="6" t="inlineStr">
        <is>
          <t>Substitute</t>
        </is>
      </c>
      <c r="W662" s="30" t="n">
        <v>29</v>
      </c>
      <c r="X662" s="6" t="inlineStr">
        <is>
          <t>Hydro Pump</t>
        </is>
      </c>
      <c r="Y662" s="30" t="n">
        <v>32</v>
      </c>
      <c r="Z662" s="6" t="inlineStr">
        <is>
          <t>U Turn</t>
        </is>
      </c>
      <c r="AA662" s="30" t="n">
        <v>33</v>
      </c>
      <c r="AB662" s="6" t="inlineStr">
        <is>
          <t>Dark Pulse</t>
        </is>
      </c>
      <c r="AC662" s="30" t="n">
        <v>35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Water Gun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11</v>
      </c>
      <c r="L663" s="6" t="inlineStr">
        <is>
          <t>Water Pulse</t>
        </is>
      </c>
      <c r="M663" s="30" t="n">
        <v>14</v>
      </c>
      <c r="N663" s="6" t="inlineStr">
        <is>
          <t>Smokescreen</t>
        </is>
      </c>
      <c r="O663" s="30" t="n">
        <v>17</v>
      </c>
      <c r="P663" s="6" t="inlineStr">
        <is>
          <t>Round</t>
        </is>
      </c>
      <c r="Q663" s="30" t="n">
        <v>20</v>
      </c>
      <c r="R663" s="6" t="inlineStr">
        <is>
          <t>Bounce</t>
        </is>
      </c>
      <c r="S663" s="30" t="n">
        <v>23</v>
      </c>
      <c r="T663" s="6" t="inlineStr">
        <is>
          <t>Water Shuriken</t>
        </is>
      </c>
      <c r="U663" s="30" t="n">
        <v>24</v>
      </c>
      <c r="V663" s="6" t="inlineStr">
        <is>
          <t>Extrasensory</t>
        </is>
      </c>
      <c r="W663" s="30" t="n">
        <v>26</v>
      </c>
      <c r="X663" s="6" t="inlineStr">
        <is>
          <t>Spikes</t>
        </is>
      </c>
      <c r="Y663" s="30" t="n">
        <v>28</v>
      </c>
      <c r="Z663" s="6" t="inlineStr">
        <is>
          <t>Substitute</t>
        </is>
      </c>
      <c r="AA663" s="30" t="n">
        <v>29</v>
      </c>
      <c r="AB663" s="6" t="inlineStr">
        <is>
          <t>Hydro Pump</t>
        </is>
      </c>
      <c r="AC663" s="30" t="n">
        <v>32</v>
      </c>
      <c r="AD663" s="6" t="inlineStr">
        <is>
          <t>U Turn</t>
        </is>
      </c>
      <c r="AE663" s="30" t="n">
        <v>33</v>
      </c>
      <c r="AF663" s="6" t="inlineStr">
        <is>
          <t>Dark Pulse</t>
        </is>
      </c>
      <c r="AG663" s="30" t="n">
        <v>35</v>
      </c>
      <c r="AH663" s="6" t="inlineStr">
        <is>
          <t>Ice Beam</t>
        </is>
      </c>
      <c r="AI663" s="30" t="n">
        <v>40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Flame Charge</t>
        </is>
      </c>
      <c r="S666" s="30" t="n">
        <v>28</v>
      </c>
      <c r="T666" s="6" t="inlineStr">
        <is>
          <t>Acrobatics</t>
        </is>
      </c>
      <c r="U666" s="30" t="n">
        <v>32</v>
      </c>
      <c r="V666" s="6" t="inlineStr">
        <is>
          <t>Agility</t>
        </is>
      </c>
      <c r="W666" s="30" t="n">
        <v>36</v>
      </c>
      <c r="X666" s="6" t="inlineStr">
        <is>
          <t>Brave Bird</t>
        </is>
      </c>
      <c r="Y666" s="30" t="n">
        <v>40</v>
      </c>
      <c r="AR666" s="31" t="n"/>
    </row>
    <row r="667">
      <c r="A667" s="7" t="inlineStr">
        <is>
          <t>FLETCHINDER</t>
        </is>
      </c>
      <c r="B667" s="6" t="inlineStr">
        <is>
          <t>Ember</t>
        </is>
      </c>
      <c r="C667" s="30" t="inlineStr">
        <is>
          <t>Evo</t>
        </is>
      </c>
      <c r="D667" s="6" t="inlineStr">
        <is>
          <t>Gust</t>
        </is>
      </c>
      <c r="E667" s="30" t="n">
        <v>1</v>
      </c>
      <c r="F667" s="6" t="inlineStr">
        <is>
          <t>Leer</t>
        </is>
      </c>
      <c r="G667" s="30" t="n">
        <v>1</v>
      </c>
      <c r="H667" s="6" t="inlineStr">
        <is>
          <t>Quick Attack</t>
        </is>
      </c>
      <c r="I667" s="30" t="n">
        <v>5</v>
      </c>
      <c r="J667" s="6" t="inlineStr">
        <is>
          <t>Wing Attack</t>
        </is>
      </c>
      <c r="K667" s="30" t="n">
        <v>8</v>
      </c>
      <c r="L667" s="6" t="inlineStr">
        <is>
          <t>Roost</t>
        </is>
      </c>
      <c r="M667" s="30" t="n">
        <v>12</v>
      </c>
      <c r="N667" s="6" t="inlineStr">
        <is>
          <t>Air Cutter</t>
        </is>
      </c>
      <c r="O667" s="30" t="n">
        <v>16</v>
      </c>
      <c r="P667" s="6" t="inlineStr">
        <is>
          <t>Feather Dance</t>
        </is>
      </c>
      <c r="Q667" s="30" t="n">
        <v>20</v>
      </c>
      <c r="R667" s="6" t="inlineStr">
        <is>
          <t>Flame Charge</t>
        </is>
      </c>
      <c r="S667" s="30" t="n">
        <v>22</v>
      </c>
      <c r="T667" s="6" t="inlineStr">
        <is>
          <t>Aerial Ace</t>
        </is>
      </c>
      <c r="U667" s="30" t="n">
        <v>24</v>
      </c>
      <c r="V667" s="6" t="inlineStr">
        <is>
          <t>Fire Fang</t>
        </is>
      </c>
      <c r="W667" s="30" t="n">
        <v>30</v>
      </c>
      <c r="X667" s="6" t="inlineStr">
        <is>
          <t>Acrobatics</t>
        </is>
      </c>
      <c r="Y667" s="30" t="n">
        <v>32</v>
      </c>
      <c r="Z667" s="6" t="inlineStr">
        <is>
          <t>Agility</t>
        </is>
      </c>
      <c r="AA667" s="30" t="n">
        <v>36</v>
      </c>
      <c r="AB667" s="6" t="inlineStr">
        <is>
          <t>Brave Bird</t>
        </is>
      </c>
      <c r="AC667" s="30" t="n">
        <v>40</v>
      </c>
      <c r="AD667" s="6" t="inlineStr">
        <is>
          <t>Flare Blitz</t>
        </is>
      </c>
      <c r="AE667" s="30" t="n">
        <v>44</v>
      </c>
      <c r="AR667" s="31" t="n"/>
    </row>
    <row r="668">
      <c r="A668" s="7" t="inlineStr">
        <is>
          <t>TALONFLAME</t>
        </is>
      </c>
      <c r="B668" s="6" t="inlineStr">
        <is>
          <t>Steel Wing</t>
        </is>
      </c>
      <c r="C668" s="30" t="inlineStr">
        <is>
          <t>Evo</t>
        </is>
      </c>
      <c r="D668" s="6" t="inlineStr">
        <is>
          <t>Gust</t>
        </is>
      </c>
      <c r="E668" s="30" t="n">
        <v>1</v>
      </c>
      <c r="F668" s="6" t="inlineStr">
        <is>
          <t>Leer</t>
        </is>
      </c>
      <c r="G668" s="30" t="n">
        <v>1</v>
      </c>
      <c r="H668" s="6" t="inlineStr">
        <is>
          <t>Quick Attack</t>
        </is>
      </c>
      <c r="I668" s="30" t="n">
        <v>5</v>
      </c>
      <c r="J668" s="6" t="inlineStr">
        <is>
          <t>Wing Attack</t>
        </is>
      </c>
      <c r="K668" s="30" t="n">
        <v>8</v>
      </c>
      <c r="L668" s="6" t="inlineStr">
        <is>
          <t>Roost</t>
        </is>
      </c>
      <c r="M668" s="30" t="n">
        <v>12</v>
      </c>
      <c r="N668" s="6" t="inlineStr">
        <is>
          <t>Air Cutter</t>
        </is>
      </c>
      <c r="O668" s="30" t="n">
        <v>16</v>
      </c>
      <c r="P668" s="6" t="inlineStr">
        <is>
          <t>Feather Dance</t>
        </is>
      </c>
      <c r="Q668" s="30" t="n">
        <v>20</v>
      </c>
      <c r="R668" s="6" t="inlineStr">
        <is>
          <t>Flame Charge</t>
        </is>
      </c>
      <c r="S668" s="30" t="n">
        <v>22</v>
      </c>
      <c r="T668" s="6" t="inlineStr">
        <is>
          <t>Aerial Ace</t>
        </is>
      </c>
      <c r="U668" s="30" t="n">
        <v>24</v>
      </c>
      <c r="V668" s="6" t="inlineStr">
        <is>
          <t>Fire Fang</t>
        </is>
      </c>
      <c r="W668" s="30" t="n">
        <v>30</v>
      </c>
      <c r="X668" s="6" t="inlineStr">
        <is>
          <t>Acrobatics</t>
        </is>
      </c>
      <c r="Y668" s="30" t="n">
        <v>32</v>
      </c>
      <c r="Z668" s="6" t="inlineStr">
        <is>
          <t>Agility</t>
        </is>
      </c>
      <c r="AA668" s="30" t="n">
        <v>36</v>
      </c>
      <c r="AB668" s="6" t="inlineStr">
        <is>
          <t>Brave Bird</t>
        </is>
      </c>
      <c r="AC668" s="30" t="n">
        <v>40</v>
      </c>
      <c r="AD668" s="6" t="inlineStr">
        <is>
          <t>Flare Blitz</t>
        </is>
      </c>
      <c r="AE668" s="30" t="n">
        <v>44</v>
      </c>
      <c r="AF668" s="6" t="inlineStr">
        <is>
          <t>Tailwind</t>
        </is>
      </c>
      <c r="AG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Growth</t>
        </is>
      </c>
      <c r="E671" s="30" t="n">
        <v>1</v>
      </c>
      <c r="F671" s="6" t="inlineStr">
        <is>
          <t>Vine Whip</t>
        </is>
      </c>
      <c r="G671" s="30" t="n">
        <v>5</v>
      </c>
      <c r="H671" s="6" t="inlineStr">
        <is>
          <t>Tail Whip</t>
        </is>
      </c>
      <c r="I671" s="30" t="n">
        <v>8</v>
      </c>
      <c r="J671" s="6" t="inlineStr">
        <is>
          <t>Leech Seed</t>
        </is>
      </c>
      <c r="K671" s="30" t="n">
        <v>11</v>
      </c>
      <c r="L671" s="6" t="inlineStr">
        <is>
          <t>Razor Leaf</t>
        </is>
      </c>
      <c r="M671" s="30" t="n">
        <v>14</v>
      </c>
      <c r="N671" s="6" t="inlineStr">
        <is>
          <t>Bulldoze</t>
        </is>
      </c>
      <c r="O671" s="30" t="n">
        <v>17</v>
      </c>
      <c r="P671" s="6" t="inlineStr">
        <is>
          <t>Synthesis</t>
        </is>
      </c>
      <c r="Q671" s="30" t="n">
        <v>20</v>
      </c>
      <c r="R671" s="6" t="inlineStr">
        <is>
          <t>Take Down</t>
        </is>
      </c>
      <c r="S671" s="30" t="n">
        <v>23</v>
      </c>
      <c r="T671" s="6" t="inlineStr">
        <is>
          <t>Bulk Up</t>
        </is>
      </c>
      <c r="U671" s="30" t="n">
        <v>26</v>
      </c>
      <c r="V671" s="6" t="inlineStr">
        <is>
          <t>Horn Leech</t>
        </is>
      </c>
      <c r="W671" s="30" t="n">
        <v>29</v>
      </c>
      <c r="X671" s="6" t="inlineStr">
        <is>
          <t>Rock Slide</t>
        </is>
      </c>
      <c r="Y671" s="30" t="n">
        <v>32</v>
      </c>
      <c r="Z671" s="6" t="inlineStr">
        <is>
          <t>Leaf Blade</t>
        </is>
      </c>
      <c r="AA671" s="30" t="n">
        <v>35</v>
      </c>
      <c r="AB671" s="6" t="inlineStr">
        <is>
          <t>Double Edge</t>
        </is>
      </c>
      <c r="AC671" s="30" t="n">
        <v>39</v>
      </c>
      <c r="AR671" s="31" t="n"/>
    </row>
    <row r="672">
      <c r="A672" s="7" t="inlineStr">
        <is>
          <t>GOGOAT</t>
        </is>
      </c>
      <c r="B672" s="6" t="inlineStr">
        <is>
          <t>Aerial Ace</t>
        </is>
      </c>
      <c r="C672" s="30" t="inlineStr">
        <is>
          <t>Evo</t>
        </is>
      </c>
      <c r="D672" s="6" t="inlineStr">
        <is>
          <t>Tackle</t>
        </is>
      </c>
      <c r="E672" s="30" t="n">
        <v>1</v>
      </c>
      <c r="F672" s="6" t="inlineStr">
        <is>
          <t>Growth</t>
        </is>
      </c>
      <c r="G672" s="30" t="n">
        <v>1</v>
      </c>
      <c r="H672" s="6" t="inlineStr">
        <is>
          <t>Vine Whip</t>
        </is>
      </c>
      <c r="I672" s="30" t="n">
        <v>5</v>
      </c>
      <c r="J672" s="6" t="inlineStr">
        <is>
          <t>Tail Whip</t>
        </is>
      </c>
      <c r="K672" s="30" t="n">
        <v>8</v>
      </c>
      <c r="L672" s="6" t="inlineStr">
        <is>
          <t>Leech Seed</t>
        </is>
      </c>
      <c r="M672" s="30" t="n">
        <v>11</v>
      </c>
      <c r="N672" s="6" t="inlineStr">
        <is>
          <t>Razor Leaf</t>
        </is>
      </c>
      <c r="O672" s="30" t="n">
        <v>14</v>
      </c>
      <c r="P672" s="6" t="inlineStr">
        <is>
          <t>Bulldoze</t>
        </is>
      </c>
      <c r="Q672" s="30" t="n">
        <v>17</v>
      </c>
      <c r="R672" s="6" t="inlineStr">
        <is>
          <t>Synthesis</t>
        </is>
      </c>
      <c r="S672" s="30" t="n">
        <v>20</v>
      </c>
      <c r="T672" s="6" t="inlineStr">
        <is>
          <t>Take Down</t>
        </is>
      </c>
      <c r="U672" s="30" t="n">
        <v>23</v>
      </c>
      <c r="V672" s="6" t="inlineStr">
        <is>
          <t>Bulk Up</t>
        </is>
      </c>
      <c r="W672" s="30" t="n">
        <v>26</v>
      </c>
      <c r="X672" s="6" t="inlineStr">
        <is>
          <t>Horn Leech</t>
        </is>
      </c>
      <c r="Y672" s="30" t="n">
        <v>29</v>
      </c>
      <c r="Z672" s="6" t="inlineStr">
        <is>
          <t>Rock Slide</t>
        </is>
      </c>
      <c r="AA672" s="30" t="n">
        <v>32</v>
      </c>
      <c r="AB672" s="6" t="inlineStr">
        <is>
          <t>Leaf Blade</t>
        </is>
      </c>
      <c r="AC672" s="30" t="n">
        <v>35</v>
      </c>
      <c r="AD672" s="6" t="inlineStr">
        <is>
          <t>Double Edge</t>
        </is>
      </c>
      <c r="AE672" s="30" t="n">
        <v>39</v>
      </c>
      <c r="AF672" s="6" t="inlineStr">
        <is>
          <t>Earthquake</t>
        </is>
      </c>
      <c r="AG672" s="30" t="n">
        <v>44</v>
      </c>
      <c r="AH672" s="6" t="inlineStr">
        <is>
          <t>Milk Drink</t>
        </is>
      </c>
      <c r="AI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Arm Thrust</t>
        </is>
      </c>
      <c r="G673" s="30" t="n">
        <v>5</v>
      </c>
      <c r="H673" s="6" t="inlineStr">
        <is>
          <t>Circle Throw</t>
        </is>
      </c>
      <c r="I673" s="30" t="n">
        <v>8</v>
      </c>
      <c r="J673" s="6" t="inlineStr">
        <is>
          <t>Work Up</t>
        </is>
      </c>
      <c r="K673" s="30" t="n">
        <v>11</v>
      </c>
      <c r="L673" s="6" t="inlineStr">
        <is>
          <t>Rock Smash</t>
        </is>
      </c>
      <c r="M673" s="30" t="n">
        <v>14</v>
      </c>
      <c r="N673" s="6" t="inlineStr">
        <is>
          <t>Karate Chop</t>
        </is>
      </c>
      <c r="O673" s="30" t="n">
        <v>17</v>
      </c>
      <c r="P673" s="6" t="inlineStr">
        <is>
          <t>Vital Throw</t>
        </is>
      </c>
      <c r="Q673" s="30" t="n">
        <v>20</v>
      </c>
      <c r="R673" s="6" t="inlineStr">
        <is>
          <t>Parting Shot</t>
        </is>
      </c>
      <c r="S673" s="30" t="n">
        <v>23</v>
      </c>
      <c r="T673" s="6" t="inlineStr">
        <is>
          <t>Crunch</t>
        </is>
      </c>
      <c r="U673" s="30" t="n">
        <v>26</v>
      </c>
      <c r="V673" s="6" t="inlineStr">
        <is>
          <t>Body Slam</t>
        </is>
      </c>
      <c r="W673" s="30" t="n">
        <v>29</v>
      </c>
      <c r="X673" s="6" t="inlineStr">
        <is>
          <t>Hammer Arm</t>
        </is>
      </c>
      <c r="Y673" s="30" t="n">
        <v>32</v>
      </c>
      <c r="Z673" s="6" t="inlineStr">
        <is>
          <t>Storm Throw</t>
        </is>
      </c>
      <c r="AA673" s="30" t="n">
        <v>36</v>
      </c>
      <c r="AR673" s="31" t="n"/>
    </row>
    <row r="674">
      <c r="A674" s="7" t="inlineStr">
        <is>
          <t>PANGORO</t>
        </is>
      </c>
      <c r="B674" s="6" t="inlineStr">
        <is>
          <t>Night Slash</t>
        </is>
      </c>
      <c r="C674" s="30" t="inlineStr">
        <is>
          <t>Evo</t>
        </is>
      </c>
      <c r="D674" s="6" t="inlineStr">
        <is>
          <t>Tackle</t>
        </is>
      </c>
      <c r="E674" s="30" t="n">
        <v>1</v>
      </c>
      <c r="F674" s="6" t="inlineStr">
        <is>
          <t>Leer</t>
        </is>
      </c>
      <c r="G674" s="30" t="n">
        <v>1</v>
      </c>
      <c r="H674" s="6" t="inlineStr">
        <is>
          <t>Arm Thrust</t>
        </is>
      </c>
      <c r="I674" s="30" t="n">
        <v>5</v>
      </c>
      <c r="J674" s="6" t="inlineStr">
        <is>
          <t>Circle Throw</t>
        </is>
      </c>
      <c r="K674" s="30" t="n">
        <v>8</v>
      </c>
      <c r="L674" s="6" t="inlineStr">
        <is>
          <t>Work Up</t>
        </is>
      </c>
      <c r="M674" s="30" t="n">
        <v>11</v>
      </c>
      <c r="N674" s="6" t="inlineStr">
        <is>
          <t>Rock Smash</t>
        </is>
      </c>
      <c r="O674" s="30" t="n">
        <v>14</v>
      </c>
      <c r="P674" s="6" t="inlineStr">
        <is>
          <t>Karate Chop</t>
        </is>
      </c>
      <c r="Q674" s="30" t="n">
        <v>17</v>
      </c>
      <c r="R674" s="6" t="inlineStr">
        <is>
          <t>Vital Throw</t>
        </is>
      </c>
      <c r="S674" s="30" t="n">
        <v>20</v>
      </c>
      <c r="T674" s="6" t="inlineStr">
        <is>
          <t>Parting Shot</t>
        </is>
      </c>
      <c r="U674" s="30" t="n">
        <v>23</v>
      </c>
      <c r="V674" s="6" t="inlineStr">
        <is>
          <t>Crunch</t>
        </is>
      </c>
      <c r="W674" s="30" t="n">
        <v>26</v>
      </c>
      <c r="X674" s="6" t="inlineStr">
        <is>
          <t>Body Slam</t>
        </is>
      </c>
      <c r="Y674" s="30" t="n">
        <v>29</v>
      </c>
      <c r="Z674" s="6" t="inlineStr">
        <is>
          <t>Hammer Arm</t>
        </is>
      </c>
      <c r="AA674" s="30" t="n">
        <v>32</v>
      </c>
      <c r="AB674" s="6" t="inlineStr">
        <is>
          <t>Storm Throw</t>
        </is>
      </c>
      <c r="AC674" s="30" t="n">
        <v>36</v>
      </c>
      <c r="AD674" s="6" t="inlineStr">
        <is>
          <t>Knock Off</t>
        </is>
      </c>
      <c r="AE674" s="30" t="n">
        <v>40</v>
      </c>
      <c r="AF674" s="6" t="inlineStr">
        <is>
          <t>Superpower</t>
        </is>
      </c>
      <c r="AG674" s="30" t="n">
        <v>46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11</v>
      </c>
      <c r="L675" s="6" t="inlineStr">
        <is>
          <t>Fake Out</t>
        </is>
      </c>
      <c r="M675" s="30" t="n">
        <v>14</v>
      </c>
      <c r="N675" s="6" t="inlineStr">
        <is>
          <t>Reflect</t>
        </is>
      </c>
      <c r="O675" s="30" t="n">
        <v>17</v>
      </c>
      <c r="P675" s="6" t="inlineStr">
        <is>
          <t>Psyshock</t>
        </is>
      </c>
      <c r="Q675" s="30" t="n">
        <v>20</v>
      </c>
      <c r="R675" s="6" t="inlineStr">
        <is>
          <t>Calm Mind</t>
        </is>
      </c>
      <c r="S675" s="30" t="n">
        <v>23</v>
      </c>
      <c r="T675" s="6" t="inlineStr">
        <is>
          <t>Yawn</t>
        </is>
      </c>
      <c r="U675" s="30" t="n">
        <v>26</v>
      </c>
      <c r="V675" s="6" t="inlineStr">
        <is>
          <t>Psychic</t>
        </is>
      </c>
      <c r="W675" s="30" t="n">
        <v>29</v>
      </c>
      <c r="X675" s="6" t="inlineStr">
        <is>
          <t>Shadow Ball</t>
        </is>
      </c>
      <c r="Y675" s="30" t="n">
        <v>32</v>
      </c>
      <c r="AR675" s="31" t="n"/>
    </row>
    <row r="676">
      <c r="A676" s="7" t="inlineStr">
        <is>
          <t>MEOWSTIC (F)</t>
        </is>
      </c>
      <c r="B676" s="6" t="inlineStr">
        <is>
          <t>Stored Power</t>
        </is>
      </c>
      <c r="C676" s="30" t="inlineStr">
        <is>
          <t>Evo</t>
        </is>
      </c>
      <c r="D676" s="6" t="inlineStr">
        <is>
          <t>Confusion</t>
        </is>
      </c>
      <c r="E676" s="30" t="n">
        <v>1</v>
      </c>
      <c r="F676" s="6" t="inlineStr">
        <is>
          <t>Leer</t>
        </is>
      </c>
      <c r="G676" s="30" t="n">
        <v>1</v>
      </c>
      <c r="H676" s="6" t="inlineStr">
        <is>
          <t>Disable</t>
        </is>
      </c>
      <c r="I676" s="30" t="n">
        <v>5</v>
      </c>
      <c r="J676" s="6" t="inlineStr">
        <is>
          <t>Psybeam</t>
        </is>
      </c>
      <c r="K676" s="30" t="n">
        <v>8</v>
      </c>
      <c r="L676" s="6" t="inlineStr">
        <is>
          <t>Light Screen</t>
        </is>
      </c>
      <c r="M676" s="30" t="n">
        <v>11</v>
      </c>
      <c r="N676" s="6" t="inlineStr">
        <is>
          <t>Fake Out</t>
        </is>
      </c>
      <c r="O676" s="30" t="n">
        <v>14</v>
      </c>
      <c r="P676" s="6" t="inlineStr">
        <is>
          <t>Reflect</t>
        </is>
      </c>
      <c r="Q676" s="30" t="n">
        <v>17</v>
      </c>
      <c r="R676" s="6" t="inlineStr">
        <is>
          <t>Psyshock</t>
        </is>
      </c>
      <c r="S676" s="30" t="n">
        <v>20</v>
      </c>
      <c r="T676" s="6" t="inlineStr">
        <is>
          <t>Calm Mind</t>
        </is>
      </c>
      <c r="U676" s="30" t="n">
        <v>23</v>
      </c>
      <c r="V676" s="6" t="inlineStr">
        <is>
          <t>Yawn</t>
        </is>
      </c>
      <c r="W676" s="30" t="n">
        <v>26</v>
      </c>
      <c r="X676" s="6" t="inlineStr">
        <is>
          <t>Psychic</t>
        </is>
      </c>
      <c r="Y676" s="30" t="n">
        <v>29</v>
      </c>
      <c r="Z676" s="6" t="inlineStr">
        <is>
          <t>Shadow Ball</t>
        </is>
      </c>
      <c r="AA676" s="30" t="n">
        <v>32</v>
      </c>
      <c r="AB676" s="6" t="inlineStr">
        <is>
          <t>Extrasensory</t>
        </is>
      </c>
      <c r="AC676" s="30" t="n">
        <v>38</v>
      </c>
      <c r="AD676" s="6" t="inlineStr">
        <is>
          <t>Future Sight</t>
        </is>
      </c>
      <c r="AE676" s="30" t="n">
        <v>44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11</v>
      </c>
      <c r="L677" s="6" t="inlineStr">
        <is>
          <t>Fake Out</t>
        </is>
      </c>
      <c r="M677" s="30" t="n">
        <v>14</v>
      </c>
      <c r="N677" s="6" t="inlineStr">
        <is>
          <t>Reflect</t>
        </is>
      </c>
      <c r="O677" s="30" t="n">
        <v>17</v>
      </c>
      <c r="P677" s="6" t="inlineStr">
        <is>
          <t>Psyshock</t>
        </is>
      </c>
      <c r="Q677" s="30" t="n">
        <v>20</v>
      </c>
      <c r="R677" s="6" t="inlineStr">
        <is>
          <t>Calm Mind</t>
        </is>
      </c>
      <c r="S677" s="30" t="n">
        <v>23</v>
      </c>
      <c r="T677" s="6" t="inlineStr">
        <is>
          <t>Yawn</t>
        </is>
      </c>
      <c r="U677" s="30" t="n">
        <v>26</v>
      </c>
      <c r="V677" s="6" t="inlineStr">
        <is>
          <t>Psychic</t>
        </is>
      </c>
      <c r="W677" s="30" t="n">
        <v>29</v>
      </c>
      <c r="X677" s="6" t="inlineStr">
        <is>
          <t>Shadow Ball</t>
        </is>
      </c>
      <c r="Y677" s="30" t="n">
        <v>32</v>
      </c>
      <c r="Z677" s="6" t="inlineStr">
        <is>
          <t>Recover</t>
        </is>
      </c>
      <c r="AA677" s="30" t="n">
        <v>34</v>
      </c>
      <c r="AB677" s="6" t="inlineStr">
        <is>
          <t>Future Sight</t>
        </is>
      </c>
      <c r="AC677" s="30" t="n">
        <v>40</v>
      </c>
      <c r="AD677" s="6" t="inlineStr">
        <is>
          <t>Trick Room</t>
        </is>
      </c>
      <c r="AE677" s="30" t="n">
        <v>44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Tackle</t>
        </is>
      </c>
      <c r="C685" s="30" t="n">
        <v>1</v>
      </c>
      <c r="D685" s="6" t="inlineStr">
        <is>
          <t>Peck</t>
        </is>
      </c>
      <c r="E685" s="30" t="n">
        <v>1</v>
      </c>
      <c r="F685" s="6" t="inlineStr">
        <is>
          <t>Hypnosis</t>
        </is>
      </c>
      <c r="G685" s="30" t="n">
        <v>5</v>
      </c>
      <c r="H685" s="6" t="inlineStr">
        <is>
          <t>Foul Play</t>
        </is>
      </c>
      <c r="I685" s="30" t="n">
        <v>8</v>
      </c>
      <c r="J685" s="6" t="inlineStr">
        <is>
          <t>Reflect</t>
        </is>
      </c>
      <c r="K685" s="30" t="n">
        <v>11</v>
      </c>
      <c r="L685" s="6" t="inlineStr">
        <is>
          <t>Psybeam</t>
        </is>
      </c>
      <c r="M685" s="30" t="n">
        <v>14</v>
      </c>
      <c r="N685" s="6" t="inlineStr">
        <is>
          <t>Swagger</t>
        </is>
      </c>
      <c r="O685" s="30" t="n">
        <v>17</v>
      </c>
      <c r="P685" s="6" t="inlineStr">
        <is>
          <t>Pluck</t>
        </is>
      </c>
      <c r="Q685" s="30" t="n">
        <v>20</v>
      </c>
      <c r="R685" s="6" t="inlineStr">
        <is>
          <t>Psycho Cut</t>
        </is>
      </c>
      <c r="S685" s="30" t="n">
        <v>23</v>
      </c>
      <c r="T685" s="6" t="inlineStr">
        <is>
          <t>Night Slash</t>
        </is>
      </c>
      <c r="U685" s="30" t="n">
        <v>26</v>
      </c>
      <c r="V685" s="6" t="inlineStr">
        <is>
          <t>Superpower</t>
        </is>
      </c>
      <c r="W685" s="30" t="n">
        <v>29</v>
      </c>
      <c r="X685" s="6" t="inlineStr">
        <is>
          <t>Topsy Turvy</t>
        </is>
      </c>
      <c r="Y685" s="30" t="n">
        <v>32</v>
      </c>
      <c r="Z685" s="6" t="inlineStr">
        <is>
          <t>Slash</t>
        </is>
      </c>
      <c r="AA685" s="30" t="n">
        <v>36</v>
      </c>
      <c r="AR685" s="31" t="n"/>
    </row>
    <row r="686">
      <c r="A686" s="7" t="inlineStr">
        <is>
          <t>MALAMAR</t>
        </is>
      </c>
      <c r="B686" s="6" t="inlineStr">
        <is>
          <t>Reversal</t>
        </is>
      </c>
      <c r="C686" s="30" t="inlineStr">
        <is>
          <t>Evo</t>
        </is>
      </c>
      <c r="D686" s="6" t="inlineStr">
        <is>
          <t>Tackle</t>
        </is>
      </c>
      <c r="E686" s="30" t="n">
        <v>1</v>
      </c>
      <c r="F686" s="6" t="inlineStr">
        <is>
          <t>Peck</t>
        </is>
      </c>
      <c r="G686" s="30" t="n">
        <v>1</v>
      </c>
      <c r="H686" s="6" t="inlineStr">
        <is>
          <t>Hypnosis</t>
        </is>
      </c>
      <c r="I686" s="30" t="n">
        <v>5</v>
      </c>
      <c r="J686" s="6" t="inlineStr">
        <is>
          <t>Foul Play</t>
        </is>
      </c>
      <c r="K686" s="30" t="n">
        <v>8</v>
      </c>
      <c r="L686" s="6" t="inlineStr">
        <is>
          <t>Reflect</t>
        </is>
      </c>
      <c r="M686" s="30" t="n">
        <v>11</v>
      </c>
      <c r="N686" s="6" t="inlineStr">
        <is>
          <t>Psybeam</t>
        </is>
      </c>
      <c r="O686" s="30" t="n">
        <v>14</v>
      </c>
      <c r="P686" s="6" t="inlineStr">
        <is>
          <t>Swagger</t>
        </is>
      </c>
      <c r="Q686" s="30" t="n">
        <v>17</v>
      </c>
      <c r="R686" s="6" t="inlineStr">
        <is>
          <t>Pluck</t>
        </is>
      </c>
      <c r="S686" s="30" t="n">
        <v>20</v>
      </c>
      <c r="T686" s="6" t="inlineStr">
        <is>
          <t>Psycho Cut</t>
        </is>
      </c>
      <c r="U686" s="30" t="n">
        <v>23</v>
      </c>
      <c r="V686" s="6" t="inlineStr">
        <is>
          <t>Night Slash</t>
        </is>
      </c>
      <c r="W686" s="30" t="n">
        <v>26</v>
      </c>
      <c r="X686" s="6" t="inlineStr">
        <is>
          <t>Superpower</t>
        </is>
      </c>
      <c r="Y686" s="30" t="n">
        <v>29</v>
      </c>
      <c r="Z686" s="6" t="inlineStr">
        <is>
          <t>Topsy Turvy</t>
        </is>
      </c>
      <c r="AA686" s="30" t="n">
        <v>32</v>
      </c>
      <c r="AB686" s="6" t="inlineStr">
        <is>
          <t>Slash</t>
        </is>
      </c>
      <c r="AC686" s="30" t="n">
        <v>36</v>
      </c>
      <c r="AD686" s="6" t="inlineStr">
        <is>
          <t>Knock Off</t>
        </is>
      </c>
      <c r="AE686" s="30" t="n">
        <v>40</v>
      </c>
      <c r="AR686" s="31" t="n"/>
    </row>
    <row r="687">
      <c r="A687" s="7" t="inlineStr">
        <is>
          <t>BINACLE</t>
        </is>
      </c>
      <c r="B687" s="6" t="inlineStr">
        <is>
          <t>Scratch</t>
        </is>
      </c>
      <c r="C687" s="30" t="n">
        <v>1</v>
      </c>
      <c r="D687" s="6" t="inlineStr">
        <is>
          <t>Sand Attack</t>
        </is>
      </c>
      <c r="E687" s="30" t="n">
        <v>1</v>
      </c>
      <c r="F687" s="6" t="inlineStr">
        <is>
          <t>Water Gun</t>
        </is>
      </c>
      <c r="G687" s="30" t="n">
        <v>5</v>
      </c>
      <c r="H687" s="6" t="inlineStr">
        <is>
          <t>Fury Swipes</t>
        </is>
      </c>
      <c r="I687" s="30" t="n">
        <v>8</v>
      </c>
      <c r="J687" s="6" t="inlineStr">
        <is>
          <t>Rock Throw</t>
        </is>
      </c>
      <c r="K687" s="30" t="n">
        <v>11</v>
      </c>
      <c r="L687" s="6" t="inlineStr">
        <is>
          <t>Slash</t>
        </is>
      </c>
      <c r="M687" s="30" t="n">
        <v>14</v>
      </c>
      <c r="N687" s="6" t="inlineStr">
        <is>
          <t>Razor Shell</t>
        </is>
      </c>
      <c r="O687" s="30" t="n">
        <v>17</v>
      </c>
      <c r="P687" s="6" t="inlineStr">
        <is>
          <t>Rock Tomb</t>
        </is>
      </c>
      <c r="Q687" s="30" t="n">
        <v>20</v>
      </c>
      <c r="R687" s="6" t="inlineStr">
        <is>
          <t>Hone Claws</t>
        </is>
      </c>
      <c r="S687" s="30" t="n">
        <v>23</v>
      </c>
      <c r="T687" s="6" t="inlineStr">
        <is>
          <t>Clamp</t>
        </is>
      </c>
      <c r="U687" s="30" t="n">
        <v>26</v>
      </c>
      <c r="V687" s="6" t="inlineStr">
        <is>
          <t>Rock Slide</t>
        </is>
      </c>
      <c r="W687" s="30" t="n">
        <v>29</v>
      </c>
      <c r="X687" s="6" t="inlineStr">
        <is>
          <t>Cross Chop</t>
        </is>
      </c>
      <c r="Y687" s="30" t="n">
        <v>32</v>
      </c>
      <c r="Z687" s="6" t="inlineStr">
        <is>
          <t>Shell Smash</t>
        </is>
      </c>
      <c r="AA687" s="30" t="n">
        <v>35</v>
      </c>
      <c r="AR687" s="31" t="n"/>
    </row>
    <row r="688">
      <c r="A688" s="7" t="inlineStr">
        <is>
          <t>BARBARACLE</t>
        </is>
      </c>
      <c r="B688" s="6" t="inlineStr">
        <is>
          <t>Scratch</t>
        </is>
      </c>
      <c r="C688" s="30" t="n">
        <v>1</v>
      </c>
      <c r="D688" s="6" t="inlineStr">
        <is>
          <t>Sand Attack</t>
        </is>
      </c>
      <c r="E688" s="30" t="n">
        <v>1</v>
      </c>
      <c r="F688" s="6" t="inlineStr">
        <is>
          <t>Water Gun</t>
        </is>
      </c>
      <c r="G688" s="30" t="n">
        <v>5</v>
      </c>
      <c r="H688" s="6" t="inlineStr">
        <is>
          <t>Fury Swipes</t>
        </is>
      </c>
      <c r="I688" s="30" t="n">
        <v>8</v>
      </c>
      <c r="J688" s="6" t="inlineStr">
        <is>
          <t>Rock Throw</t>
        </is>
      </c>
      <c r="K688" s="30" t="n">
        <v>11</v>
      </c>
      <c r="L688" s="6" t="inlineStr">
        <is>
          <t>Slash</t>
        </is>
      </c>
      <c r="M688" s="30" t="n">
        <v>14</v>
      </c>
      <c r="N688" s="6" t="inlineStr">
        <is>
          <t>Razor Shell</t>
        </is>
      </c>
      <c r="O688" s="30" t="n">
        <v>17</v>
      </c>
      <c r="P688" s="6" t="inlineStr">
        <is>
          <t>Rock Tomb</t>
        </is>
      </c>
      <c r="Q688" s="30" t="n">
        <v>20</v>
      </c>
      <c r="R688" s="6" t="inlineStr">
        <is>
          <t>Hone Claws</t>
        </is>
      </c>
      <c r="S688" s="30" t="n">
        <v>23</v>
      </c>
      <c r="T688" s="6" t="inlineStr">
        <is>
          <t>Clamp</t>
        </is>
      </c>
      <c r="U688" s="30" t="n">
        <v>26</v>
      </c>
      <c r="V688" s="6" t="inlineStr">
        <is>
          <t>Rock Slide</t>
        </is>
      </c>
      <c r="W688" s="30" t="n">
        <v>29</v>
      </c>
      <c r="X688" s="6" t="inlineStr">
        <is>
          <t>Cross Chop</t>
        </is>
      </c>
      <c r="Y688" s="30" t="n">
        <v>32</v>
      </c>
      <c r="Z688" s="6" t="inlineStr">
        <is>
          <t>Shell Smash</t>
        </is>
      </c>
      <c r="AA688" s="30" t="n">
        <v>35</v>
      </c>
      <c r="AB688" s="6" t="inlineStr">
        <is>
          <t>Stone Edge</t>
        </is>
      </c>
      <c r="AC688" s="30" t="n">
        <v>36</v>
      </c>
      <c r="AD688" s="6" t="inlineStr">
        <is>
          <t>Night Slash</t>
        </is>
      </c>
      <c r="AE688" s="30" t="n">
        <v>40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Pound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Mud Slap</t>
        </is>
      </c>
      <c r="K693" s="30" t="n">
        <v>11</v>
      </c>
      <c r="L693" s="6" t="inlineStr">
        <is>
          <t>Shock Wave</t>
        </is>
      </c>
      <c r="M693" s="30" t="n">
        <v>14</v>
      </c>
      <c r="N693" s="6" t="inlineStr">
        <is>
          <t>Charge</t>
        </is>
      </c>
      <c r="O693" s="30" t="n">
        <v>17</v>
      </c>
      <c r="P693" s="6" t="inlineStr">
        <is>
          <t>Volt Switch</t>
        </is>
      </c>
      <c r="Q693" s="30" t="n">
        <v>20</v>
      </c>
      <c r="R693" s="6" t="inlineStr">
        <is>
          <t>Parabolic Charge</t>
        </is>
      </c>
      <c r="S693" s="30" t="n">
        <v>23</v>
      </c>
      <c r="T693" s="6" t="inlineStr">
        <is>
          <t>Electro Ball</t>
        </is>
      </c>
      <c r="U693" s="30" t="n">
        <v>26</v>
      </c>
      <c r="V693" s="6" t="inlineStr">
        <is>
          <t>Bulldoze</t>
        </is>
      </c>
      <c r="W693" s="30" t="n">
        <v>29</v>
      </c>
      <c r="X693" s="6" t="inlineStr">
        <is>
          <t>Thunderbolt</t>
        </is>
      </c>
      <c r="Y693" s="30" t="n">
        <v>32</v>
      </c>
      <c r="Z693" s="6" t="inlineStr">
        <is>
          <t>Surf</t>
        </is>
      </c>
      <c r="AA693" s="30" t="n">
        <v>35</v>
      </c>
      <c r="AR693" s="31" t="n"/>
    </row>
    <row r="694">
      <c r="A694" s="7" t="inlineStr">
        <is>
          <t>HELIOLISK</t>
        </is>
      </c>
      <c r="B694" s="6" t="inlineStr">
        <is>
          <t>Pound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Mud Slap</t>
        </is>
      </c>
      <c r="K694" s="30" t="n">
        <v>1</v>
      </c>
      <c r="L694" s="6" t="inlineStr">
        <is>
          <t>Volt Switch</t>
        </is>
      </c>
      <c r="M694" s="30" t="n">
        <v>28</v>
      </c>
      <c r="N694" s="6" t="inlineStr">
        <is>
          <t>Thunderbolt</t>
        </is>
      </c>
      <c r="O694" s="30" t="n">
        <v>36</v>
      </c>
      <c r="P694" s="6" t="inlineStr">
        <is>
          <t>Surf</t>
        </is>
      </c>
      <c r="Q694" s="30" t="n">
        <v>44</v>
      </c>
      <c r="R694" s="6" t="inlineStr">
        <is>
          <t>Thunder</t>
        </is>
      </c>
      <c r="S694" s="30" t="n">
        <v>50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G10" s="48" t="inlineStr">
        <is>
          <t>Hardy</t>
        </is>
      </c>
      <c r="H10" s="48" t="inlineStr">
        <is>
          <t>Vital Spirit</t>
        </is>
      </c>
      <c r="I10" s="48" t="inlineStr">
        <is>
          <t>Hardy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Unnerve</t>
        </is>
      </c>
      <c r="G20" s="48" t="inlineStr">
        <is>
          <t>Hardy</t>
        </is>
      </c>
      <c r="H20" s="48" t="inlineStr">
        <is>
          <t>Tinted Lens</t>
        </is>
      </c>
      <c r="I20" s="48" t="inlineStr">
        <is>
          <t>Hardy</t>
        </is>
      </c>
      <c r="J20" s="48" t="inlineStr">
        <is>
          <t>Shield Dust</t>
        </is>
      </c>
      <c r="K20" s="48" t="inlineStr">
        <is>
          <t>Hardy</t>
        </is>
      </c>
      <c r="L20" s="48" t="inlineStr">
        <is>
          <t>Swarm</t>
        </is>
      </c>
      <c r="M20" s="48" t="inlineStr">
        <is>
          <t>Hardy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Hardy</t>
        </is>
      </c>
      <c r="F31" s="48" t="inlineStr">
        <is>
          <t>Keen Eye</t>
        </is>
      </c>
      <c r="G31" s="48" t="inlineStr">
        <is>
          <t>Hardy</t>
        </is>
      </c>
      <c r="H31" s="48" t="inlineStr">
        <is>
          <t>Intimidate</t>
        </is>
      </c>
      <c r="I31" s="48" t="inlineStr">
        <is>
          <t>Hardy</t>
        </is>
      </c>
      <c r="J31" s="48" t="inlineStr">
        <is>
          <t>Huge Power</t>
        </is>
      </c>
      <c r="K31" s="48" t="inlineStr">
        <is>
          <t>Hardy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Hardy</t>
        </is>
      </c>
      <c r="F41" s="48" t="inlineStr">
        <is>
          <t>Gluttony</t>
        </is>
      </c>
      <c r="G41" s="48" t="inlineStr">
        <is>
          <t>Hardy</t>
        </is>
      </c>
      <c r="H41" s="48" t="inlineStr">
        <is>
          <t>Adaptability</t>
        </is>
      </c>
      <c r="I41" s="48" t="inlineStr">
        <is>
          <t>Hardy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Hardy</t>
        </is>
      </c>
      <c r="F53" s="48" t="inlineStr">
        <is>
          <t>Water Absorb</t>
        </is>
      </c>
      <c r="G53" s="48" t="inlineStr">
        <is>
          <t>Hardy</t>
        </is>
      </c>
      <c r="H53" s="48" t="inlineStr">
        <is>
          <t>Sturdy</t>
        </is>
      </c>
      <c r="I53" s="48" t="inlineStr">
        <is>
          <t>Hardy</t>
        </is>
      </c>
      <c r="J53" s="48" t="inlineStr">
        <is>
          <t>Swift Swim</t>
        </is>
      </c>
      <c r="K53" s="48" t="inlineStr">
        <is>
          <t>Hardy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Insomnia</t>
        </is>
      </c>
      <c r="G64" s="48" t="inlineStr">
        <is>
          <t>Hardy</t>
        </is>
      </c>
      <c r="H64" s="48" t="inlineStr">
        <is>
          <t>Poison Point</t>
        </is>
      </c>
      <c r="I64" s="48" t="inlineStr">
        <is>
          <t>Hardy</t>
        </is>
      </c>
      <c r="J64" s="48" t="inlineStr">
        <is>
          <t>Iron Fist</t>
        </is>
      </c>
      <c r="K64" s="48" t="inlineStr">
        <is>
          <t>Hardy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Hardy</t>
        </is>
      </c>
      <c r="F75" s="48" t="inlineStr">
        <is>
          <t>Drought</t>
        </is>
      </c>
      <c r="G75" s="48" t="inlineStr">
        <is>
          <t>Hardy</t>
        </is>
      </c>
      <c r="H75" s="48" t="inlineStr">
        <is>
          <t>Simple</t>
        </is>
      </c>
      <c r="I75" s="48" t="inlineStr">
        <is>
          <t>Hardy</t>
        </is>
      </c>
      <c r="J75" s="48" t="inlineStr">
        <is>
          <t>Battle Armor</t>
        </is>
      </c>
      <c r="K75" s="48" t="inlineStr">
        <is>
          <t>Hardy</t>
        </is>
      </c>
      <c r="L75" s="48" t="inlineStr">
        <is>
          <t>Flash Fire</t>
        </is>
      </c>
      <c r="M75" s="48" t="inlineStr">
        <is>
          <t>Hardy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Drizzle</t>
        </is>
      </c>
      <c r="G86" s="48" t="inlineStr">
        <is>
          <t>Hardy</t>
        </is>
      </c>
      <c r="H86" s="48" t="inlineStr">
        <is>
          <t>Dry Skin</t>
        </is>
      </c>
      <c r="I86" s="48" t="inlineStr">
        <is>
          <t>Hardy</t>
        </is>
      </c>
      <c r="J86" s="48" t="inlineStr">
        <is>
          <t>Levitate</t>
        </is>
      </c>
      <c r="K86" s="48" t="inlineStr">
        <is>
          <t>Hardy</t>
        </is>
      </c>
      <c r="L86" s="48" t="inlineStr">
        <is>
          <t>Dry Skin</t>
        </is>
      </c>
      <c r="M86" s="48" t="inlineStr">
        <is>
          <t>Hardy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Hardy</t>
        </is>
      </c>
      <c r="F99" s="48" t="inlineStr">
        <is>
          <t>Sturdy</t>
        </is>
      </c>
      <c r="G99" s="48" t="inlineStr">
        <is>
          <t>Hardy</t>
        </is>
      </c>
      <c r="H99" s="48" t="inlineStr">
        <is>
          <t>Unnerve</t>
        </is>
      </c>
      <c r="I99" s="48" t="inlineStr">
        <is>
          <t>Hardy</t>
        </is>
      </c>
      <c r="J99" s="48" t="inlineStr">
        <is>
          <t>Poison Point</t>
        </is>
      </c>
      <c r="K99" s="48" t="inlineStr">
        <is>
          <t>Hardy</t>
        </is>
      </c>
      <c r="L99" s="48" t="inlineStr">
        <is>
          <t>Sturdy</t>
        </is>
      </c>
      <c r="M99" s="48" t="inlineStr">
        <is>
          <t>Hardy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Inner Focus</t>
        </is>
      </c>
      <c r="G110" s="48" t="inlineStr">
        <is>
          <t>Hardy</t>
        </is>
      </c>
      <c r="H110" s="48" t="inlineStr">
        <is>
          <t>Compound Eyes</t>
        </is>
      </c>
      <c r="I110" s="48" t="inlineStr">
        <is>
          <t>Hardy</t>
        </is>
      </c>
      <c r="J110" s="48" t="inlineStr">
        <is>
          <t>Poison Point</t>
        </is>
      </c>
      <c r="K110" s="48" t="inlineStr">
        <is>
          <t>Hardy</t>
        </is>
      </c>
      <c r="L110" s="48" t="inlineStr">
        <is>
          <t>Vital Spirit</t>
        </is>
      </c>
      <c r="M110" s="48" t="inlineStr">
        <is>
          <t>Hardy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Hardy</t>
        </is>
      </c>
      <c r="F121" s="48" t="inlineStr">
        <is>
          <t>Synchronize</t>
        </is>
      </c>
      <c r="G121" s="48" t="inlineStr">
        <is>
          <t>Hardy</t>
        </is>
      </c>
      <c r="H121" s="48" t="inlineStr">
        <is>
          <t>Contrary</t>
        </is>
      </c>
      <c r="I121" s="48" t="inlineStr">
        <is>
          <t>Hardy</t>
        </is>
      </c>
      <c r="J121" s="48" t="inlineStr">
        <is>
          <t>Thick Fat</t>
        </is>
      </c>
      <c r="K121" s="48" t="inlineStr">
        <is>
          <t>Hardy</t>
        </is>
      </c>
      <c r="L121" s="48" t="inlineStr">
        <is>
          <t>Shell Armor</t>
        </is>
      </c>
      <c r="M121" s="48" t="inlineStr">
        <is>
          <t>Hardy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Sturdy</t>
        </is>
      </c>
      <c r="G134" s="48" t="inlineStr">
        <is>
          <t>Hardy</t>
        </is>
      </c>
      <c r="H134" s="48" t="inlineStr">
        <is>
          <t>Swarm</t>
        </is>
      </c>
      <c r="I134" s="48" t="inlineStr">
        <is>
          <t>Hardy</t>
        </is>
      </c>
      <c r="J134" s="48" t="inlineStr">
        <is>
          <t>Swift Swim</t>
        </is>
      </c>
      <c r="K134" s="48" t="inlineStr">
        <is>
          <t>Hardy</t>
        </is>
      </c>
      <c r="L134" s="48" t="inlineStr">
        <is>
          <t>Sturdy</t>
        </is>
      </c>
      <c r="M134" s="48" t="inlineStr">
        <is>
          <t>Hardy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Hardy</t>
        </is>
      </c>
      <c r="F145" s="48" t="inlineStr">
        <is>
          <t>Magic Guard</t>
        </is>
      </c>
      <c r="G145" s="48" t="inlineStr">
        <is>
          <t>Hardy</t>
        </is>
      </c>
      <c r="H145" s="48" t="inlineStr">
        <is>
          <t>Chlorophyll</t>
        </is>
      </c>
      <c r="I145" s="48" t="inlineStr">
        <is>
          <t>Hardy</t>
        </is>
      </c>
      <c r="J145" s="48" t="inlineStr">
        <is>
          <t>Blaze</t>
        </is>
      </c>
      <c r="K145" s="48" t="inlineStr">
        <is>
          <t>Hardy</t>
        </is>
      </c>
      <c r="L145" s="48" t="inlineStr">
        <is>
          <t>Torrent</t>
        </is>
      </c>
      <c r="M145" s="48" t="inlineStr">
        <is>
          <t>Hardy</t>
        </is>
      </c>
      <c r="N145" s="48" t="inlineStr">
        <is>
          <t>Swarm</t>
        </is>
      </c>
      <c r="O145" s="48" t="inlineStr">
        <is>
          <t>Hardy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Hardy</t>
        </is>
      </c>
      <c r="F158" s="48" t="inlineStr">
        <is>
          <t>Infiltrator</t>
        </is>
      </c>
      <c r="G158" s="48" t="inlineStr">
        <is>
          <t>Hardy</t>
        </is>
      </c>
      <c r="H158" s="48" t="inlineStr">
        <is>
          <t>Bulletproof</t>
        </is>
      </c>
      <c r="I158" s="48" t="inlineStr">
        <is>
          <t>Hardy</t>
        </is>
      </c>
      <c r="J158" s="48" t="inlineStr">
        <is>
          <t>Blaze</t>
        </is>
      </c>
      <c r="K158" s="48" t="inlineStr">
        <is>
          <t>Hardy</t>
        </is>
      </c>
      <c r="L158" s="48" t="inlineStr">
        <is>
          <t>Protean</t>
        </is>
      </c>
      <c r="M158" s="48" t="inlineStr">
        <is>
          <t>Hardy</t>
        </is>
      </c>
      <c r="N158" s="48" t="inlineStr">
        <is>
          <t>Contrary</t>
        </is>
      </c>
      <c r="O158" s="48" t="inlineStr">
        <is>
          <t>Hardy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Hardy</t>
        </is>
      </c>
      <c r="F169" s="48" t="inlineStr">
        <is>
          <t>Infiltrator</t>
        </is>
      </c>
      <c r="G169" s="48" t="inlineStr">
        <is>
          <t>Hardy</t>
        </is>
      </c>
      <c r="H169" s="48" t="inlineStr">
        <is>
          <t>Bulletproof</t>
        </is>
      </c>
      <c r="I169" s="48" t="inlineStr">
        <is>
          <t>Hardy</t>
        </is>
      </c>
      <c r="J169" s="48" t="inlineStr">
        <is>
          <t>Blaze</t>
        </is>
      </c>
      <c r="K169" s="48" t="inlineStr">
        <is>
          <t>Hardy</t>
        </is>
      </c>
      <c r="L169" s="48" t="inlineStr">
        <is>
          <t>Protean</t>
        </is>
      </c>
      <c r="M169" s="48" t="inlineStr">
        <is>
          <t>Hardy</t>
        </is>
      </c>
      <c r="N169" s="48" t="inlineStr">
        <is>
          <t>Contrary</t>
        </is>
      </c>
      <c r="O169" s="48" t="inlineStr">
        <is>
          <t>Hardy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Infiltrator</t>
        </is>
      </c>
      <c r="G180" s="48" t="inlineStr">
        <is>
          <t>Hardy</t>
        </is>
      </c>
      <c r="H180" s="48" t="inlineStr">
        <is>
          <t>Bulletproof</t>
        </is>
      </c>
      <c r="I180" s="48" t="inlineStr">
        <is>
          <t>Hardy</t>
        </is>
      </c>
      <c r="J180" s="48" t="inlineStr">
        <is>
          <t>Blaze</t>
        </is>
      </c>
      <c r="K180" s="48" t="inlineStr">
        <is>
          <t>Hardy</t>
        </is>
      </c>
      <c r="L180" s="48" t="inlineStr">
        <is>
          <t>Protean</t>
        </is>
      </c>
      <c r="M180" s="48" t="inlineStr">
        <is>
          <t>Hardy</t>
        </is>
      </c>
      <c r="N180" s="48" t="inlineStr">
        <is>
          <t>Contrary</t>
        </is>
      </c>
      <c r="O180" s="48" t="inlineStr">
        <is>
          <t>Hardy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Hardy</t>
        </is>
      </c>
      <c r="F191" s="48" t="inlineStr">
        <is>
          <t>Infiltrator</t>
        </is>
      </c>
      <c r="G191" s="48" t="inlineStr">
        <is>
          <t>Hardy</t>
        </is>
      </c>
      <c r="H191" s="48" t="inlineStr">
        <is>
          <t>Bulletproof</t>
        </is>
      </c>
      <c r="I191" s="48" t="inlineStr">
        <is>
          <t>Hardy</t>
        </is>
      </c>
      <c r="J191" s="48" t="inlineStr">
        <is>
          <t>Blaze</t>
        </is>
      </c>
      <c r="K191" s="48" t="inlineStr">
        <is>
          <t>Hardy</t>
        </is>
      </c>
      <c r="L191" s="48" t="inlineStr">
        <is>
          <t>Protean</t>
        </is>
      </c>
      <c r="M191" s="48" t="inlineStr">
        <is>
          <t>Hardy</t>
        </is>
      </c>
      <c r="N191" s="48" t="inlineStr">
        <is>
          <t>Contrary</t>
        </is>
      </c>
      <c r="O191" s="48" t="inlineStr">
        <is>
          <t>Hardy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Infiltrator</t>
        </is>
      </c>
      <c r="G202" s="48" t="inlineStr">
        <is>
          <t>Hardy</t>
        </is>
      </c>
      <c r="H202" s="48" t="inlineStr">
        <is>
          <t>Bulletproof</t>
        </is>
      </c>
      <c r="I202" s="48" t="inlineStr">
        <is>
          <t>Hardy</t>
        </is>
      </c>
      <c r="J202" s="48" t="inlineStr">
        <is>
          <t>Blaze</t>
        </is>
      </c>
      <c r="K202" s="48" t="inlineStr">
        <is>
          <t>Hardy</t>
        </is>
      </c>
      <c r="L202" s="48" t="inlineStr">
        <is>
          <t>Protean</t>
        </is>
      </c>
      <c r="M202" s="48" t="inlineStr">
        <is>
          <t>Hardy</t>
        </is>
      </c>
      <c r="N202" s="48" t="inlineStr">
        <is>
          <t>Contrary</t>
        </is>
      </c>
      <c r="O202" s="48" t="inlineStr">
        <is>
          <t>Hardy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Hardy</t>
        </is>
      </c>
      <c r="F213" s="48" t="inlineStr">
        <is>
          <t>Infiltrator</t>
        </is>
      </c>
      <c r="G213" s="48" t="inlineStr">
        <is>
          <t>Hardy</t>
        </is>
      </c>
      <c r="H213" s="48" t="inlineStr">
        <is>
          <t>Bulletproof</t>
        </is>
      </c>
      <c r="I213" s="48" t="inlineStr">
        <is>
          <t>Hardy</t>
        </is>
      </c>
      <c r="J213" s="48" t="inlineStr">
        <is>
          <t>Blaze</t>
        </is>
      </c>
      <c r="K213" s="48" t="inlineStr">
        <is>
          <t>Hardy</t>
        </is>
      </c>
      <c r="L213" s="48" t="inlineStr">
        <is>
          <t>Protean</t>
        </is>
      </c>
      <c r="M213" s="48" t="inlineStr">
        <is>
          <t>Hardy</t>
        </is>
      </c>
      <c r="N213" s="48" t="inlineStr">
        <is>
          <t>Contrary</t>
        </is>
      </c>
      <c r="O213" s="48" t="inlineStr">
        <is>
          <t>Hardy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Technician</t>
        </is>
      </c>
      <c r="G226" s="48" t="inlineStr">
        <is>
          <t>Hardy</t>
        </is>
      </c>
      <c r="H226" s="48" t="inlineStr">
        <is>
          <t>Skill Link</t>
        </is>
      </c>
      <c r="I226" s="48" t="inlineStr">
        <is>
          <t>Hardy</t>
        </is>
      </c>
      <c r="J226" s="48" t="inlineStr">
        <is>
          <t>Soundproof</t>
        </is>
      </c>
      <c r="K226" s="48" t="inlineStr">
        <is>
          <t>Hardy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Hardy</t>
        </is>
      </c>
      <c r="F237" s="48" t="inlineStr">
        <is>
          <t>Limber</t>
        </is>
      </c>
      <c r="G237" s="48" t="inlineStr">
        <is>
          <t>Hardy</t>
        </is>
      </c>
      <c r="H237" s="48" t="inlineStr">
        <is>
          <t>Natural Cure</t>
        </is>
      </c>
      <c r="I237" s="48" t="inlineStr">
        <is>
          <t>Hardy</t>
        </is>
      </c>
      <c r="J237" s="48" t="inlineStr">
        <is>
          <t>Magic Guard</t>
        </is>
      </c>
      <c r="K237" s="48" t="inlineStr">
        <is>
          <t>Hardy</t>
        </is>
      </c>
      <c r="L237" s="48" t="inlineStr">
        <is>
          <t>Overcoat</t>
        </is>
      </c>
      <c r="M237" s="48" t="inlineStr">
        <is>
          <t>Hardy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Hardy</t>
        </is>
      </c>
      <c r="F248" s="48" t="inlineStr">
        <is>
          <t>Technician</t>
        </is>
      </c>
      <c r="G248" s="48" t="inlineStr">
        <is>
          <t>Hardy</t>
        </is>
      </c>
      <c r="H248" s="48" t="inlineStr">
        <is>
          <t>Regenerator</t>
        </is>
      </c>
      <c r="I248" s="48" t="inlineStr">
        <is>
          <t>Hardy</t>
        </is>
      </c>
      <c r="J248" s="48" t="inlineStr">
        <is>
          <t>Natural Cure</t>
        </is>
      </c>
      <c r="K248" s="48" t="inlineStr">
        <is>
          <t>Hardy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IFERROR(_xlfn.IMAGE("https://play.pokemonshowdown.com/sprites/gen5/slaking.png"),"")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Slaking</t>
        </is>
      </c>
      <c r="P258" s="46" t="n"/>
      <c r="Q258" s="47" t="inlineStr">
        <is>
          <t>Pokémon</t>
        </is>
      </c>
    </row>
    <row r="259">
      <c r="E259" s="48" t="inlineStr">
        <is>
          <t>Hardy</t>
        </is>
      </c>
      <c r="F259" s="48" t="inlineStr">
        <is>
          <t>Own Tempo</t>
        </is>
      </c>
      <c r="G259" s="48" t="inlineStr">
        <is>
          <t>Hardy</t>
        </is>
      </c>
      <c r="H259" s="48" t="inlineStr">
        <is>
          <t>Own Tempo</t>
        </is>
      </c>
      <c r="I259" s="48" t="inlineStr">
        <is>
          <t>Hardy</t>
        </is>
      </c>
      <c r="J259" s="48" t="inlineStr">
        <is>
          <t>Poison Point</t>
        </is>
      </c>
      <c r="K259" s="48" t="inlineStr">
        <is>
          <t>Hardy</t>
        </is>
      </c>
      <c r="L259" s="48" t="inlineStr">
        <is>
          <t>Intimidate</t>
        </is>
      </c>
      <c r="M259" s="48" t="inlineStr">
        <is>
          <t>Hardy</t>
        </is>
      </c>
      <c r="N259" s="48" t="inlineStr">
        <is>
          <t>Guts</t>
        </is>
      </c>
      <c r="O259" s="48" t="inlineStr">
        <is>
          <t>Hardy</t>
        </is>
      </c>
      <c r="P259" s="48" t="inlineStr">
        <is>
          <t>Slow Start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Lum Berry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Slash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Bite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Sap Sipper</t>
        </is>
      </c>
      <c r="G10" s="48" t="inlineStr">
        <is>
          <t>Hardy</t>
        </is>
      </c>
      <c r="H10" s="48" t="inlineStr">
        <is>
          <t>Compound Eyes</t>
        </is>
      </c>
      <c r="I10" s="48" t="inlineStr">
        <is>
          <t>Hardy</t>
        </is>
      </c>
      <c r="J10" s="48" t="inlineStr">
        <is>
          <t>Insomnia</t>
        </is>
      </c>
      <c r="K10" s="48" t="inlineStr">
        <is>
          <t>Hardy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Rain Dish</t>
        </is>
      </c>
      <c r="G21" s="48" t="inlineStr">
        <is>
          <t>Hardy</t>
        </is>
      </c>
      <c r="H21" s="48" t="inlineStr">
        <is>
          <t>Swift Swim</t>
        </is>
      </c>
      <c r="I21" s="48" t="inlineStr">
        <is>
          <t>Hardy</t>
        </is>
      </c>
      <c r="J21" s="48" t="inlineStr">
        <is>
          <t>Hydration</t>
        </is>
      </c>
      <c r="K21" s="48" t="inlineStr">
        <is>
          <t>Hardy</t>
        </is>
      </c>
      <c r="L21" s="48" t="inlineStr">
        <is>
          <t>Poison Point</t>
        </is>
      </c>
      <c r="M21" s="48" t="inlineStr">
        <is>
          <t>Hardy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Aftermath</t>
        </is>
      </c>
      <c r="G32" s="48" t="inlineStr">
        <is>
          <t>Hardy</t>
        </is>
      </c>
      <c r="H32" s="48" t="inlineStr">
        <is>
          <t>Regenerator</t>
        </is>
      </c>
      <c r="I32" s="48" t="inlineStr">
        <is>
          <t>Hardy</t>
        </is>
      </c>
      <c r="J32" s="48" t="inlineStr">
        <is>
          <t>Iron Barbs</t>
        </is>
      </c>
      <c r="K32" s="48" t="inlineStr">
        <is>
          <t>Hardy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Intimidate</t>
        </is>
      </c>
      <c r="G43" s="48" t="inlineStr">
        <is>
          <t>Hardy</t>
        </is>
      </c>
      <c r="H43" s="48" t="inlineStr">
        <is>
          <t>Moxie</t>
        </is>
      </c>
      <c r="I43" s="48" t="inlineStr">
        <is>
          <t>Hardy</t>
        </is>
      </c>
      <c r="J43" s="48" t="inlineStr">
        <is>
          <t>Poison Point</t>
        </is>
      </c>
      <c r="K43" s="48" t="inlineStr">
        <is>
          <t>Hardy</t>
        </is>
      </c>
      <c r="L43" s="48" t="inlineStr">
        <is>
          <t>Sturdy</t>
        </is>
      </c>
      <c r="M43" s="48" t="inlineStr">
        <is>
          <t>Hardy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Hardy</t>
        </is>
      </c>
      <c r="F56" s="48" t="inlineStr">
        <is>
          <t>Technician</t>
        </is>
      </c>
      <c r="G56" s="48" t="inlineStr">
        <is>
          <t>Hardy</t>
        </is>
      </c>
      <c r="H56" s="48" t="inlineStr">
        <is>
          <t>Speed Boost</t>
        </is>
      </c>
      <c r="I56" s="48" t="inlineStr">
        <is>
          <t>Hardy</t>
        </is>
      </c>
      <c r="J56" s="48" t="inlineStr">
        <is>
          <t>Natural Cure</t>
        </is>
      </c>
      <c r="K56" s="48" t="inlineStr">
        <is>
          <t>Hardy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Hardy</t>
        </is>
      </c>
      <c r="F67" s="48" t="inlineStr">
        <is>
          <t>Chlorophyll</t>
        </is>
      </c>
      <c r="G67" s="48" t="inlineStr">
        <is>
          <t>Hardy</t>
        </is>
      </c>
      <c r="H67" s="48" t="inlineStr">
        <is>
          <t>Chlorophyll</t>
        </is>
      </c>
      <c r="I67" s="48" t="inlineStr">
        <is>
          <t>Hardy</t>
        </is>
      </c>
      <c r="J67" s="48" t="inlineStr">
        <is>
          <t>Hustle</t>
        </is>
      </c>
      <c r="K67" s="48" t="inlineStr">
        <is>
          <t>Hardy</t>
        </is>
      </c>
      <c r="L67" s="48" t="inlineStr">
        <is>
          <t>Aroma Veil</t>
        </is>
      </c>
      <c r="M67" s="48" t="inlineStr">
        <is>
          <t>Hardy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Hardy</t>
        </is>
      </c>
      <c r="F78" s="48" t="inlineStr">
        <is>
          <t>Plus</t>
        </is>
      </c>
      <c r="G78" s="48" t="inlineStr">
        <is>
          <t>Hardy</t>
        </is>
      </c>
      <c r="H78" s="48" t="inlineStr">
        <is>
          <t>Motor Drive</t>
        </is>
      </c>
      <c r="I78" s="48" t="inlineStr">
        <is>
          <t>Hardy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Hardy</t>
        </is>
      </c>
      <c r="F89" s="48" t="inlineStr">
        <is>
          <t>Static</t>
        </is>
      </c>
      <c r="G89" s="48" t="inlineStr">
        <is>
          <t>Hardy</t>
        </is>
      </c>
      <c r="H89" s="48" t="inlineStr">
        <is>
          <t>Levitate</t>
        </is>
      </c>
      <c r="I89" s="48" t="inlineStr">
        <is>
          <t>Hardy</t>
        </is>
      </c>
      <c r="J89" s="48" t="inlineStr">
        <is>
          <t>Trace</t>
        </is>
      </c>
      <c r="K89" s="48" t="inlineStr">
        <is>
          <t>Hardy</t>
        </is>
      </c>
      <c r="L89" s="48" t="inlineStr">
        <is>
          <t>Thick Fat</t>
        </is>
      </c>
      <c r="M89" s="48" t="inlineStr">
        <is>
          <t>Hardy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Sand Stream</t>
        </is>
      </c>
      <c r="G102" s="48" t="inlineStr">
        <is>
          <t>Hardy</t>
        </is>
      </c>
      <c r="H102" s="48" t="inlineStr">
        <is>
          <t>Storm Drain</t>
        </is>
      </c>
      <c r="I102" s="48" t="inlineStr">
        <is>
          <t>Hardy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Hardy</t>
        </is>
      </c>
      <c r="F113" s="48" t="inlineStr">
        <is>
          <t>Sand Rush</t>
        </is>
      </c>
      <c r="G113" s="48" t="inlineStr">
        <is>
          <t>Hardy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Snow Warning</t>
        </is>
      </c>
      <c r="G124" s="48" t="inlineStr">
        <is>
          <t>Hardy</t>
        </is>
      </c>
      <c r="H124" s="48" t="inlineStr">
        <is>
          <t>Snow Cloak</t>
        </is>
      </c>
      <c r="I124" s="48" t="inlineStr">
        <is>
          <t>Hardy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Hardy</t>
        </is>
      </c>
      <c r="F135" s="48" t="inlineStr">
        <is>
          <t>Slush Rush</t>
        </is>
      </c>
      <c r="G135" s="48" t="inlineStr">
        <is>
          <t>Hardy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Magic Guard</t>
        </is>
      </c>
      <c r="G146" s="48" t="inlineStr">
        <is>
          <t>Hardy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Hardy</t>
        </is>
      </c>
      <c r="F157" s="48" t="inlineStr">
        <is>
          <t>Effect Spore</t>
        </is>
      </c>
      <c r="G157" s="48" t="inlineStr">
        <is>
          <t>Hardy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Hardy</t>
        </is>
      </c>
      <c r="F168" s="48" t="inlineStr">
        <is>
          <t>Defiant</t>
        </is>
      </c>
      <c r="G168" s="48" t="inlineStr">
        <is>
          <t>Hardy</t>
        </is>
      </c>
      <c r="H168" s="48" t="inlineStr">
        <is>
          <t>Clear Body</t>
        </is>
      </c>
      <c r="I168" s="48" t="inlineStr">
        <is>
          <t>Hardy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Hardy</t>
        </is>
      </c>
      <c r="F179" s="48" t="inlineStr">
        <is>
          <t>Guts</t>
        </is>
      </c>
      <c r="G179" s="48" t="inlineStr">
        <is>
          <t>Hardy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Intimidate</t>
        </is>
      </c>
      <c r="G190" s="48" t="inlineStr">
        <is>
          <t>Hardy</t>
        </is>
      </c>
      <c r="H190" s="48" t="inlineStr">
        <is>
          <t>Overcoat</t>
        </is>
      </c>
      <c r="I190" s="48" t="inlineStr">
        <is>
          <t>Hardy</t>
        </is>
      </c>
      <c r="J190" s="48" t="inlineStr">
        <is>
          <t>Hustle</t>
        </is>
      </c>
      <c r="K190" s="48" t="inlineStr">
        <is>
          <t>Hardy</t>
        </is>
      </c>
      <c r="L190" s="48" t="inlineStr">
        <is>
          <t>Intimidate</t>
        </is>
      </c>
      <c r="M190" s="48" t="inlineStr">
        <is>
          <t>Hardy</t>
        </is>
      </c>
      <c r="N190" s="48" t="inlineStr">
        <is>
          <t>Moxie</t>
        </is>
      </c>
      <c r="O190" s="48" t="inlineStr">
        <is>
          <t>Hardy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Hardy</t>
        </is>
      </c>
      <c r="F203" s="48" t="inlineStr">
        <is>
          <t>Sturdy</t>
        </is>
      </c>
      <c r="G203" s="48" t="inlineStr">
        <is>
          <t>Hardy</t>
        </is>
      </c>
      <c r="H203" s="48" t="inlineStr">
        <is>
          <t>Inner Focus</t>
        </is>
      </c>
      <c r="I203" s="48" t="inlineStr">
        <is>
          <t>Hardy</t>
        </is>
      </c>
      <c r="J203" s="48" t="inlineStr">
        <is>
          <t>Refrigerate</t>
        </is>
      </c>
      <c r="K203" s="48" t="inlineStr">
        <is>
          <t>Hardy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Swift Swim</t>
        </is>
      </c>
      <c r="G214" s="48" t="inlineStr">
        <is>
          <t>Hardy</t>
        </is>
      </c>
      <c r="H214" s="48" t="inlineStr">
        <is>
          <t>Battle Armor</t>
        </is>
      </c>
      <c r="I214" s="48" t="inlineStr">
        <is>
          <t>Hardy</t>
        </is>
      </c>
      <c r="J214" s="48" t="inlineStr">
        <is>
          <t>Speed Boost</t>
        </is>
      </c>
      <c r="K214" s="48" t="inlineStr">
        <is>
          <t>Hardy</t>
        </is>
      </c>
      <c r="L214" s="48" t="inlineStr">
        <is>
          <t>Rock Head</t>
        </is>
      </c>
      <c r="M214" s="48" t="inlineStr">
        <is>
          <t>Hardy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Hardy</t>
        </is>
      </c>
      <c r="F225" s="48" t="inlineStr">
        <is>
          <t>Sturdy</t>
        </is>
      </c>
      <c r="G225" s="48" t="inlineStr">
        <is>
          <t>Hardy</t>
        </is>
      </c>
      <c r="H225" s="48" t="inlineStr">
        <is>
          <t>Sand Veil</t>
        </is>
      </c>
      <c r="I225" s="48" t="inlineStr">
        <is>
          <t>Hardy</t>
        </is>
      </c>
      <c r="J225" s="48" t="inlineStr">
        <is>
          <t>Storm Drain</t>
        </is>
      </c>
      <c r="K225" s="48" t="inlineStr">
        <is>
          <t>Hardy</t>
        </is>
      </c>
      <c r="L225" s="48" t="inlineStr">
        <is>
          <t>Sand Rush</t>
        </is>
      </c>
      <c r="M225" s="48" t="inlineStr">
        <is>
          <t>Hardy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IFERROR(_xlfn.IMAGE("https://play.pokemonshowdown.com/sprites/gen5/magcargo.png"),"")</f>
        <v/>
      </c>
      <c r="I234" s="43">
        <f>IFERROR(_xlfn.IMAGE("https://play.pokemonshowdown.com/sprites/gen5/gligar.png"),"")</f>
        <v/>
      </c>
      <c r="K234" s="43">
        <f>IFERROR(_xlfn.IMAGE("https://play.pokemonshowdown.com/sprites/gen5/anorith.png"),"")</f>
        <v/>
      </c>
      <c r="M234" s="43">
        <f>IFERROR(_xlfn.IMAGE("https://play.pokemonshowdown.com/sprites/gen5/gabite.png"),"")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25 Magcargo</t>
        </is>
      </c>
      <c r="H235" s="46" t="n"/>
      <c r="I235" s="45" t="inlineStr">
        <is>
          <t>Lv 25 Gligar</t>
        </is>
      </c>
      <c r="J235" s="46" t="n"/>
      <c r="K235" s="45" t="inlineStr">
        <is>
          <t>Lv 24 Anorith</t>
        </is>
      </c>
      <c r="L235" s="46" t="n"/>
      <c r="M235" s="45" t="inlineStr">
        <is>
          <t>Lv 24 Gabite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Sturdy</t>
        </is>
      </c>
      <c r="G236" s="48" t="inlineStr">
        <is>
          <t>Hardy</t>
        </is>
      </c>
      <c r="H236" s="48" t="inlineStr">
        <is>
          <t>Solid Rock</t>
        </is>
      </c>
      <c r="I236" s="48" t="inlineStr">
        <is>
          <t>Hardy</t>
        </is>
      </c>
      <c r="J236" s="48" t="inlineStr">
        <is>
          <t>Hyper Cutter</t>
        </is>
      </c>
      <c r="K236" s="48" t="inlineStr">
        <is>
          <t>Hardy</t>
        </is>
      </c>
      <c r="L236" s="48" t="inlineStr">
        <is>
          <t>Battle Armor</t>
        </is>
      </c>
      <c r="M236" s="48" t="inlineStr">
        <is>
          <t>Hardy</t>
        </is>
      </c>
      <c r="N236" s="48" t="inlineStr">
        <is>
          <t>Rough Skin</t>
        </is>
      </c>
      <c r="O236" s="48" t="inlineStr">
        <is>
          <t>Hardy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Charcoal</t>
        </is>
      </c>
      <c r="H237" s="46" t="n"/>
      <c r="I237" s="49" t="inlineStr">
        <is>
          <t>Eviolite</t>
        </is>
      </c>
      <c r="J237" s="46" t="n"/>
      <c r="K237" s="49" t="inlineStr">
        <is>
          <t>(None)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58" t="inlineStr">
        <is>
          <t>Flamethrower</t>
        </is>
      </c>
      <c r="H238" s="46" t="n"/>
      <c r="I238" s="51" t="inlineStr">
        <is>
          <t>Swords Dance</t>
        </is>
      </c>
      <c r="J238" s="46" t="n"/>
      <c r="K238" s="62" t="inlineStr">
        <is>
          <t>Rock Slide</t>
        </is>
      </c>
      <c r="L238" s="46" t="n"/>
      <c r="M238" s="53" t="inlineStr">
        <is>
          <t>Earthquake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Ancient Power</t>
        </is>
      </c>
      <c r="H239" s="46" t="n"/>
      <c r="I239" s="53" t="inlineStr">
        <is>
          <t>Earthquake</t>
        </is>
      </c>
      <c r="J239" s="46" t="n"/>
      <c r="K239" s="54" t="inlineStr">
        <is>
          <t>X-Scissor</t>
        </is>
      </c>
      <c r="L239" s="46" t="n"/>
      <c r="M239" s="68" t="inlineStr">
        <is>
          <t>Dragon Claw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3" t="inlineStr">
        <is>
          <t>Earth Power</t>
        </is>
      </c>
      <c r="H240" s="46" t="n"/>
      <c r="I240" s="60" t="inlineStr">
        <is>
          <t>Aerial Ace</t>
        </is>
      </c>
      <c r="J240" s="46" t="n"/>
      <c r="K240" s="61" t="inlineStr">
        <is>
          <t>Aqua Jet</t>
        </is>
      </c>
      <c r="L240" s="46" t="n"/>
      <c r="M240" s="58" t="inlineStr">
        <is>
          <t>Flamethrower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1" t="inlineStr">
        <is>
          <t>Recover</t>
        </is>
      </c>
      <c r="H241" s="46" t="n"/>
      <c r="I241" s="62" t="inlineStr">
        <is>
          <t>Rock Slide</t>
        </is>
      </c>
      <c r="J241" s="46" t="n"/>
      <c r="K241" s="60" t="inlineStr">
        <is>
          <t>Aerial Ace</t>
        </is>
      </c>
      <c r="L241" s="46" t="n"/>
      <c r="M241" s="50" t="inlineStr">
        <is>
          <t>Crunch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Hardy</t>
        </is>
      </c>
      <c r="F249" s="48" t="inlineStr">
        <is>
          <t>Gluttony</t>
        </is>
      </c>
      <c r="G249" s="48" t="inlineStr">
        <is>
          <t>Hardy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Hardy</t>
        </is>
      </c>
      <c r="F259" s="48" t="inlineStr">
        <is>
          <t>Magma Armor</t>
        </is>
      </c>
      <c r="G259" s="48" t="inlineStr">
        <is>
          <t>Hardy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Hardy</t>
        </is>
      </c>
      <c r="F269" s="48" t="inlineStr">
        <is>
          <t>Swift Swim</t>
        </is>
      </c>
      <c r="G269" s="48" t="inlineStr">
        <is>
          <t>Hardy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Hardy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Hardy</t>
        </is>
      </c>
      <c r="F293" s="48" t="inlineStr">
        <is>
          <t>Gluttony</t>
        </is>
      </c>
      <c r="G293" s="48" t="inlineStr">
        <is>
          <t>Hardy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Hardy</t>
        </is>
      </c>
      <c r="F303" s="48" t="inlineStr">
        <is>
          <t>White Smoke</t>
        </is>
      </c>
      <c r="G303" s="48" t="inlineStr">
        <is>
          <t>Hardy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Hardy</t>
        </is>
      </c>
      <c r="F313" s="48" t="inlineStr">
        <is>
          <t>Swift Swim</t>
        </is>
      </c>
      <c r="G313" s="48" t="inlineStr">
        <is>
          <t>Hardy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IFERROR(_xlfn.IMAGE("https://play.pokemonshowdown.com/sprites/gen5/poochyena.png"),"")</f>
        <v/>
      </c>
      <c r="Q323" s="44" t="inlineStr">
        <is>
          <t>Optional</t>
        </is>
      </c>
    </row>
    <row r="324">
      <c r="E324" s="45" t="inlineStr">
        <is>
          <t>Lv 11 Poochyena</t>
        </is>
      </c>
      <c r="F324" s="46" t="n"/>
      <c r="Q324" s="47" t="inlineStr">
        <is>
          <t>Pokémon</t>
        </is>
      </c>
    </row>
    <row r="325">
      <c r="E325" s="48" t="inlineStr">
        <is>
          <t>Hardy</t>
        </is>
      </c>
      <c r="F325" s="48" t="inlineStr">
        <is>
          <t>Quick Feet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(None)</t>
        </is>
      </c>
      <c r="F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1" t="inlineStr">
        <is>
          <t>Quick Attack</t>
        </is>
      </c>
      <c r="F327" s="46" t="n"/>
      <c r="Q327" s="47" t="inlineStr">
        <is>
          <t>Moves</t>
        </is>
      </c>
    </row>
    <row r="328">
      <c r="E328" s="51" t="inlineStr">
        <is>
          <t>Tackle</t>
        </is>
      </c>
      <c r="F328" s="46" t="n"/>
    </row>
    <row r="329">
      <c r="E329" s="53" t="inlineStr">
        <is>
          <t>Sand Attack</t>
        </is>
      </c>
      <c r="F329" s="46" t="n"/>
    </row>
    <row r="330">
      <c r="E330" s="56" t="inlineStr">
        <is>
          <t>-</t>
        </is>
      </c>
      <c r="F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Hardy</t>
        </is>
      </c>
      <c r="F335" s="48" t="inlineStr">
        <is>
          <t>Rock Head</t>
        </is>
      </c>
      <c r="G335" s="48" t="inlineStr">
        <is>
          <t>Hardy</t>
        </is>
      </c>
      <c r="H335" s="48" t="inlineStr">
        <is>
          <t>Rock Head</t>
        </is>
      </c>
      <c r="I335" s="48" t="inlineStr">
        <is>
          <t>Hardy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62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B23:D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E59:F59"/>
    <mergeCell ref="B114:D114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K87:L87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E25:F25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Q34:Q37"/>
    <mergeCell ref="B12:D15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I82:J82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36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Forced on sight (range 5)
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Cursed Body</t>
        </is>
      </c>
      <c r="I10" s="48" t="inlineStr">
        <is>
          <t>Hardy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Forced on sight (range 5)
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Intimidate</t>
        </is>
      </c>
      <c r="G20" s="48" t="inlineStr">
        <is>
          <t>Hardy</t>
        </is>
      </c>
      <c r="H20" s="48" t="inlineStr">
        <is>
          <t>Compound Eyes</t>
        </is>
      </c>
      <c r="I20" s="48" t="inlineStr">
        <is>
          <t>Hardy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Gluttony</t>
        </is>
      </c>
      <c r="G32" s="48" t="inlineStr">
        <is>
          <t>Hardy</t>
        </is>
      </c>
      <c r="H32" s="48" t="inlineStr">
        <is>
          <t>Clear Body</t>
        </is>
      </c>
      <c r="I32" s="48" t="inlineStr">
        <is>
          <t>Hardy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Clear Body</t>
        </is>
      </c>
      <c r="G42" s="48" t="inlineStr">
        <is>
          <t>Hardy</t>
        </is>
      </c>
      <c r="H42" s="48" t="inlineStr">
        <is>
          <t>Gluttony</t>
        </is>
      </c>
      <c r="I42" s="48" t="inlineStr">
        <is>
          <t>Hardy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Rough Skin</t>
        </is>
      </c>
      <c r="G54" s="48" t="inlineStr">
        <is>
          <t>Hardy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Rough Skin</t>
        </is>
      </c>
      <c r="G84" s="48" t="inlineStr">
        <is>
          <t>Hardy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Guts</t>
        </is>
      </c>
      <c r="G104" s="48" t="inlineStr">
        <is>
          <t>Hardy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Hardy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Clear Body</t>
        </is>
      </c>
      <c r="G124" s="48" t="inlineStr">
        <is>
          <t>Hardy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Hardy</t>
        </is>
      </c>
      <c r="F136" s="48" t="inlineStr">
        <is>
          <t>Rain Dish</t>
        </is>
      </c>
      <c r="G136" s="48" t="inlineStr">
        <is>
          <t>Hardy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  <c r="Q144" s="44" t="inlineStr">
        <is>
          <t>Forced on sight (range 4)</t>
        </is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Swift Swim</t>
        </is>
      </c>
      <c r="G146" s="48" t="inlineStr">
        <is>
          <t>Hardy</t>
        </is>
      </c>
      <c r="H146" s="48" t="inlineStr">
        <is>
          <t>Rain Dish</t>
        </is>
      </c>
      <c r="I146" s="48" t="inlineStr">
        <is>
          <t>Hardy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Youngster</t>
        </is>
      </c>
      <c r="C173" s="41" t="n"/>
      <c r="D173" s="41" t="n"/>
      <c r="E173" s="42" t="inlineStr">
        <is>
          <t>Youngster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IFERROR(_xlfn.IMAGE("https://play.pokemonshowdown.com/sprites/gen5/geodude.png"),"")</f>
        <v/>
      </c>
      <c r="G174" s="43">
        <f>IFERROR(_xlfn.IMAGE("https://play.pokemonshowdown.com/sprites/gen5/aron.png"),"")</f>
        <v/>
      </c>
      <c r="Q174" s="44" t="inlineStr">
        <is>
          <t>Forced on sight (range 3)</t>
        </is>
      </c>
    </row>
    <row r="175">
      <c r="E175" s="45" t="inlineStr">
        <is>
          <t>Lv 25 Geodude</t>
        </is>
      </c>
      <c r="F175" s="46" t="n"/>
      <c r="G175" s="45" t="inlineStr">
        <is>
          <t>Lv 25 Aron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Rough Skin</t>
        </is>
      </c>
      <c r="G176" s="48" t="inlineStr">
        <is>
          <t>Hardy</t>
        </is>
      </c>
      <c r="H176" s="48" t="inlineStr">
        <is>
          <t>Rock Head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Hard Stone</t>
        </is>
      </c>
      <c r="F177" s="46" t="n"/>
      <c r="G177" s="49" t="inlineStr">
        <is>
          <t>Metal Coat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2" t="inlineStr">
        <is>
          <t>Rock Throw</t>
        </is>
      </c>
      <c r="F178" s="46" t="n"/>
      <c r="G178" s="66" t="inlineStr">
        <is>
          <t>Iron Head</t>
        </is>
      </c>
      <c r="H178" s="46" t="n"/>
      <c r="Q178" s="47" t="inlineStr">
        <is>
          <t>Moves</t>
        </is>
      </c>
    </row>
    <row r="179">
      <c r="E179" s="51" t="inlineStr">
        <is>
          <t>Headbutt</t>
        </is>
      </c>
      <c r="F179" s="46" t="n"/>
      <c r="G179" s="51" t="inlineStr">
        <is>
          <t>Headbutt</t>
        </is>
      </c>
      <c r="H179" s="46" t="n"/>
    </row>
    <row r="180">
      <c r="E180" s="65" t="inlineStr">
        <is>
          <t>Karate Chop</t>
        </is>
      </c>
      <c r="F180" s="46" t="n"/>
      <c r="G180" s="51" t="inlineStr">
        <is>
          <t>Take Down</t>
        </is>
      </c>
      <c r="H180" s="46" t="n"/>
    </row>
    <row r="181">
      <c r="E181" s="53" t="inlineStr">
        <is>
          <t>Dig</t>
        </is>
      </c>
      <c r="F181" s="46" t="n"/>
      <c r="G181" s="66" t="inlineStr">
        <is>
          <t>Flash Cannon</t>
        </is>
      </c>
      <c r="H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Hardy</t>
        </is>
      </c>
      <c r="F188" s="48" t="inlineStr">
        <is>
          <t>Rock Head</t>
        </is>
      </c>
      <c r="G188" s="48" t="inlineStr">
        <is>
          <t>Hardy</t>
        </is>
      </c>
      <c r="H188" s="48" t="inlineStr">
        <is>
          <t>Rough Skin</t>
        </is>
      </c>
      <c r="I188" s="48" t="inlineStr">
        <is>
          <t>Hardy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Guts</t>
        </is>
      </c>
      <c r="G200" s="48" t="inlineStr">
        <is>
          <t>Hardy</t>
        </is>
      </c>
      <c r="H200" s="48" t="inlineStr">
        <is>
          <t>Rock Head</t>
        </is>
      </c>
      <c r="I200" s="48" t="inlineStr">
        <is>
          <t>Hardy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Take Down</t>
        </is>
      </c>
      <c r="F202" s="46" t="n"/>
      <c r="G202" s="66" t="inlineStr">
        <is>
          <t>Iron Head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5" t="inlineStr">
        <is>
          <t>Seismic Toss</t>
        </is>
      </c>
      <c r="F203" s="46" t="n"/>
      <c r="G203" s="51" t="inlineStr">
        <is>
          <t>Headbutt</t>
        </is>
      </c>
      <c r="H203" s="46" t="n"/>
      <c r="I203" s="51" t="inlineStr">
        <is>
          <t>Headbutt</t>
        </is>
      </c>
      <c r="J203" s="46" t="n"/>
    </row>
    <row r="204">
      <c r="E204" s="65" t="inlineStr">
        <is>
          <t>Submission</t>
        </is>
      </c>
      <c r="F204" s="46" t="n"/>
      <c r="G204" s="51" t="inlineStr">
        <is>
          <t>Take Down</t>
        </is>
      </c>
      <c r="H204" s="46" t="n"/>
      <c r="I204" s="65" t="inlineStr">
        <is>
          <t>Karate Chop</t>
        </is>
      </c>
      <c r="J204" s="46" t="n"/>
    </row>
    <row r="205">
      <c r="E205" s="51" t="inlineStr">
        <is>
          <t>Smelling Salts</t>
        </is>
      </c>
      <c r="F205" s="46" t="n"/>
      <c r="G205" s="66" t="inlineStr">
        <is>
          <t>Flash Cannon</t>
        </is>
      </c>
      <c r="H205" s="46" t="n"/>
      <c r="I205" s="53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Rock Head</t>
        </is>
      </c>
      <c r="G212" s="48" t="inlineStr">
        <is>
          <t>Hardy</t>
        </is>
      </c>
      <c r="H212" s="48" t="inlineStr">
        <is>
          <t>Solid Rock</t>
        </is>
      </c>
      <c r="I212" s="48" t="inlineStr">
        <is>
          <t>Hardy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6" t="inlineStr">
        <is>
          <t>Iron Head</t>
        </is>
      </c>
      <c r="F214" s="46" t="n"/>
      <c r="G214" s="62" t="inlineStr">
        <is>
          <t>Rock Slide</t>
        </is>
      </c>
      <c r="H214" s="46" t="n"/>
      <c r="I214" s="62" t="inlineStr">
        <is>
          <t>Smack Down</t>
        </is>
      </c>
      <c r="J214" s="46" t="n"/>
      <c r="Q214" s="47" t="inlineStr">
        <is>
          <t>Moves</t>
        </is>
      </c>
    </row>
    <row r="215">
      <c r="E215" s="51" t="inlineStr">
        <is>
          <t>Headbutt</t>
        </is>
      </c>
      <c r="F215" s="46" t="n"/>
      <c r="G215" s="65" t="inlineStr">
        <is>
          <t>Seismic Toss</t>
        </is>
      </c>
      <c r="H215" s="46" t="n"/>
      <c r="I215" s="66" t="inlineStr">
        <is>
          <t>Iron Defense</t>
        </is>
      </c>
      <c r="J215" s="46" t="n"/>
    </row>
    <row r="216">
      <c r="E216" s="51" t="inlineStr">
        <is>
          <t>Take Down</t>
        </is>
      </c>
      <c r="F216" s="46" t="n"/>
      <c r="G216" s="66" t="inlineStr">
        <is>
          <t>Iron Head</t>
        </is>
      </c>
      <c r="H216" s="46" t="n"/>
      <c r="I216" s="51" t="inlineStr">
        <is>
          <t>Headbutt</t>
        </is>
      </c>
      <c r="J216" s="46" t="n"/>
    </row>
    <row r="217">
      <c r="E217" s="66" t="inlineStr">
        <is>
          <t>Flash Cannon</t>
        </is>
      </c>
      <c r="F217" s="46" t="n"/>
      <c r="G217" s="62" t="inlineStr">
        <is>
          <t>Power Gem</t>
        </is>
      </c>
      <c r="H217" s="46" t="n"/>
      <c r="I217" s="53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Rain Dish</t>
        </is>
      </c>
      <c r="G244" s="48" t="inlineStr">
        <is>
          <t>Hardy</t>
        </is>
      </c>
      <c r="H244" s="48" t="inlineStr">
        <is>
          <t>Gluttony</t>
        </is>
      </c>
      <c r="I244" s="48" t="inlineStr">
        <is>
          <t>Hardy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Gluttony</t>
        </is>
      </c>
      <c r="G254" s="48" t="inlineStr">
        <is>
          <t>Hardy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Swift Swim</t>
        </is>
      </c>
      <c r="G264" s="48" t="inlineStr">
        <is>
          <t>Hardy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Forced on sight (range 5)
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Compound Eyes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Forced on sight (range 5)
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Cursed Body</t>
        </is>
      </c>
      <c r="G296" s="48" t="inlineStr">
        <is>
          <t>Hardy</t>
        </is>
      </c>
      <c r="H296" s="48" t="inlineStr">
        <is>
          <t>Levitate</t>
        </is>
      </c>
      <c r="I296" s="48" t="inlineStr">
        <is>
          <t>Hardy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Forced on sight (range 5)
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Sturdy</t>
        </is>
      </c>
      <c r="G306" s="48" t="inlineStr">
        <is>
          <t>Hardy</t>
        </is>
      </c>
      <c r="H306" s="48" t="inlineStr">
        <is>
          <t>Rock Head</t>
        </is>
      </c>
      <c r="I306" s="48" t="inlineStr">
        <is>
          <t>Hardy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4" customHeight="1">
      <c r="B313" s="38" t="inlineStr">
        <is>
          <t>Dewford Town - Gym</t>
        </is>
      </c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</row>
    <row r="315" ht="20" customHeight="1">
      <c r="B315" s="40" t="inlineStr">
        <is>
          <t>Sailor</t>
        </is>
      </c>
      <c r="C315" s="41" t="n"/>
      <c r="D315" s="41" t="n"/>
      <c r="E315" s="42" t="inlineStr">
        <is>
          <t>Sailor Brenden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IFERROR(_xlfn.IMAGE("https://play.pokemonshowdown.com/sprites/gen5/machop.png"),"")</f>
        <v/>
      </c>
      <c r="Q316" s="44" t="inlineStr">
        <is>
          <t>Forced on sight (range 2)</t>
        </is>
      </c>
    </row>
    <row r="317">
      <c r="E317" s="45" t="inlineStr">
        <is>
          <t>Lv 13 Machop</t>
        </is>
      </c>
      <c r="F317" s="46" t="n"/>
      <c r="Q317" s="47" t="inlineStr">
        <is>
          <t>Pokémon</t>
        </is>
      </c>
    </row>
    <row r="318">
      <c r="E318" s="48" t="inlineStr">
        <is>
          <t>Hardy</t>
        </is>
      </c>
      <c r="F318" s="48" t="inlineStr">
        <is>
          <t>No Guard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Pound</t>
        </is>
      </c>
      <c r="F320" s="46" t="n"/>
      <c r="Q320" s="47" t="inlineStr">
        <is>
          <t>Moves</t>
        </is>
      </c>
    </row>
    <row r="321">
      <c r="E321" s="62" t="inlineStr">
        <is>
          <t>Rock Throw</t>
        </is>
      </c>
      <c r="F321" s="46" t="n"/>
    </row>
    <row r="322">
      <c r="E322" s="65" t="inlineStr">
        <is>
          <t>Seismic Toss</t>
        </is>
      </c>
      <c r="F322" s="46" t="n"/>
    </row>
    <row r="323">
      <c r="E323" s="65" t="inlineStr">
        <is>
          <t>Wake Up Slap</t>
        </is>
      </c>
      <c r="F323" s="46" t="n"/>
    </row>
    <row r="325" ht="20" customHeight="1">
      <c r="B325" s="40" t="inlineStr">
        <is>
          <t>Black Belt</t>
        </is>
      </c>
      <c r="C325" s="41" t="n"/>
      <c r="D325" s="41" t="n"/>
      <c r="E325" s="42" t="inlineStr">
        <is>
          <t>Black Belt Cristian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IFERROR(_xlfn.IMAGE("https://play.pokemonshowdown.com/sprites/gen5/makuhita.png"),"")</f>
        <v/>
      </c>
      <c r="Q326" s="44" t="inlineStr">
        <is>
          <t>Forced on sight (range 3)</t>
        </is>
      </c>
    </row>
    <row r="327">
      <c r="E327" s="45" t="inlineStr">
        <is>
          <t>Lv 13 Makuhita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Guts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3" t="inlineStr">
        <is>
          <t>Sand Attack</t>
        </is>
      </c>
      <c r="F330" s="46" t="n"/>
      <c r="Q330" s="47" t="inlineStr">
        <is>
          <t>Moves</t>
        </is>
      </c>
    </row>
    <row r="331">
      <c r="E331" s="51" t="inlineStr">
        <is>
          <t>Whirlwind</t>
        </is>
      </c>
      <c r="F331" s="46" t="n"/>
    </row>
    <row r="332">
      <c r="E332" s="65" t="inlineStr">
        <is>
          <t>Vital Throw</t>
        </is>
      </c>
      <c r="F332" s="46" t="n"/>
    </row>
    <row r="333">
      <c r="E333" s="51" t="inlineStr">
        <is>
          <t>Take Down</t>
        </is>
      </c>
      <c r="F333" s="46" t="n"/>
    </row>
    <row r="335" ht="20" customHeight="1">
      <c r="B335" s="40" t="inlineStr">
        <is>
          <t>Battle Girl</t>
        </is>
      </c>
      <c r="C335" s="41" t="n"/>
      <c r="D335" s="41" t="n"/>
      <c r="E335" s="42" t="inlineStr">
        <is>
          <t>Battle Girl Jocelyn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IFERROR(_xlfn.IMAGE("https://play.pokemonshowdown.com/sprites/gen5/meditite.png"),"")</f>
        <v/>
      </c>
      <c r="Q336" s="44" t="inlineStr">
        <is>
          <t>Forced on sight (range 3)</t>
        </is>
      </c>
    </row>
    <row r="337">
      <c r="E337" s="45" t="inlineStr">
        <is>
          <t>Lv 13 Meditite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Pure Power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Teleport</t>
        </is>
      </c>
      <c r="F340" s="46" t="n"/>
      <c r="Q340" s="47" t="inlineStr">
        <is>
          <t>Moves</t>
        </is>
      </c>
    </row>
    <row r="341">
      <c r="E341" s="65" t="inlineStr">
        <is>
          <t>Karate Chop</t>
        </is>
      </c>
      <c r="F341" s="46" t="n"/>
    </row>
    <row r="342">
      <c r="E342" s="63" t="inlineStr">
        <is>
          <t>Confusion</t>
        </is>
      </c>
      <c r="F342" s="46" t="n"/>
    </row>
    <row r="343">
      <c r="E343" s="51" t="inlineStr">
        <is>
          <t>Hidden Power</t>
        </is>
      </c>
      <c r="F343" s="46" t="n"/>
    </row>
    <row r="345" ht="20" customHeight="1">
      <c r="B345" s="40" t="inlineStr">
        <is>
          <t>Battle Girl</t>
        </is>
      </c>
      <c r="C345" s="41" t="n"/>
      <c r="D345" s="41" t="n"/>
      <c r="E345" s="42" t="inlineStr">
        <is>
          <t>Battle Girl Laura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IFERROR(_xlfn.IMAGE("https://play.pokemonshowdown.com/sprites/gen5/meditite.png"),"")</f>
        <v/>
      </c>
      <c r="Q346" s="44" t="inlineStr">
        <is>
          <t>Forced on sight (range 2)</t>
        </is>
      </c>
    </row>
    <row r="347">
      <c r="E347" s="45" t="inlineStr">
        <is>
          <t>Lv 13 Meditite</t>
        </is>
      </c>
      <c r="F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Pure Power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3" t="inlineStr">
        <is>
          <t>Teleport</t>
        </is>
      </c>
      <c r="F350" s="46" t="n"/>
      <c r="Q350" s="47" t="inlineStr">
        <is>
          <t>Moves</t>
        </is>
      </c>
    </row>
    <row r="351">
      <c r="E351" s="65" t="inlineStr">
        <is>
          <t>Karate Chop</t>
        </is>
      </c>
      <c r="F351" s="46" t="n"/>
    </row>
    <row r="352">
      <c r="E352" s="63" t="inlineStr">
        <is>
          <t>Confusion</t>
        </is>
      </c>
      <c r="F352" s="46" t="n"/>
    </row>
    <row r="353">
      <c r="E353" s="51" t="inlineStr">
        <is>
          <t>Hidden Power</t>
        </is>
      </c>
      <c r="F353" s="46" t="n"/>
    </row>
    <row r="355" ht="20" customHeight="1">
      <c r="B355" s="40" t="inlineStr">
        <is>
          <t>Battle Girl</t>
        </is>
      </c>
      <c r="C355" s="41" t="n"/>
      <c r="D355" s="41" t="n"/>
      <c r="E355" s="42" t="inlineStr">
        <is>
          <t>Battle Girl Lilith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IFERROR(_xlfn.IMAGE("https://play.pokemonshowdown.com/sprites/gen5/meditite.png"),"")</f>
        <v/>
      </c>
      <c r="Q356" s="44" t="inlineStr">
        <is>
          <t>Forced on sight (range 3)</t>
        </is>
      </c>
    </row>
    <row r="357">
      <c r="E357" s="45" t="inlineStr">
        <is>
          <t>Lv 13 Meditite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Pure Power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3" t="inlineStr">
        <is>
          <t>Teleport</t>
        </is>
      </c>
      <c r="F360" s="46" t="n"/>
      <c r="Q360" s="47" t="inlineStr">
        <is>
          <t>Moves</t>
        </is>
      </c>
    </row>
    <row r="361">
      <c r="E361" s="65" t="inlineStr">
        <is>
          <t>Karate Chop</t>
        </is>
      </c>
      <c r="F361" s="46" t="n"/>
    </row>
    <row r="362">
      <c r="E362" s="63" t="inlineStr">
        <is>
          <t>Confusion</t>
        </is>
      </c>
      <c r="F362" s="46" t="n"/>
    </row>
    <row r="363">
      <c r="E363" s="51" t="inlineStr">
        <is>
          <t>Hidden Power</t>
        </is>
      </c>
      <c r="F363" s="46" t="n"/>
    </row>
    <row r="365" ht="20" customHeight="1">
      <c r="B365" s="40" t="inlineStr">
        <is>
          <t>Black Belt</t>
        </is>
      </c>
      <c r="C365" s="41" t="n"/>
      <c r="D365" s="41" t="n"/>
      <c r="E365" s="42" t="inlineStr">
        <is>
          <t>Black Belt Takao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3)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Pound</t>
        </is>
      </c>
      <c r="F370" s="46" t="n"/>
      <c r="Q370" s="47" t="inlineStr">
        <is>
          <t>Moves</t>
        </is>
      </c>
    </row>
    <row r="371">
      <c r="E371" s="62" t="inlineStr">
        <is>
          <t>Rock Throw</t>
        </is>
      </c>
      <c r="F371" s="46" t="n"/>
    </row>
    <row r="372">
      <c r="E372" s="65" t="inlineStr">
        <is>
          <t>Seismic Toss</t>
        </is>
      </c>
      <c r="F372" s="46" t="n"/>
    </row>
    <row r="373">
      <c r="E373" s="65" t="inlineStr">
        <is>
          <t>Wake Up Slap</t>
        </is>
      </c>
      <c r="F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Brawly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IFERROR(_xlfn.IMAGE("https://play.pokemonshowdown.com/sprites/gen5/machop.png"),"")</f>
        <v/>
      </c>
      <c r="G376" s="43">
        <f>IFERROR(_xlfn.IMAGE("https://play.pokemonshowdown.com/sprites/gen5/meditite.png"),"")</f>
        <v/>
      </c>
      <c r="I376" s="43">
        <f>IFERROR(_xlfn.IMAGE("https://play.pokemonshowdown.com/sprites/gen5/makuhita.png"),"")</f>
        <v/>
      </c>
      <c r="Q376" s="44" t="inlineStr">
        <is>
          <t>Mandatory
Items: Super Potion / Super Potion</t>
        </is>
      </c>
    </row>
    <row r="377">
      <c r="E377" s="45" t="inlineStr">
        <is>
          <t>Lv 16 Machop</t>
        </is>
      </c>
      <c r="F377" s="46" t="n"/>
      <c r="G377" s="45" t="inlineStr">
        <is>
          <t>Lv 16 Meditite</t>
        </is>
      </c>
      <c r="H377" s="46" t="n"/>
      <c r="I377" s="45" t="inlineStr">
        <is>
          <t>Lv 19 Makuhita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No Guard</t>
        </is>
      </c>
      <c r="G378" s="48" t="inlineStr">
        <is>
          <t>Hardy</t>
        </is>
      </c>
      <c r="H378" s="48" t="inlineStr">
        <is>
          <t>Pure Power</t>
        </is>
      </c>
      <c r="I378" s="48" t="inlineStr">
        <is>
          <t>Hardy</t>
        </is>
      </c>
      <c r="J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Sitrus Berry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Karate Chop</t>
        </is>
      </c>
      <c r="F380" s="46" t="n"/>
      <c r="G380" s="65" t="inlineStr">
        <is>
          <t>Focus Punch</t>
        </is>
      </c>
      <c r="H380" s="46" t="n"/>
      <c r="I380" s="65" t="inlineStr">
        <is>
          <t>Arm Thrust</t>
        </is>
      </c>
      <c r="J380" s="46" t="n"/>
      <c r="Q380" s="47" t="inlineStr">
        <is>
          <t>Moves</t>
        </is>
      </c>
    </row>
    <row r="381">
      <c r="E381" s="65" t="inlineStr">
        <is>
          <t>Low Kick</t>
        </is>
      </c>
      <c r="F381" s="46" t="n"/>
      <c r="G381" s="63" t="inlineStr">
        <is>
          <t>Light Screen</t>
        </is>
      </c>
      <c r="H381" s="46" t="n"/>
      <c r="I381" s="65" t="inlineStr">
        <is>
          <t>Vital Throw</t>
        </is>
      </c>
      <c r="J381" s="46" t="n"/>
    </row>
    <row r="382">
      <c r="E382" s="65" t="inlineStr">
        <is>
          <t>Seismic Toss</t>
        </is>
      </c>
      <c r="F382" s="46" t="n"/>
      <c r="G382" s="63" t="inlineStr">
        <is>
          <t>Reflect</t>
        </is>
      </c>
      <c r="H382" s="46" t="n"/>
      <c r="I382" s="65" t="inlineStr">
        <is>
          <t>Reversal</t>
        </is>
      </c>
      <c r="J382" s="46" t="n"/>
    </row>
    <row r="383">
      <c r="E383" s="65" t="inlineStr">
        <is>
          <t>Bulk Up</t>
        </is>
      </c>
      <c r="F383" s="46" t="n"/>
      <c r="G383" s="65" t="inlineStr">
        <is>
          <t>Bulk Up</t>
        </is>
      </c>
      <c r="H383" s="46" t="n"/>
      <c r="I383" s="65" t="inlineStr">
        <is>
          <t>Bulk Up</t>
        </is>
      </c>
      <c r="J383" s="46" t="n"/>
    </row>
  </sheetData>
  <mergeCells count="691">
    <mergeCell ref="E376:F376"/>
    <mergeCell ref="B231:D231"/>
    <mergeCell ref="B287:D287"/>
    <mergeCell ref="G307:H307"/>
    <mergeCell ref="E8:F8"/>
    <mergeCell ref="E79:F79"/>
    <mergeCell ref="E73:F73"/>
    <mergeCell ref="E371:F371"/>
    <mergeCell ref="E171:F171"/>
    <mergeCell ref="E236:F236"/>
    <mergeCell ref="E137:F137"/>
    <mergeCell ref="G66:H66"/>
    <mergeCell ref="E308:F308"/>
    <mergeCell ref="G137:H137"/>
    <mergeCell ref="B241:D241"/>
    <mergeCell ref="E229:F229"/>
    <mergeCell ref="Q308:Q311"/>
    <mergeCell ref="E148:F148"/>
    <mergeCell ref="G148:H148"/>
    <mergeCell ref="B213:D213"/>
    <mergeCell ref="G68:H68"/>
    <mergeCell ref="B131:Q131"/>
    <mergeCell ref="G139:H139"/>
    <mergeCell ref="B350:D353"/>
    <mergeCell ref="E51:Q51"/>
    <mergeCell ref="E153:Q153"/>
    <mergeCell ref="B195:Q195"/>
    <mergeCell ref="E1:Q1"/>
    <mergeCell ref="E168:F168"/>
    <mergeCell ref="B116:D119"/>
    <mergeCell ref="Q76:Q79"/>
    <mergeCell ref="I193:J193"/>
    <mergeCell ref="G213:H213"/>
    <mergeCell ref="E53:F53"/>
    <mergeCell ref="I288:J288"/>
    <mergeCell ref="E326:F326"/>
    <mergeCell ref="E289:F289"/>
    <mergeCell ref="I30:J30"/>
    <mergeCell ref="G59:H59"/>
    <mergeCell ref="E361:F361"/>
    <mergeCell ref="B226:D229"/>
    <mergeCell ref="E117:F117"/>
    <mergeCell ref="E55:F55"/>
    <mergeCell ref="I46:J46"/>
    <mergeCell ref="E353:F353"/>
    <mergeCell ref="E67:F67"/>
    <mergeCell ref="G67:H67"/>
    <mergeCell ref="E375:Q375"/>
    <mergeCell ref="E290:F290"/>
    <mergeCell ref="B313:Q313"/>
    <mergeCell ref="B137:D137"/>
    <mergeCell ref="B379:D379"/>
    <mergeCell ref="G125:H125"/>
    <mergeCell ref="E161:F161"/>
    <mergeCell ref="I41:J41"/>
    <mergeCell ref="B201:D201"/>
    <mergeCell ref="G62:H62"/>
    <mergeCell ref="B236:D239"/>
    <mergeCell ref="G127:H127"/>
    <mergeCell ref="G298:H298"/>
    <mergeCell ref="G285:H285"/>
    <mergeCell ref="I43:J43"/>
    <mergeCell ref="E252:F252"/>
    <mergeCell ref="E185:Q185"/>
    <mergeCell ref="I285:J285"/>
    <mergeCell ref="E379:F379"/>
    <mergeCell ref="E366:F366"/>
    <mergeCell ref="E316:F316"/>
    <mergeCell ref="G201:H201"/>
    <mergeCell ref="E381:F381"/>
    <mergeCell ref="I201:J201"/>
    <mergeCell ref="E237:F237"/>
    <mergeCell ref="E187:F187"/>
    <mergeCell ref="E76:F76"/>
    <mergeCell ref="G138:H138"/>
    <mergeCell ref="E380:F380"/>
    <mergeCell ref="G380:H380"/>
    <mergeCell ref="E174:F174"/>
    <mergeCell ref="G203:H203"/>
    <mergeCell ref="E301:F301"/>
    <mergeCell ref="E239:F239"/>
    <mergeCell ref="G301:H301"/>
    <mergeCell ref="Q380:Q383"/>
    <mergeCell ref="B21:D21"/>
    <mergeCell ref="E261:Q261"/>
    <mergeCell ref="G9:H9"/>
    <mergeCell ref="E18:F18"/>
    <mergeCell ref="E189:F189"/>
    <mergeCell ref="I9:J9"/>
    <mergeCell ref="G140:H140"/>
    <mergeCell ref="E238:F238"/>
    <mergeCell ref="I295:J295"/>
    <mergeCell ref="B360:D363"/>
    <mergeCell ref="E325:Q325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158:F158"/>
    <mergeCell ref="Q44:Q47"/>
    <mergeCell ref="G87:H87"/>
    <mergeCell ref="E329:F329"/>
    <mergeCell ref="E77:F77"/>
    <mergeCell ref="E304:F304"/>
    <mergeCell ref="E108:F108"/>
    <mergeCell ref="E369:F369"/>
    <mergeCell ref="E95:F95"/>
    <mergeCell ref="B163:D163"/>
    <mergeCell ref="E89:F89"/>
    <mergeCell ref="E356:F356"/>
    <mergeCell ref="E331:F331"/>
    <mergeCell ref="G89:H89"/>
    <mergeCell ref="G135:H135"/>
    <mergeCell ref="I191:J191"/>
    <mergeCell ref="E72:F72"/>
    <mergeCell ref="B115:D115"/>
    <mergeCell ref="B308:D311"/>
    <mergeCell ref="E164:F164"/>
    <mergeCell ref="G217:H217"/>
    <mergeCell ref="E258:F258"/>
    <mergeCell ref="I291:J291"/>
    <mergeCell ref="I192:J192"/>
    <mergeCell ref="E24:F24"/>
    <mergeCell ref="E322:F322"/>
    <mergeCell ref="E382:F382"/>
    <mergeCell ref="E315:Q315"/>
    <mergeCell ref="G382:H382"/>
    <mergeCell ref="E309:F309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B207:Q207"/>
    <mergeCell ref="E19:F19"/>
    <mergeCell ref="E190:F190"/>
    <mergeCell ref="B329:D329"/>
    <mergeCell ref="G19:H19"/>
    <mergeCell ref="G190:H190"/>
    <mergeCell ref="Q190:Q193"/>
    <mergeCell ref="G304:H304"/>
    <mergeCell ref="B95:D95"/>
    <mergeCell ref="G83:H83"/>
    <mergeCell ref="I12:J12"/>
    <mergeCell ref="E319:F319"/>
    <mergeCell ref="G248:H248"/>
    <mergeCell ref="I248:J248"/>
    <mergeCell ref="I297:J297"/>
    <mergeCell ref="B197:D197"/>
    <mergeCell ref="B153:D153"/>
    <mergeCell ref="G14:H14"/>
    <mergeCell ref="I14:J14"/>
    <mergeCell ref="E179:F179"/>
    <mergeCell ref="E143:Q143"/>
    <mergeCell ref="I299:J299"/>
    <mergeCell ref="B261:D261"/>
    <mergeCell ref="Q350:Q353"/>
    <mergeCell ref="B298:D301"/>
    <mergeCell ref="E37:F37"/>
    <mergeCell ref="E159:F159"/>
    <mergeCell ref="E97:F97"/>
    <mergeCell ref="Q116:Q119"/>
    <mergeCell ref="E109:F109"/>
    <mergeCell ref="E47:F47"/>
    <mergeCell ref="E145:F145"/>
    <mergeCell ref="E139:F139"/>
    <mergeCell ref="E272:F272"/>
    <mergeCell ref="E210:F210"/>
    <mergeCell ref="E61:Q61"/>
    <mergeCell ref="I217:J217"/>
    <mergeCell ref="B49:Q49"/>
    <mergeCell ref="E203:F203"/>
    <mergeCell ref="B138:D141"/>
    <mergeCell ref="B76:D79"/>
    <mergeCell ref="B380:D383"/>
    <mergeCell ref="G267:H267"/>
    <mergeCell ref="I25:J25"/>
    <mergeCell ref="E63:F63"/>
    <mergeCell ref="B143:D143"/>
    <mergeCell ref="I307:J307"/>
    <mergeCell ref="G294:H294"/>
    <mergeCell ref="I294:J294"/>
    <mergeCell ref="E350:F350"/>
    <mergeCell ref="B27:Q27"/>
    <mergeCell ref="G108:H108"/>
    <mergeCell ref="Q236:Q239"/>
    <mergeCell ref="E119:F119"/>
    <mergeCell ref="E116:F116"/>
    <mergeCell ref="B355:D355"/>
    <mergeCell ref="E85:F85"/>
    <mergeCell ref="E256:F256"/>
    <mergeCell ref="E327:F327"/>
    <mergeCell ref="G85:H85"/>
    <mergeCell ref="G256:H256"/>
    <mergeCell ref="G383:H383"/>
    <mergeCell ref="Q66:Q69"/>
    <mergeCell ref="B44:D47"/>
    <mergeCell ref="I383:J383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E271:Q271"/>
    <mergeCell ref="B281:Q281"/>
    <mergeCell ref="E343:F343"/>
    <mergeCell ref="I144:J144"/>
    <mergeCell ref="I242:J242"/>
    <mergeCell ref="E147:F147"/>
    <mergeCell ref="G175:H175"/>
    <mergeCell ref="E40:F40"/>
    <mergeCell ref="E211:F211"/>
    <mergeCell ref="E186:F186"/>
    <mergeCell ref="B251:D251"/>
    <mergeCell ref="A1:D3"/>
    <mergeCell ref="B189:D189"/>
    <mergeCell ref="G177:H177"/>
    <mergeCell ref="E275:F275"/>
    <mergeCell ref="G33:H33"/>
    <mergeCell ref="G204:H204"/>
    <mergeCell ref="I33:J33"/>
    <mergeCell ref="E340:F340"/>
    <mergeCell ref="G269:H269"/>
    <mergeCell ref="Q148:Q151"/>
    <mergeCell ref="B148:D151"/>
    <mergeCell ref="I8:J8"/>
    <mergeCell ref="B345:D345"/>
    <mergeCell ref="G35:H35"/>
    <mergeCell ref="I35:J35"/>
    <mergeCell ref="G252:H252"/>
    <mergeCell ref="I308:J308"/>
    <mergeCell ref="E66:F66"/>
    <mergeCell ref="E351:F351"/>
    <mergeCell ref="I310:J310"/>
    <mergeCell ref="E68:F68"/>
    <mergeCell ref="E197:Q197"/>
    <mergeCell ref="E160:F160"/>
    <mergeCell ref="E141:F141"/>
    <mergeCell ref="E135:F135"/>
    <mergeCell ref="G122:H122"/>
    <mergeCell ref="E107:F107"/>
    <mergeCell ref="B330:D333"/>
    <mergeCell ref="G199:H199"/>
    <mergeCell ref="I150:J150"/>
    <mergeCell ref="E121:Q121"/>
    <mergeCell ref="G186:H186"/>
    <mergeCell ref="I215:J215"/>
    <mergeCell ref="E288:F288"/>
    <mergeCell ref="B177:D177"/>
    <mergeCell ref="G288:H288"/>
    <mergeCell ref="B96:D99"/>
    <mergeCell ref="B275:D275"/>
    <mergeCell ref="B335:D335"/>
    <mergeCell ref="G263:H263"/>
    <mergeCell ref="I21:J21"/>
    <mergeCell ref="E59:F59"/>
    <mergeCell ref="E46:F46"/>
    <mergeCell ref="E39:Q39"/>
    <mergeCell ref="I23:J23"/>
    <mergeCell ref="I216:J216"/>
    <mergeCell ref="B219:Q219"/>
    <mergeCell ref="E359:F359"/>
    <mergeCell ref="E346:F346"/>
    <mergeCell ref="E125:F125"/>
    <mergeCell ref="E41:F41"/>
    <mergeCell ref="I245:J245"/>
    <mergeCell ref="E112:F112"/>
    <mergeCell ref="G41:H41"/>
    <mergeCell ref="E277:F277"/>
    <mergeCell ref="G106:H106"/>
    <mergeCell ref="E56:F56"/>
    <mergeCell ref="G56:H56"/>
    <mergeCell ref="E43:F43"/>
    <mergeCell ref="G105:H105"/>
    <mergeCell ref="I34:J34"/>
    <mergeCell ref="G43:H43"/>
    <mergeCell ref="Q56:Q59"/>
    <mergeCell ref="E214:F214"/>
    <mergeCell ref="G214:H214"/>
    <mergeCell ref="E285:F285"/>
    <mergeCell ref="Q298:Q301"/>
    <mergeCell ref="B61:D61"/>
    <mergeCell ref="Q214:Q217"/>
    <mergeCell ref="E341:F341"/>
    <mergeCell ref="E278:F278"/>
    <mergeCell ref="G36:H36"/>
    <mergeCell ref="E355:Q355"/>
    <mergeCell ref="G107:H107"/>
    <mergeCell ref="I36:J36"/>
    <mergeCell ref="E7:Q7"/>
    <mergeCell ref="E372:F372"/>
    <mergeCell ref="B256:D259"/>
    <mergeCell ref="I380:J380"/>
    <mergeCell ref="E138:F138"/>
    <mergeCell ref="B22:D25"/>
    <mergeCell ref="B320:D323"/>
    <mergeCell ref="E295:F295"/>
    <mergeCell ref="I382:J382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B288:D291"/>
    <mergeCell ref="G291:H291"/>
    <mergeCell ref="B11:D11"/>
    <mergeCell ref="E62:F62"/>
    <mergeCell ref="E347:F347"/>
    <mergeCell ref="G268:H268"/>
    <mergeCell ref="E362:F362"/>
    <mergeCell ref="E349:F349"/>
    <mergeCell ref="B66:D69"/>
    <mergeCell ref="E128:F128"/>
    <mergeCell ref="G57:H57"/>
    <mergeCell ref="E155:F155"/>
    <mergeCell ref="G128:H128"/>
    <mergeCell ref="Q370:Q373"/>
    <mergeCell ref="E71:Q71"/>
    <mergeCell ref="E65:F65"/>
    <mergeCell ref="B133:D133"/>
    <mergeCell ref="B190:D193"/>
    <mergeCell ref="E363:F363"/>
    <mergeCell ref="B369:D369"/>
    <mergeCell ref="E157:F157"/>
    <mergeCell ref="E284:F284"/>
    <mergeCell ref="E222:F222"/>
    <mergeCell ref="G284:H284"/>
    <mergeCell ref="I284:J284"/>
    <mergeCell ref="G58:H58"/>
    <mergeCell ref="G123:H123"/>
    <mergeCell ref="E231:Q231"/>
    <mergeCell ref="G215:H215"/>
    <mergeCell ref="I44:J44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243:H243"/>
    <mergeCell ref="E170:F170"/>
    <mergeCell ref="I305:J305"/>
    <mergeCell ref="I243:J243"/>
    <mergeCell ref="B375:D375"/>
    <mergeCell ref="B276:D279"/>
    <mergeCell ref="B214:D217"/>
    <mergeCell ref="B319:D319"/>
    <mergeCell ref="E370:F370"/>
    <mergeCell ref="E201:F201"/>
    <mergeCell ref="B85:D85"/>
    <mergeCell ref="G65:H65"/>
    <mergeCell ref="G192:H192"/>
    <mergeCell ref="E154:F154"/>
    <mergeCell ref="Q138:Q141"/>
    <mergeCell ref="G246:H246"/>
    <mergeCell ref="G129:H129"/>
    <mergeCell ref="E25:F25"/>
    <mergeCell ref="G25:H25"/>
    <mergeCell ref="Q340:Q343"/>
    <mergeCell ref="E58:F58"/>
    <mergeCell ref="B297:D297"/>
    <mergeCell ref="B235:D235"/>
    <mergeCell ref="I187:J187"/>
    <mergeCell ref="E223:F223"/>
    <mergeCell ref="E294:F294"/>
    <mergeCell ref="Q106:Q109"/>
    <mergeCell ref="G300:H300"/>
    <mergeCell ref="I189:J189"/>
    <mergeCell ref="G287:H287"/>
    <mergeCell ref="I45:J45"/>
    <mergeCell ref="E83:F83"/>
    <mergeCell ref="I287:J287"/>
    <mergeCell ref="G126:H126"/>
    <mergeCell ref="G289:H289"/>
    <mergeCell ref="I47:J47"/>
    <mergeCell ref="E251:Q251"/>
    <mergeCell ref="E383:F383"/>
    <mergeCell ref="E177:F177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Q22:Q25"/>
    <mergeCell ref="I205:J205"/>
    <mergeCell ref="I376:J376"/>
    <mergeCell ref="Q320:Q323"/>
    <mergeCell ref="E15:F15"/>
    <mergeCell ref="E86:F86"/>
    <mergeCell ref="G15:H15"/>
    <mergeCell ref="E191:F191"/>
    <mergeCell ref="E257:F257"/>
    <mergeCell ref="B325:D325"/>
    <mergeCell ref="E178:F178"/>
    <mergeCell ref="Q86:Q89"/>
    <mergeCell ref="G305:H305"/>
    <mergeCell ref="E29:Q29"/>
    <mergeCell ref="B91:D91"/>
    <mergeCell ref="E144:F144"/>
    <mergeCell ref="G144:H144"/>
    <mergeCell ref="E267:F267"/>
    <mergeCell ref="I300:J300"/>
    <mergeCell ref="E106:F106"/>
    <mergeCell ref="B101:D101"/>
    <mergeCell ref="E33:F33"/>
    <mergeCell ref="E204:F204"/>
    <mergeCell ref="E269:F269"/>
    <mergeCell ref="Q288:Q291"/>
    <mergeCell ref="G8:H8"/>
    <mergeCell ref="E35:F35"/>
    <mergeCell ref="E262:F262"/>
    <mergeCell ref="E333:F333"/>
    <mergeCell ref="G262:H262"/>
    <mergeCell ref="G308:H308"/>
    <mergeCell ref="G53:H53"/>
    <mergeCell ref="Q34:Q37"/>
    <mergeCell ref="B12:D15"/>
    <mergeCell ref="E245:F245"/>
    <mergeCell ref="I289:J289"/>
    <mergeCell ref="B370:D373"/>
    <mergeCell ref="B33:D33"/>
    <mergeCell ref="E310:F310"/>
    <mergeCell ref="G310:H310"/>
    <mergeCell ref="I190:J190"/>
    <mergeCell ref="E30:F30"/>
    <mergeCell ref="G30:H30"/>
    <mergeCell ref="E17:Q17"/>
    <mergeCell ref="B315:D315"/>
    <mergeCell ref="G290:H290"/>
    <mergeCell ref="I290:J290"/>
    <mergeCell ref="B81:D81"/>
    <mergeCell ref="E199:F199"/>
    <mergeCell ref="E255:F255"/>
    <mergeCell ref="E321:F321"/>
    <mergeCell ref="G150:H150"/>
    <mergeCell ref="G255:H255"/>
    <mergeCell ref="E242:F242"/>
    <mergeCell ref="E217:F217"/>
    <mergeCell ref="G242:H242"/>
    <mergeCell ref="E21:F21"/>
    <mergeCell ref="E192:F192"/>
    <mergeCell ref="E263:F263"/>
    <mergeCell ref="G21:H21"/>
    <mergeCell ref="E323:F323"/>
    <mergeCell ref="G379:H379"/>
    <mergeCell ref="I379:J379"/>
    <mergeCell ref="E129:F129"/>
    <mergeCell ref="B157:D157"/>
    <mergeCell ref="E23:F23"/>
    <mergeCell ref="G23:H23"/>
    <mergeCell ref="G145:H145"/>
    <mergeCell ref="B183:Q183"/>
    <mergeCell ref="I145:J145"/>
    <mergeCell ref="E181:F181"/>
    <mergeCell ref="G381:H381"/>
    <mergeCell ref="G181:H181"/>
    <mergeCell ref="I210:J210"/>
    <mergeCell ref="I381:J381"/>
    <mergeCell ref="E87:F87"/>
    <mergeCell ref="G147:H147"/>
    <mergeCell ref="G174:H174"/>
    <mergeCell ref="I147:J147"/>
    <mergeCell ref="I203:J203"/>
    <mergeCell ref="G245:H245"/>
    <mergeCell ref="I301:J301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Q276:Q279"/>
    <mergeCell ref="E36:F36"/>
    <mergeCell ref="B125:D125"/>
    <mergeCell ref="E113:F113"/>
    <mergeCell ref="B185:D185"/>
    <mergeCell ref="E221:Q221"/>
    <mergeCell ref="E336:F336"/>
    <mergeCell ref="E115:F115"/>
    <mergeCell ref="G44:H44"/>
    <mergeCell ref="B105:D105"/>
    <mergeCell ref="B43:D43"/>
    <mergeCell ref="B246:D249"/>
    <mergeCell ref="G311:H311"/>
    <mergeCell ref="E102:F102"/>
    <mergeCell ref="G102:H102"/>
    <mergeCell ref="E2:Q2"/>
    <mergeCell ref="I304:J304"/>
    <mergeCell ref="B340:D343"/>
    <mergeCell ref="E127:F127"/>
    <mergeCell ref="B147:D147"/>
    <mergeCell ref="G40:H40"/>
    <mergeCell ref="E345:Q345"/>
    <mergeCell ref="G191:H191"/>
    <mergeCell ref="E202:F202"/>
    <mergeCell ref="G258:H258"/>
    <mergeCell ref="Q202:Q205"/>
    <mergeCell ref="E291:F291"/>
    <mergeCell ref="B106:D109"/>
    <mergeCell ref="B359:D359"/>
    <mergeCell ref="Q226:Q229"/>
    <mergeCell ref="E266:F266"/>
    <mergeCell ref="G24:H24"/>
    <mergeCell ref="G266:H266"/>
    <mergeCell ref="I24:J24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G88:H88"/>
    <mergeCell ref="G259:H259"/>
    <mergeCell ref="I148:J148"/>
    <mergeCell ref="Q330:Q333"/>
    <mergeCell ref="I311:J311"/>
    <mergeCell ref="I19:J19"/>
    <mergeCell ref="B39:D39"/>
    <mergeCell ref="E342:F342"/>
    <mergeCell ref="E335:Q335"/>
    <mergeCell ref="E357:F357"/>
    <mergeCell ref="E213:F213"/>
    <mergeCell ref="E151:F151"/>
    <mergeCell ref="E52:F52"/>
    <mergeCell ref="E123:F123"/>
    <mergeCell ref="G211:H211"/>
    <mergeCell ref="E150:F150"/>
    <mergeCell ref="G179:H179"/>
    <mergeCell ref="B349:D349"/>
    <mergeCell ref="E44:F44"/>
    <mergeCell ref="E215:F215"/>
    <mergeCell ref="E337:F337"/>
    <mergeCell ref="E373:F373"/>
    <mergeCell ref="G141:H141"/>
    <mergeCell ref="B255:D255"/>
    <mergeCell ref="E352:F352"/>
    <mergeCell ref="E103:F103"/>
    <mergeCell ref="G377:H377"/>
    <mergeCell ref="G103:H103"/>
    <mergeCell ref="G37:H37"/>
    <mergeCell ref="E279:F279"/>
    <mergeCell ref="E339:F339"/>
    <mergeCell ref="E3:Q3"/>
    <mergeCell ref="I37:J37"/>
    <mergeCell ref="B65:D65"/>
    <mergeCell ref="I377:J377"/>
    <mergeCell ref="B56:D59"/>
    <mergeCell ref="E118:F118"/>
    <mergeCell ref="G210:H210"/>
    <mergeCell ref="E303:Q303"/>
    <mergeCell ref="E226:F226"/>
    <mergeCell ref="B221:D221"/>
    <mergeCell ref="E57:F57"/>
    <mergeCell ref="E228:F228"/>
    <mergeCell ref="I249:J249"/>
    <mergeCell ref="E330:F330"/>
    <mergeCell ref="E134:F134"/>
    <mergeCell ref="G63:H63"/>
    <mergeCell ref="E243:F243"/>
    <mergeCell ref="G134:H134"/>
    <mergeCell ref="E268:F268"/>
    <mergeCell ref="E305:F305"/>
    <mergeCell ref="Q178:Q181"/>
    <mergeCell ref="B178:D181"/>
    <mergeCell ref="B34:D37"/>
    <mergeCell ref="E96:F96"/>
    <mergeCell ref="E332:F332"/>
    <mergeCell ref="E307:F307"/>
    <mergeCell ref="G52:H52"/>
    <mergeCell ref="E98:F98"/>
    <mergeCell ref="E165:F165"/>
    <mergeCell ref="E140:F140"/>
    <mergeCell ref="E283:Q283"/>
    <mergeCell ref="B339:D339"/>
    <mergeCell ref="B202:D205"/>
    <mergeCell ref="I22:J22"/>
    <mergeCell ref="B55:D55"/>
    <mergeCell ref="G187:H187"/>
    <mergeCell ref="E300:F300"/>
    <mergeCell ref="G180:H180"/>
    <mergeCell ref="E360:F360"/>
    <mergeCell ref="E293:Q293"/>
    <mergeCell ref="E45:F45"/>
    <mergeCell ref="E216:F216"/>
    <mergeCell ref="E287:F287"/>
    <mergeCell ref="G45:H45"/>
    <mergeCell ref="G216:H216"/>
    <mergeCell ref="B7:D7"/>
    <mergeCell ref="Q360:Q363"/>
    <mergeCell ref="B365:D365"/>
    <mergeCell ref="G55:H55"/>
    <mergeCell ref="B121:D121"/>
    <mergeCell ref="G109:H109"/>
    <mergeCell ref="G47:H47"/>
    <mergeCell ref="B71:D71"/>
    <mergeCell ref="B307:D307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Guts</t>
        </is>
      </c>
      <c r="I10" s="48" t="inlineStr">
        <is>
          <t>Hardy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No Guard</t>
        </is>
      </c>
      <c r="I20" s="48" t="inlineStr">
        <is>
          <t>Hardy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Gluttony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Pressure</t>
        </is>
      </c>
      <c r="G92" s="48" t="inlineStr">
        <is>
          <t>Hardy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Rain Dish</t>
        </is>
      </c>
      <c r="G102" s="48" t="inlineStr">
        <is>
          <t>Hardy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Rain Dish</t>
        </is>
      </c>
      <c r="G112" s="48" t="inlineStr">
        <is>
          <t>Hardy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Gluttony</t>
        </is>
      </c>
      <c r="G162" s="48" t="inlineStr">
        <is>
          <t>Hardy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Huge Power</t>
        </is>
      </c>
      <c r="G172" s="48" t="inlineStr">
        <is>
          <t>Hardy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Inner Focus</t>
        </is>
      </c>
      <c r="G214" s="48" t="inlineStr">
        <is>
          <t>Hardy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Magnet Pull</t>
        </is>
      </c>
      <c r="G246" s="48" t="inlineStr">
        <is>
          <t>Hardy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Gluttony</t>
        </is>
      </c>
      <c r="I266" s="48" t="inlineStr">
        <is>
          <t>Hardy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Swift Swim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Gluttony</t>
        </is>
      </c>
      <c r="G286" s="48" t="inlineStr">
        <is>
          <t>Hardy</t>
        </is>
      </c>
      <c r="H286" s="48" t="inlineStr">
        <is>
          <t>Swift Swim</t>
        </is>
      </c>
      <c r="I286" s="48" t="inlineStr">
        <is>
          <t>Hardy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Rain Dish</t>
        </is>
      </c>
      <c r="G296" s="48" t="inlineStr">
        <is>
          <t>Hardy</t>
        </is>
      </c>
      <c r="H296" s="48" t="inlineStr">
        <is>
          <t>Pressure</t>
        </is>
      </c>
      <c r="I296" s="48" t="inlineStr">
        <is>
          <t>Hardy</t>
        </is>
      </c>
      <c r="J296" s="48" t="inlineStr">
        <is>
          <t>Rain Dish</t>
        </is>
      </c>
      <c r="K296" s="48" t="inlineStr">
        <is>
          <t>Hardy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Plus</t>
        </is>
      </c>
      <c r="G326" s="48" t="inlineStr">
        <is>
          <t>Hardy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Aftermath</t>
        </is>
      </c>
      <c r="G346" s="48" t="inlineStr">
        <is>
          <t>Hardy</t>
        </is>
      </c>
      <c r="H346" s="48" t="inlineStr">
        <is>
          <t>Aftermath</t>
        </is>
      </c>
      <c r="I346" s="48" t="inlineStr">
        <is>
          <t>Hardy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Magnet Pull</t>
        </is>
      </c>
      <c r="G356" s="48" t="inlineStr">
        <is>
          <t>Hardy</t>
        </is>
      </c>
      <c r="H356" s="48" t="inlineStr">
        <is>
          <t>Magnet Pull</t>
        </is>
      </c>
      <c r="I356" s="48" t="inlineStr">
        <is>
          <t>Hardy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Lightning Rod</t>
        </is>
      </c>
      <c r="G366" s="48" t="inlineStr">
        <is>
          <t>Hardy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Minus</t>
        </is>
      </c>
      <c r="G376" s="48" t="inlineStr">
        <is>
          <t>Hardy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Gluttony</t>
        </is>
      </c>
      <c r="G386" s="48" t="inlineStr">
        <is>
          <t>Hardy</t>
        </is>
      </c>
      <c r="H386" s="48" t="inlineStr">
        <is>
          <t>Magma Armor</t>
        </is>
      </c>
      <c r="I386" s="48" t="inlineStr">
        <is>
          <t>Hardy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Magma Armor</t>
        </is>
      </c>
      <c r="I396" s="48" t="inlineStr">
        <is>
          <t>Hardy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Gluttony</t>
        </is>
      </c>
      <c r="G406" s="48" t="inlineStr">
        <is>
          <t>Hardy</t>
        </is>
      </c>
      <c r="H406" s="48" t="inlineStr">
        <is>
          <t>Swift Swim</t>
        </is>
      </c>
      <c r="I406" s="48" t="inlineStr">
        <is>
          <t>Hardy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Gluttony</t>
        </is>
      </c>
      <c r="G428" s="48" t="inlineStr">
        <is>
          <t>Hardy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Cute Charm</t>
        </is>
      </c>
      <c r="G438" s="48" t="inlineStr">
        <is>
          <t>Hardy</t>
        </is>
      </c>
      <c r="H438" s="48" t="inlineStr">
        <is>
          <t>Poison Heal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Hardy</t>
        </is>
      </c>
      <c r="F460" s="48" t="inlineStr">
        <is>
          <t>Poison Heal</t>
        </is>
      </c>
      <c r="G460" s="48" t="inlineStr">
        <is>
          <t>Hardy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Hardy</t>
        </is>
      </c>
      <c r="F470" s="48" t="inlineStr">
        <is>
          <t>Oblivious</t>
        </is>
      </c>
      <c r="G470" s="48" t="inlineStr">
        <is>
          <t>Hardy</t>
        </is>
      </c>
      <c r="H470" s="48" t="inlineStr">
        <is>
          <t>Chlorophyll</t>
        </is>
      </c>
      <c r="I470" s="48" t="inlineStr">
        <is>
          <t>Hardy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Hardy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Hardy</t>
        </is>
      </c>
      <c r="F492" s="48" t="inlineStr">
        <is>
          <t>Rock Head</t>
        </is>
      </c>
      <c r="G492" s="48" t="inlineStr">
        <is>
          <t>Hardy</t>
        </is>
      </c>
      <c r="H492" s="48" t="inlineStr">
        <is>
          <t>Solid Rock</t>
        </is>
      </c>
      <c r="I492" s="48" t="inlineStr">
        <is>
          <t>Hardy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Hardy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Hardy</t>
        </is>
      </c>
      <c r="F512" s="48" t="inlineStr">
        <is>
          <t>Cute Charm</t>
        </is>
      </c>
      <c r="G512" s="48" t="inlineStr">
        <is>
          <t>Hardy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Hardy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Hardy</t>
        </is>
      </c>
      <c r="F544" s="48" t="inlineStr">
        <is>
          <t>Guts</t>
        </is>
      </c>
      <c r="G544" s="48" t="inlineStr">
        <is>
          <t>Hardy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Guts</t>
        </is>
      </c>
      <c r="G556" s="48" t="inlineStr">
        <is>
          <t>Hardy</t>
        </is>
      </c>
      <c r="H556" s="48" t="inlineStr">
        <is>
          <t>Unburden</t>
        </is>
      </c>
      <c r="I556" s="48" t="inlineStr">
        <is>
          <t>Hardy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Hardy</t>
        </is>
      </c>
      <c r="F576" s="48" t="inlineStr">
        <is>
          <t>Natural Cure</t>
        </is>
      </c>
      <c r="G576" s="48" t="inlineStr">
        <is>
          <t>Hardy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Trace</t>
        </is>
      </c>
      <c r="G588" s="48" t="inlineStr">
        <is>
          <t>Hardy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Clear Body</t>
        </is>
      </c>
      <c r="G598" s="48" t="inlineStr">
        <is>
          <t>Hardy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Magic Guard</t>
        </is>
      </c>
      <c r="G618" s="48" t="inlineStr">
        <is>
          <t>Hardy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Clear Body</t>
        </is>
      </c>
      <c r="G638" s="48" t="inlineStr">
        <is>
          <t>Hardy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Rock Head</t>
        </is>
      </c>
      <c r="G650" s="48" t="inlineStr">
        <is>
          <t>Hardy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Hardy</t>
        </is>
      </c>
      <c r="F660" s="48" t="inlineStr">
        <is>
          <t>Intimidate</t>
        </is>
      </c>
      <c r="G660" s="48" t="inlineStr">
        <is>
          <t>Hardy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Clear Body</t>
        </is>
      </c>
      <c r="G670" s="48" t="inlineStr">
        <is>
          <t>Hardy</t>
        </is>
      </c>
      <c r="H670" s="48" t="inlineStr">
        <is>
          <t>Pure Power</t>
        </is>
      </c>
      <c r="I670" s="48" t="inlineStr">
        <is>
          <t>Hardy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Hardy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Gluttony</t>
        </is>
      </c>
      <c r="G704" s="48" t="inlineStr">
        <is>
          <t>Hardy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Hardy</t>
        </is>
      </c>
      <c r="F724" s="48" t="inlineStr">
        <is>
          <t>Tinted Lens</t>
        </is>
      </c>
      <c r="G724" s="48" t="inlineStr">
        <is>
          <t>Hardy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Hardy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Hardy</t>
        </is>
      </c>
      <c r="F744" s="48" t="inlineStr">
        <is>
          <t>Scrappy</t>
        </is>
      </c>
      <c r="G744" s="48" t="inlineStr">
        <is>
          <t>Hardy</t>
        </is>
      </c>
      <c r="H744" s="48" t="inlineStr">
        <is>
          <t>Gluttony</t>
        </is>
      </c>
      <c r="I744" s="48" t="inlineStr">
        <is>
          <t>Hardy</t>
        </is>
      </c>
      <c r="J744" s="48" t="inlineStr">
        <is>
          <t>Rock Head</t>
        </is>
      </c>
      <c r="K744" s="48" t="inlineStr">
        <is>
          <t>Hardy</t>
        </is>
      </c>
      <c r="L744" s="48" t="inlineStr">
        <is>
          <t>Quick Feet</t>
        </is>
      </c>
      <c r="M744" s="48" t="inlineStr">
        <is>
          <t>Hardy</t>
        </is>
      </c>
      <c r="N744" s="48" t="inlineStr">
        <is>
          <t>Guts</t>
        </is>
      </c>
      <c r="O744" s="48" t="inlineStr">
        <is>
          <t>Hardy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Hardy</t>
        </is>
      </c>
      <c r="F754" s="48" t="inlineStr">
        <is>
          <t>Gluttony</t>
        </is>
      </c>
      <c r="G754" s="48" t="inlineStr">
        <is>
          <t>Hardy</t>
        </is>
      </c>
      <c r="H754" s="48" t="inlineStr">
        <is>
          <t>Poison Heal</t>
        </is>
      </c>
      <c r="I754" s="48" t="inlineStr">
        <is>
          <t>Hardy</t>
        </is>
      </c>
      <c r="J754" s="48" t="inlineStr">
        <is>
          <t>Huge Power</t>
        </is>
      </c>
      <c r="K754" s="48" t="inlineStr">
        <is>
          <t>Hardy</t>
        </is>
      </c>
      <c r="L754" s="48" t="inlineStr">
        <is>
          <t>Natural Cure</t>
        </is>
      </c>
      <c r="M754" s="48" t="inlineStr">
        <is>
          <t>Hardy</t>
        </is>
      </c>
      <c r="N754" s="48" t="inlineStr">
        <is>
          <t>Cute Charm</t>
        </is>
      </c>
      <c r="O754" s="48" t="inlineStr">
        <is>
          <t>Hardy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Hardy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Hardy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Thick Fat</t>
        </is>
      </c>
      <c r="G798" s="48" t="inlineStr">
        <is>
          <t>Hardy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Pressure</t>
        </is>
      </c>
      <c r="G820" s="48" t="inlineStr">
        <is>
          <t>Hardy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Hardy</t>
        </is>
      </c>
      <c r="F852" s="48" t="inlineStr">
        <is>
          <t>Tinted Lens</t>
        </is>
      </c>
      <c r="G852" s="48" t="inlineStr">
        <is>
          <t>Hardy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Tinted Lens</t>
        </is>
      </c>
      <c r="G864" s="48" t="inlineStr">
        <is>
          <t>Hardy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Gluttony</t>
        </is>
      </c>
      <c r="G874" s="48" t="inlineStr">
        <is>
          <t>Hardy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Hardy</t>
        </is>
      </c>
      <c r="F884" s="48" t="inlineStr">
        <is>
          <t>Lightning Rod</t>
        </is>
      </c>
      <c r="G884" s="48" t="inlineStr">
        <is>
          <t>Hardy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Hardy</t>
        </is>
      </c>
      <c r="F894" s="48" t="inlineStr">
        <is>
          <t>Aftermath</t>
        </is>
      </c>
      <c r="G894" s="48" t="inlineStr">
        <is>
          <t>Hardy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Hardy</t>
        </is>
      </c>
      <c r="F904" s="48" t="inlineStr">
        <is>
          <t>Pure Power</t>
        </is>
      </c>
      <c r="G904" s="48" t="inlineStr">
        <is>
          <t>Hardy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Hardy</t>
        </is>
      </c>
      <c r="F914" s="48" t="inlineStr">
        <is>
          <t>Aftermath</t>
        </is>
      </c>
      <c r="G914" s="48" t="inlineStr">
        <is>
          <t>Hardy</t>
        </is>
      </c>
      <c r="H914" s="48" t="inlineStr">
        <is>
          <t>Lightning Rod</t>
        </is>
      </c>
      <c r="I914" s="48" t="inlineStr">
        <is>
          <t>Hardy</t>
        </is>
      </c>
      <c r="J914" s="48" t="inlineStr">
        <is>
          <t>Magnet Pull</t>
        </is>
      </c>
      <c r="K914" s="48" t="inlineStr">
        <is>
          <t>Hardy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Rough Skin</t>
        </is>
      </c>
      <c r="I10" s="48" t="inlineStr">
        <is>
          <t>Hardy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Rough Skin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Guts</t>
        </is>
      </c>
      <c r="G40" s="48" t="inlineStr">
        <is>
          <t>Hardy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Oblivious</t>
        </is>
      </c>
      <c r="I50" s="48" t="inlineStr">
        <is>
          <t>Hardy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Rough Skin</t>
        </is>
      </c>
      <c r="G60" s="48" t="inlineStr">
        <is>
          <t>Hardy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Huge Power</t>
        </is>
      </c>
      <c r="G70" s="48" t="inlineStr">
        <is>
          <t>Hardy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Rough Skin</t>
        </is>
      </c>
      <c r="G130" s="48" t="inlineStr">
        <is>
          <t>Hardy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Hardy</t>
        </is>
      </c>
      <c r="F140" s="48" t="inlineStr">
        <is>
          <t>Poison Heal</t>
        </is>
      </c>
      <c r="G140" s="48" t="inlineStr">
        <is>
          <t>Hardy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Hardy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Guts</t>
        </is>
      </c>
      <c r="G180" s="48" t="inlineStr">
        <is>
          <t>Hardy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Huge Power</t>
        </is>
      </c>
      <c r="G200" s="48" t="inlineStr">
        <is>
          <t>Hardy</t>
        </is>
      </c>
      <c r="H200" s="48" t="inlineStr">
        <is>
          <t>Poison Heal</t>
        </is>
      </c>
      <c r="I200" s="48" t="inlineStr">
        <is>
          <t>Hardy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Lightning Rod</t>
        </is>
      </c>
      <c r="G210" s="48" t="inlineStr">
        <is>
          <t>Hardy</t>
        </is>
      </c>
      <c r="H210" s="48" t="inlineStr">
        <is>
          <t>Pressure</t>
        </is>
      </c>
      <c r="I210" s="48" t="inlineStr">
        <is>
          <t>Hardy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Oblivious</t>
        </is>
      </c>
      <c r="G222" s="48" t="inlineStr">
        <is>
          <t>Hardy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Oblivious</t>
        </is>
      </c>
      <c r="G232" s="48" t="inlineStr">
        <is>
          <t>Hardy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Guts</t>
        </is>
      </c>
      <c r="G242" s="48" t="inlineStr">
        <is>
          <t>Hardy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Poison Heal</t>
        </is>
      </c>
      <c r="G262" s="48" t="inlineStr">
        <is>
          <t>Hardy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Filter</t>
        </is>
      </c>
      <c r="G284" s="48" t="inlineStr">
        <is>
          <t>Hardy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Levitate</t>
        </is>
      </c>
      <c r="G314" s="48" t="inlineStr">
        <is>
          <t>Hardy</t>
        </is>
      </c>
      <c r="H314" s="48" t="inlineStr">
        <is>
          <t>Levitate</t>
        </is>
      </c>
      <c r="I314" s="48" t="inlineStr">
        <is>
          <t>Hardy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Levitate</t>
        </is>
      </c>
      <c r="G324" s="48" t="inlineStr">
        <is>
          <t>Hardy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Levitate</t>
        </is>
      </c>
      <c r="G334" s="48" t="inlineStr">
        <is>
          <t>Hardy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Huge Power</t>
        </is>
      </c>
      <c r="G354" s="48" t="inlineStr">
        <is>
          <t>Hardy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Tangled Feet</t>
        </is>
      </c>
      <c r="G364" s="48" t="inlineStr">
        <is>
          <t>Hardy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Rock Head</t>
        </is>
      </c>
      <c r="G374" s="48" t="inlineStr">
        <is>
          <t>Hardy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Swift Swim</t>
        </is>
      </c>
      <c r="G386" s="48" t="inlineStr">
        <is>
          <t>Hardy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Magma Armor</t>
        </is>
      </c>
      <c r="G396" s="48" t="inlineStr">
        <is>
          <t>Hardy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Swift Swim</t>
        </is>
      </c>
      <c r="G416" s="48" t="inlineStr">
        <is>
          <t>Hardy</t>
        </is>
      </c>
      <c r="H416" s="48" t="inlineStr">
        <is>
          <t>Swift Swim</t>
        </is>
      </c>
      <c r="I416" s="48" t="inlineStr">
        <is>
          <t>Hardy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Rock Head</t>
        </is>
      </c>
      <c r="G436" s="48" t="inlineStr">
        <is>
          <t>Hardy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Rock Head</t>
        </is>
      </c>
      <c r="G446" s="48" t="inlineStr">
        <is>
          <t>Hardy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Huge Power</t>
        </is>
      </c>
      <c r="G456" s="48" t="inlineStr">
        <is>
          <t>Hardy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Rough Skin</t>
        </is>
      </c>
      <c r="G476" s="48" t="inlineStr">
        <is>
          <t>Hardy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Natural Cure</t>
        </is>
      </c>
      <c r="G496" s="48" t="inlineStr">
        <is>
          <t>Hardy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Pure Power</t>
        </is>
      </c>
      <c r="G558" s="48" t="inlineStr">
        <is>
          <t>Hardy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Oblivious</t>
        </is>
      </c>
      <c r="G578" s="48" t="inlineStr">
        <is>
          <t>Hardy</t>
        </is>
      </c>
      <c r="H578" s="48" t="inlineStr">
        <is>
          <t>Quick Feet</t>
        </is>
      </c>
      <c r="I578" s="48" t="inlineStr">
        <is>
          <t>Hardy</t>
        </is>
      </c>
      <c r="J578" s="48" t="inlineStr">
        <is>
          <t>Oblivious</t>
        </is>
      </c>
      <c r="K578" s="48" t="inlineStr">
        <is>
          <t>Hardy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Intimidate</t>
        </is>
      </c>
      <c r="G588" s="48" t="inlineStr">
        <is>
          <t>Hardy</t>
        </is>
      </c>
      <c r="H588" s="48" t="inlineStr">
        <is>
          <t>Inner Focus</t>
        </is>
      </c>
      <c r="I588" s="48" t="inlineStr">
        <is>
          <t>Hardy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Hardy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Hardy</t>
        </is>
      </c>
      <c r="F610" s="48" t="inlineStr">
        <is>
          <t>Poison Heal</t>
        </is>
      </c>
      <c r="G610" s="48" t="inlineStr">
        <is>
          <t>Hardy</t>
        </is>
      </c>
      <c r="H610" s="48" t="inlineStr">
        <is>
          <t>Chlorophyll</t>
        </is>
      </c>
      <c r="I610" s="48" t="inlineStr">
        <is>
          <t>Hardy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Rock Head</t>
        </is>
      </c>
      <c r="G620" s="48" t="inlineStr">
        <is>
          <t>Hardy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Hardy</t>
        </is>
      </c>
      <c r="F630" s="48" t="inlineStr">
        <is>
          <t>Gluttony</t>
        </is>
      </c>
      <c r="G630" s="48" t="inlineStr">
        <is>
          <t>Hardy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Hardy</t>
        </is>
      </c>
      <c r="F640" s="48" t="inlineStr">
        <is>
          <t>Quick Feet</t>
        </is>
      </c>
      <c r="G640" s="48" t="inlineStr">
        <is>
          <t>Hardy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Hardy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Levitate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Levitate</t>
        </is>
      </c>
      <c r="G714" s="48" t="inlineStr">
        <is>
          <t>Hardy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Hardy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Hardy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Hardy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Hardy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Hardy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Oblivious</t>
        </is>
      </c>
      <c r="G832" s="48" t="inlineStr">
        <is>
          <t>Hardy</t>
        </is>
      </c>
      <c r="H832" s="48" t="inlineStr">
        <is>
          <t>Intimidate</t>
        </is>
      </c>
      <c r="I832" s="48" t="inlineStr">
        <is>
          <t>Hardy</t>
        </is>
      </c>
      <c r="J832" s="48" t="inlineStr">
        <is>
          <t>Inner Focus</t>
        </is>
      </c>
      <c r="K832" s="48" t="inlineStr">
        <is>
          <t>Hardy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Intimidate</t>
        </is>
      </c>
      <c r="G842" s="48" t="inlineStr">
        <is>
          <t>Hardy</t>
        </is>
      </c>
      <c r="H842" s="48" t="inlineStr">
        <is>
          <t>Inner Focus</t>
        </is>
      </c>
      <c r="I842" s="48" t="inlineStr">
        <is>
          <t>Hardy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Hardy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Hardy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Hardy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Oblivious</t>
        </is>
      </c>
      <c r="G942" s="48" t="inlineStr">
        <is>
          <t>Hardy</t>
        </is>
      </c>
      <c r="H942" s="48" t="inlineStr">
        <is>
          <t>Magma Armor</t>
        </is>
      </c>
      <c r="I942" s="48" t="inlineStr">
        <is>
          <t>Hardy</t>
        </is>
      </c>
      <c r="J942" s="48" t="inlineStr">
        <is>
          <t>Magma Armor</t>
        </is>
      </c>
      <c r="K942" s="48" t="inlineStr">
        <is>
          <t>Hardy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Rain Dish</t>
        </is>
      </c>
      <c r="G10" s="48" t="inlineStr">
        <is>
          <t>Hardy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Guts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Magnet Pull</t>
        </is>
      </c>
      <c r="G30" s="48" t="inlineStr">
        <is>
          <t>Hardy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Gluttony</t>
        </is>
      </c>
      <c r="G40" s="48" t="inlineStr">
        <is>
          <t>Hardy</t>
        </is>
      </c>
      <c r="H40" s="48" t="inlineStr">
        <is>
          <t>Rock Head</t>
        </is>
      </c>
      <c r="I40" s="48" t="inlineStr">
        <is>
          <t>Hardy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Natural Cure</t>
        </is>
      </c>
      <c r="G60" s="48" t="inlineStr">
        <is>
          <t>Hardy</t>
        </is>
      </c>
      <c r="H60" s="48" t="inlineStr">
        <is>
          <t>Poison Heal</t>
        </is>
      </c>
      <c r="I60" s="48" t="inlineStr">
        <is>
          <t>Hardy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Magma Armor</t>
        </is>
      </c>
      <c r="G82" s="48" t="inlineStr">
        <is>
          <t>Hardy</t>
        </is>
      </c>
      <c r="H82" s="48" t="inlineStr">
        <is>
          <t>Unburden</t>
        </is>
      </c>
      <c r="I82" s="48" t="inlineStr">
        <is>
          <t>Hardy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Swift Swim</t>
        </is>
      </c>
      <c r="G92" s="48" t="inlineStr">
        <is>
          <t>Hardy</t>
        </is>
      </c>
      <c r="H92" s="48" t="inlineStr">
        <is>
          <t>Magma Armor</t>
        </is>
      </c>
      <c r="I92" s="48" t="inlineStr">
        <is>
          <t>Hardy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Unburden</t>
        </is>
      </c>
      <c r="G102" s="48" t="inlineStr">
        <is>
          <t>Hardy</t>
        </is>
      </c>
      <c r="H102" s="48" t="inlineStr">
        <is>
          <t>Swift Swim</t>
        </is>
      </c>
      <c r="I102" s="48" t="inlineStr">
        <is>
          <t>Hardy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Chlorophyll</t>
        </is>
      </c>
      <c r="G122" s="48" t="inlineStr">
        <is>
          <t>Hardy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Swift Swim</t>
        </is>
      </c>
      <c r="G132" s="48" t="inlineStr">
        <is>
          <t>Hardy</t>
        </is>
      </c>
      <c r="H132" s="48" t="inlineStr">
        <is>
          <t>Rain Dish</t>
        </is>
      </c>
      <c r="I132" s="48" t="inlineStr">
        <is>
          <t>Hardy</t>
        </is>
      </c>
      <c r="J132" s="48" t="inlineStr">
        <is>
          <t>Swift Swim</t>
        </is>
      </c>
      <c r="K132" s="48" t="inlineStr">
        <is>
          <t>Hardy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Magma Armor</t>
        </is>
      </c>
      <c r="G142" s="48" t="inlineStr">
        <is>
          <t>Hardy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Shield Dust</t>
        </is>
      </c>
      <c r="G152" s="48" t="inlineStr">
        <is>
          <t>Hardy</t>
        </is>
      </c>
      <c r="H152" s="48" t="inlineStr">
        <is>
          <t>Shed Skin</t>
        </is>
      </c>
      <c r="I152" s="48" t="inlineStr">
        <is>
          <t>Hardy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Compound Eyes</t>
        </is>
      </c>
      <c r="G162" s="48" t="inlineStr">
        <is>
          <t>Hardy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Levitate</t>
        </is>
      </c>
      <c r="G192" s="48" t="inlineStr">
        <is>
          <t>Hardy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Gluttony</t>
        </is>
      </c>
      <c r="G202" s="48" t="inlineStr">
        <is>
          <t>Hardy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Magma Armor</t>
        </is>
      </c>
      <c r="G232" s="48" t="inlineStr">
        <is>
          <t>Hardy</t>
        </is>
      </c>
      <c r="H232" s="48" t="inlineStr">
        <is>
          <t>Swift Swim</t>
        </is>
      </c>
      <c r="I232" s="48" t="inlineStr">
        <is>
          <t>Hardy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Swift Swim</t>
        </is>
      </c>
      <c r="G242" s="48" t="inlineStr">
        <is>
          <t>Hardy</t>
        </is>
      </c>
      <c r="H242" s="48" t="inlineStr">
        <is>
          <t>Magma Armor</t>
        </is>
      </c>
      <c r="I242" s="48" t="inlineStr">
        <is>
          <t>Hardy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Unburden</t>
        </is>
      </c>
      <c r="G252" s="48" t="inlineStr">
        <is>
          <t>Hardy</t>
        </is>
      </c>
      <c r="H252" s="48" t="inlineStr">
        <is>
          <t>Swift Swim</t>
        </is>
      </c>
      <c r="I252" s="48" t="inlineStr">
        <is>
          <t>Hardy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Speed Boost</t>
        </is>
      </c>
      <c r="G282" s="48" t="inlineStr">
        <is>
          <t>Hardy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Hardy</t>
        </is>
      </c>
      <c r="F292" s="48" t="inlineStr">
        <is>
          <t>Shield Dust</t>
        </is>
      </c>
      <c r="G292" s="48" t="inlineStr">
        <is>
          <t>Hardy</t>
        </is>
      </c>
      <c r="H292" s="48" t="inlineStr">
        <is>
          <t>Shed Skin</t>
        </is>
      </c>
      <c r="I292" s="48" t="inlineStr">
        <is>
          <t>Hardy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Hardy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Inner Focus</t>
        </is>
      </c>
      <c r="G314" s="48" t="inlineStr">
        <is>
          <t>Hardy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Quick Feet</t>
        </is>
      </c>
      <c r="G336" s="48" t="inlineStr">
        <is>
          <t>Hardy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Quick Feet</t>
        </is>
      </c>
      <c r="G346" s="48" t="inlineStr">
        <is>
          <t>Hardy</t>
        </is>
      </c>
      <c r="H346" s="48" t="inlineStr">
        <is>
          <t>Inner Focus</t>
        </is>
      </c>
      <c r="I346" s="48" t="inlineStr">
        <is>
          <t>Hardy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Inner Focus</t>
        </is>
      </c>
      <c r="G356" s="48" t="inlineStr">
        <is>
          <t>Hardy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Rough Skin</t>
        </is>
      </c>
      <c r="G366" s="48" t="inlineStr">
        <is>
          <t>Hardy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Natural Cure</t>
        </is>
      </c>
      <c r="G378" s="48" t="inlineStr">
        <is>
          <t>Hardy</t>
        </is>
      </c>
      <c r="H378" s="48" t="inlineStr">
        <is>
          <t>Natural Cure</t>
        </is>
      </c>
      <c r="I378" s="48" t="inlineStr">
        <is>
          <t>Hardy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Hardy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Hardy</t>
        </is>
      </c>
      <c r="F398" s="48" t="inlineStr">
        <is>
          <t>Tangled Feet</t>
        </is>
      </c>
      <c r="G398" s="48" t="inlineStr">
        <is>
          <t>Hardy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Hardy</t>
        </is>
      </c>
      <c r="F408" s="48" t="inlineStr">
        <is>
          <t>Guts</t>
        </is>
      </c>
      <c r="G408" s="48" t="inlineStr">
        <is>
          <t>Hardy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Tangled Feet</t>
        </is>
      </c>
      <c r="G428" s="48" t="inlineStr">
        <is>
          <t>Hardy</t>
        </is>
      </c>
      <c r="H428" s="48" t="inlineStr">
        <is>
          <t>Filter</t>
        </is>
      </c>
      <c r="I428" s="48" t="inlineStr">
        <is>
          <t>Hardy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Natural Cure</t>
        </is>
      </c>
      <c r="G438" s="48" t="inlineStr">
        <is>
          <t>Hardy</t>
        </is>
      </c>
      <c r="H438" s="48" t="inlineStr">
        <is>
          <t>Chlorophyll</t>
        </is>
      </c>
      <c r="I438" s="48" t="inlineStr">
        <is>
          <t>Hardy</t>
        </is>
      </c>
      <c r="J438" s="48" t="inlineStr">
        <is>
          <t>Unburden</t>
        </is>
      </c>
      <c r="K438" s="48" t="inlineStr">
        <is>
          <t>Hardy</t>
        </is>
      </c>
      <c r="L438" s="48" t="inlineStr">
        <is>
          <t>Filter</t>
        </is>
      </c>
      <c r="M438" s="48" t="inlineStr">
        <is>
          <t>Hardy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Pure Power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Levitate</t>
        </is>
      </c>
      <c r="G30" s="48" t="inlineStr">
        <is>
          <t>Hardy</t>
        </is>
      </c>
      <c r="H30" s="48" t="inlineStr">
        <is>
          <t>Rough Skin</t>
        </is>
      </c>
      <c r="I30" s="48" t="inlineStr">
        <is>
          <t>Hardy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Natural Cure</t>
        </is>
      </c>
      <c r="G40" s="48" t="inlineStr">
        <is>
          <t>Hardy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Swift Swim</t>
        </is>
      </c>
      <c r="I60" s="48" t="inlineStr">
        <is>
          <t>Hardy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G70" s="48" t="inlineStr">
        <is>
          <t>Hardy</t>
        </is>
      </c>
      <c r="H70" s="48" t="inlineStr">
        <is>
          <t>Swift Swim</t>
        </is>
      </c>
      <c r="I70" s="48" t="inlineStr">
        <is>
          <t>Hardy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Levitate</t>
        </is>
      </c>
      <c r="G90" s="48" t="inlineStr">
        <is>
          <t>Hardy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Chlorophyll</t>
        </is>
      </c>
      <c r="G110" s="48" t="inlineStr">
        <is>
          <t>Hardy</t>
        </is>
      </c>
      <c r="H110" s="48" t="inlineStr">
        <is>
          <t>Chlorophyll</t>
        </is>
      </c>
      <c r="I110" s="48" t="inlineStr">
        <is>
          <t>Hardy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Compound Eyes</t>
        </is>
      </c>
      <c r="G120" s="48" t="inlineStr">
        <is>
          <t>Hardy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Tinted Lens</t>
        </is>
      </c>
      <c r="G142" s="48" t="inlineStr">
        <is>
          <t>Hardy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Scrappy</t>
        </is>
      </c>
      <c r="G152" s="48" t="inlineStr">
        <is>
          <t>Hardy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Adaptability</t>
        </is>
      </c>
      <c r="G162" s="48" t="inlineStr">
        <is>
          <t>Hardy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Tangled Feet</t>
        </is>
      </c>
      <c r="G172" s="48" t="inlineStr">
        <is>
          <t>Hardy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Lightning Rod</t>
        </is>
      </c>
      <c r="G182" s="48" t="inlineStr">
        <is>
          <t>Hardy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Guts</t>
        </is>
      </c>
      <c r="G192" s="48" t="inlineStr">
        <is>
          <t>Hardy</t>
        </is>
      </c>
      <c r="H192" s="48" t="inlineStr">
        <is>
          <t>Gluttony</t>
        </is>
      </c>
      <c r="I192" s="48" t="inlineStr">
        <is>
          <t>Hardy</t>
        </is>
      </c>
      <c r="J192" s="48" t="inlineStr">
        <is>
          <t>Chlorophyll</t>
        </is>
      </c>
      <c r="K192" s="48" t="inlineStr">
        <is>
          <t>Hardy</t>
        </is>
      </c>
      <c r="L192" s="48" t="inlineStr">
        <is>
          <t>Gluttony</t>
        </is>
      </c>
      <c r="M192" s="48" t="inlineStr">
        <is>
          <t>Hardy</t>
        </is>
      </c>
      <c r="N192" s="48" t="inlineStr">
        <is>
          <t>Lightning Rod</t>
        </is>
      </c>
      <c r="O192" s="48" t="inlineStr">
        <is>
          <t>Hardy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Quick Feet</t>
        </is>
      </c>
      <c r="G202" s="48" t="inlineStr">
        <is>
          <t>Hardy</t>
        </is>
      </c>
      <c r="H202" s="48" t="inlineStr">
        <is>
          <t>Poison Heal</t>
        </is>
      </c>
      <c r="I202" s="48" t="inlineStr">
        <is>
          <t>Hardy</t>
        </is>
      </c>
      <c r="J202" s="48" t="inlineStr">
        <is>
          <t>Lightning Rod</t>
        </is>
      </c>
      <c r="K202" s="48" t="inlineStr">
        <is>
          <t>Hardy</t>
        </is>
      </c>
      <c r="L202" s="48" t="inlineStr">
        <is>
          <t>Huge Power</t>
        </is>
      </c>
      <c r="M202" s="48" t="inlineStr">
        <is>
          <t>Hardy</t>
        </is>
      </c>
      <c r="N202" s="48" t="inlineStr">
        <is>
          <t>Rough Skin</t>
        </is>
      </c>
      <c r="O202" s="48" t="inlineStr">
        <is>
          <t>Hardy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Levitate</t>
        </is>
      </c>
      <c r="G212" s="48" t="inlineStr">
        <is>
          <t>Hardy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Chlorophyll</t>
        </is>
      </c>
      <c r="G244" s="48" t="inlineStr">
        <is>
          <t>Hardy</t>
        </is>
      </c>
      <c r="H244" s="48" t="inlineStr">
        <is>
          <t>Magma Armor</t>
        </is>
      </c>
      <c r="I244" s="48" t="inlineStr">
        <is>
          <t>Hardy</t>
        </is>
      </c>
      <c r="J244" s="48" t="inlineStr">
        <is>
          <t>Unburden</t>
        </is>
      </c>
      <c r="K244" s="48" t="inlineStr">
        <is>
          <t>Hardy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Chlorophyll</t>
        </is>
      </c>
      <c r="G254" s="48" t="inlineStr">
        <is>
          <t>Hardy</t>
        </is>
      </c>
      <c r="H254" s="48" t="inlineStr">
        <is>
          <t>Swift Swim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Chlorophyll</t>
        </is>
      </c>
      <c r="G264" s="48" t="inlineStr">
        <is>
          <t>Hardy</t>
        </is>
      </c>
      <c r="H264" s="48" t="inlineStr">
        <is>
          <t>Unburden</t>
        </is>
      </c>
      <c r="I264" s="48" t="inlineStr">
        <is>
          <t>Hardy</t>
        </is>
      </c>
      <c r="J264" s="48" t="inlineStr">
        <is>
          <t>Swift Swim</t>
        </is>
      </c>
      <c r="K264" s="48" t="inlineStr">
        <is>
          <t>Hardy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Chlorophyll</t>
        </is>
      </c>
      <c r="G274" s="48" t="inlineStr">
        <is>
          <t>Hardy</t>
        </is>
      </c>
      <c r="H274" s="48" t="inlineStr">
        <is>
          <t>Magma Armor</t>
        </is>
      </c>
      <c r="I274" s="48" t="inlineStr">
        <is>
          <t>Hardy</t>
        </is>
      </c>
      <c r="J274" s="48" t="inlineStr">
        <is>
          <t>Unburden</t>
        </is>
      </c>
      <c r="K274" s="48" t="inlineStr">
        <is>
          <t>Hardy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Chlorophyll</t>
        </is>
      </c>
      <c r="G284" s="48" t="inlineStr">
        <is>
          <t>Hardy</t>
        </is>
      </c>
      <c r="H284" s="48" t="inlineStr">
        <is>
          <t>Swift Swim</t>
        </is>
      </c>
      <c r="I284" s="48" t="inlineStr">
        <is>
          <t>Hardy</t>
        </is>
      </c>
      <c r="J284" s="48" t="inlineStr">
        <is>
          <t>Magma Armor</t>
        </is>
      </c>
      <c r="K284" s="48" t="inlineStr">
        <is>
          <t>Hardy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Chlorophyll</t>
        </is>
      </c>
      <c r="G294" s="48" t="inlineStr">
        <is>
          <t>Hardy</t>
        </is>
      </c>
      <c r="H294" s="48" t="inlineStr">
        <is>
          <t>Unburden</t>
        </is>
      </c>
      <c r="I294" s="48" t="inlineStr">
        <is>
          <t>Hardy</t>
        </is>
      </c>
      <c r="J294" s="48" t="inlineStr">
        <is>
          <t>Swift Swim</t>
        </is>
      </c>
      <c r="K294" s="48" t="inlineStr">
        <is>
          <t>Hardy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Quick Feet</t>
        </is>
      </c>
      <c r="G326" s="48" t="inlineStr">
        <is>
          <t>Hardy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Pressure</t>
        </is>
      </c>
      <c r="G336" s="48" t="inlineStr">
        <is>
          <t>Hardy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Cute Charm</t>
        </is>
      </c>
      <c r="G348" s="48" t="inlineStr">
        <is>
          <t>Hardy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Hardy</t>
        </is>
      </c>
      <c r="F390" s="48" t="inlineStr">
        <is>
          <t>Cute Charm</t>
        </is>
      </c>
      <c r="G390" s="48" t="inlineStr">
        <is>
          <t>Hardy</t>
        </is>
      </c>
      <c r="H390" s="48" t="inlineStr">
        <is>
          <t>Quick Feet</t>
        </is>
      </c>
      <c r="I390" s="48" t="inlineStr">
        <is>
          <t>Hardy</t>
        </is>
      </c>
      <c r="J390" s="48" t="inlineStr">
        <is>
          <t>Gluttony</t>
        </is>
      </c>
      <c r="K390" s="48" t="inlineStr">
        <is>
          <t>Hardy</t>
        </is>
      </c>
      <c r="L390" s="48" t="inlineStr">
        <is>
          <t>Swift Swim</t>
        </is>
      </c>
      <c r="M390" s="48" t="inlineStr">
        <is>
          <t>Hardy</t>
        </is>
      </c>
      <c r="N390" s="48" t="inlineStr">
        <is>
          <t>Chlorophyll</t>
        </is>
      </c>
      <c r="O390" s="48" t="inlineStr">
        <is>
          <t>Hardy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Hardy</t>
        </is>
      </c>
      <c r="F400" s="48" t="inlineStr">
        <is>
          <t>Shadow Tag</t>
        </is>
      </c>
      <c r="G400" s="48" t="inlineStr">
        <is>
          <t>Hardy</t>
        </is>
      </c>
      <c r="H400" s="48" t="inlineStr">
        <is>
          <t>Magic Guard</t>
        </is>
      </c>
      <c r="I400" s="48" t="inlineStr">
        <is>
          <t>Hardy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Hardy</t>
        </is>
      </c>
      <c r="F410" s="48" t="inlineStr">
        <is>
          <t>Trace</t>
        </is>
      </c>
      <c r="G410" s="48" t="inlineStr">
        <is>
          <t>Hardy</t>
        </is>
      </c>
      <c r="H410" s="48" t="inlineStr">
        <is>
          <t>Trace</t>
        </is>
      </c>
      <c r="I410" s="48" t="inlineStr">
        <is>
          <t>Hardy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Hardy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Unburden</t>
        </is>
      </c>
      <c r="G468" s="48" t="inlineStr">
        <is>
          <t>Hardy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Guts</t>
        </is>
      </c>
      <c r="G478" s="48" t="inlineStr">
        <is>
          <t>Hardy</t>
        </is>
      </c>
      <c r="H478" s="48" t="inlineStr">
        <is>
          <t>Arena Trap</t>
        </is>
      </c>
      <c r="I478" s="48" t="inlineStr">
        <is>
          <t>Hardy</t>
        </is>
      </c>
      <c r="J478" s="48" t="inlineStr">
        <is>
          <t>Pressure</t>
        </is>
      </c>
      <c r="K478" s="48" t="inlineStr">
        <is>
          <t>Hardy</t>
        </is>
      </c>
      <c r="L478" s="48" t="inlineStr">
        <is>
          <t>Magnet Pull</t>
        </is>
      </c>
      <c r="M478" s="48" t="inlineStr">
        <is>
          <t>Hardy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Hyper Cutter</t>
        </is>
      </c>
      <c r="G508" s="48" t="inlineStr">
        <is>
          <t>Hardy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Lightning Rod</t>
        </is>
      </c>
      <c r="G518" s="48" t="inlineStr">
        <is>
          <t>Hardy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Guts</t>
        </is>
      </c>
      <c r="G528" s="48" t="inlineStr">
        <is>
          <t>Hardy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Magic Guard</t>
        </is>
      </c>
      <c r="G538" s="48" t="inlineStr">
        <is>
          <t>Hardy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Levitate</t>
        </is>
      </c>
      <c r="G578" s="48" t="inlineStr">
        <is>
          <t>Hardy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Tinted Lens</t>
        </is>
      </c>
      <c r="G588" s="48" t="inlineStr">
        <is>
          <t>Hardy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Natural Cure</t>
        </is>
      </c>
      <c r="G598" s="48" t="inlineStr">
        <is>
          <t>Hardy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Intimidate</t>
        </is>
      </c>
      <c r="G608" s="48" t="inlineStr">
        <is>
          <t>Hardy</t>
        </is>
      </c>
      <c r="H608" s="48" t="inlineStr">
        <is>
          <t>Natural Cure</t>
        </is>
      </c>
      <c r="I608" s="48" t="inlineStr">
        <is>
          <t>Hardy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Hardy</t>
        </is>
      </c>
      <c r="F632" s="48" t="inlineStr">
        <is>
          <t>Inner Focus</t>
        </is>
      </c>
      <c r="G632" s="48" t="inlineStr">
        <is>
          <t>Hardy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Hardy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Hardy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Quick Feet</t>
        </is>
      </c>
      <c r="G662" s="48" t="inlineStr">
        <is>
          <t>Hardy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Hardy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Intimidate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Hardy</t>
        </is>
      </c>
      <c r="F716" s="48" t="inlineStr">
        <is>
          <t>Rain Dish</t>
        </is>
      </c>
      <c r="G716" s="48" t="inlineStr">
        <is>
          <t>Hardy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Hardy</t>
        </is>
      </c>
      <c r="F766" s="48" t="inlineStr">
        <is>
          <t>Volt Absorb</t>
        </is>
      </c>
      <c r="G766" s="48" t="inlineStr">
        <is>
          <t>Hardy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Hardy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Rain Dish</t>
        </is>
      </c>
      <c r="G786" s="48" t="inlineStr">
        <is>
          <t>Hardy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Hardy</t>
        </is>
      </c>
      <c r="F808" s="48" t="inlineStr">
        <is>
          <t>Intimidate</t>
        </is>
      </c>
      <c r="G808" s="48" t="inlineStr">
        <is>
          <t>Hardy</t>
        </is>
      </c>
      <c r="H808" s="48" t="inlineStr">
        <is>
          <t>Intimidate</t>
        </is>
      </c>
      <c r="I808" s="48" t="inlineStr">
        <is>
          <t>Hardy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Hardy</t>
        </is>
      </c>
      <c r="F818" s="48" t="inlineStr">
        <is>
          <t>Inner Focus</t>
        </is>
      </c>
      <c r="G818" s="48" t="inlineStr">
        <is>
          <t>Hardy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Hardy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Magma Armor</t>
        </is>
      </c>
      <c r="G870" s="48" t="inlineStr">
        <is>
          <t>Hardy</t>
        </is>
      </c>
      <c r="H870" s="48" t="inlineStr">
        <is>
          <t>Intimidate</t>
        </is>
      </c>
      <c r="I870" s="48" t="inlineStr">
        <is>
          <t>Hardy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Intimidate</t>
        </is>
      </c>
      <c r="G880" s="48" t="inlineStr">
        <is>
          <t>Hardy</t>
        </is>
      </c>
      <c r="H880" s="48" t="inlineStr">
        <is>
          <t>Inner Focus</t>
        </is>
      </c>
      <c r="I880" s="48" t="inlineStr">
        <is>
          <t>Hardy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Hardy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Hardy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Hardy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Hardy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Hardy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Hardy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Hardy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Hardy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Hardy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Hardy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Hardy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Hardy</t>
        </is>
      </c>
      <c r="F1012" s="48" t="inlineStr">
        <is>
          <t>Levitate</t>
        </is>
      </c>
      <c r="G1012" s="48" t="inlineStr">
        <is>
          <t>Hardy</t>
        </is>
      </c>
      <c r="H1012" s="48" t="inlineStr">
        <is>
          <t>Magic Guard</t>
        </is>
      </c>
      <c r="I1012" s="48" t="inlineStr">
        <is>
          <t>Hardy</t>
        </is>
      </c>
      <c r="J1012" s="48" t="inlineStr">
        <is>
          <t>Levitate</t>
        </is>
      </c>
      <c r="K1012" s="48" t="inlineStr">
        <is>
          <t>Hardy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G30" s="48" t="inlineStr">
        <is>
          <t>Hardy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Chlorophyll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Rough Skin</t>
        </is>
      </c>
      <c r="G112" s="48" t="inlineStr">
        <is>
          <t>Hardy</t>
        </is>
      </c>
      <c r="H112" s="48" t="inlineStr">
        <is>
          <t>Gluttony</t>
        </is>
      </c>
      <c r="I112" s="48" t="inlineStr">
        <is>
          <t>Hardy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G142" s="48" t="inlineStr">
        <is>
          <t>Hardy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Magic Guard</t>
        </is>
      </c>
      <c r="G152" s="48" t="inlineStr">
        <is>
          <t>Hardy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Swift Swim</t>
        </is>
      </c>
      <c r="G162" s="48" t="inlineStr">
        <is>
          <t>Hardy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Guts</t>
        </is>
      </c>
      <c r="G174" s="48" t="inlineStr">
        <is>
          <t>Hardy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Lightning Rod</t>
        </is>
      </c>
      <c r="G184" s="48" t="inlineStr">
        <is>
          <t>Hardy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Hardy</t>
        </is>
      </c>
      <c r="F194" s="48" t="inlineStr">
        <is>
          <t>Magic Guard</t>
        </is>
      </c>
      <c r="G194" s="48" t="inlineStr">
        <is>
          <t>Hardy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Gluttony</t>
        </is>
      </c>
      <c r="G204" s="48" t="inlineStr">
        <is>
          <t>Hardy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Rough Skin</t>
        </is>
      </c>
      <c r="G214" s="48" t="inlineStr">
        <is>
          <t>Hardy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Pressure</t>
        </is>
      </c>
      <c r="G224" s="48" t="inlineStr">
        <is>
          <t>Hardy</t>
        </is>
      </c>
      <c r="H224" s="48" t="inlineStr">
        <is>
          <t>Rain Dish</t>
        </is>
      </c>
      <c r="I224" s="48" t="inlineStr">
        <is>
          <t>Hardy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Swift Swim</t>
        </is>
      </c>
      <c r="G244" s="48" t="inlineStr">
        <is>
          <t>Hardy</t>
        </is>
      </c>
      <c r="H244" s="48" t="inlineStr">
        <is>
          <t>Swift Swim</t>
        </is>
      </c>
      <c r="I244" s="48" t="inlineStr">
        <is>
          <t>Hardy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Chlorophyll</t>
        </is>
      </c>
      <c r="G256" s="48" t="inlineStr">
        <is>
          <t>Hardy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Chlorophyll</t>
        </is>
      </c>
      <c r="G306" s="48" t="inlineStr">
        <is>
          <t>Hardy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Rain Dish</t>
        </is>
      </c>
      <c r="G316" s="48" t="inlineStr">
        <is>
          <t>Hardy</t>
        </is>
      </c>
      <c r="H316" s="48" t="inlineStr">
        <is>
          <t>Rain Dish</t>
        </is>
      </c>
      <c r="I316" s="48" t="inlineStr">
        <is>
          <t>Hardy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Hardy</t>
        </is>
      </c>
      <c r="F350" s="48" t="inlineStr">
        <is>
          <t>Intimidate</t>
        </is>
      </c>
      <c r="G350" s="48" t="inlineStr">
        <is>
          <t>Hardy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Hardy</t>
        </is>
      </c>
      <c r="F360" s="48" t="inlineStr">
        <is>
          <t>Tinted Lens</t>
        </is>
      </c>
      <c r="G360" s="48" t="inlineStr">
        <is>
          <t>Hardy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Intimidate</t>
        </is>
      </c>
      <c r="G394" s="48" t="inlineStr">
        <is>
          <t>Hardy</t>
        </is>
      </c>
      <c r="H394" s="48" t="inlineStr">
        <is>
          <t>Inner Focus</t>
        </is>
      </c>
      <c r="I394" s="48" t="inlineStr">
        <is>
          <t>Hardy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Hydration</t>
        </is>
      </c>
      <c r="I406" s="48" t="inlineStr">
        <is>
          <t>Hardy</t>
        </is>
      </c>
      <c r="J406" s="48" t="inlineStr">
        <is>
          <t>Ice Body</t>
        </is>
      </c>
      <c r="K406" s="48" t="inlineStr">
        <is>
          <t>Hardy</t>
        </is>
      </c>
      <c r="L406" s="48" t="inlineStr">
        <is>
          <t>Adaptability</t>
        </is>
      </c>
      <c r="M406" s="48" t="inlineStr">
        <is>
          <t>Hardy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Swift Swim</t>
        </is>
      </c>
      <c r="G428" s="48" t="inlineStr">
        <is>
          <t>Hardy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Huge Power</t>
        </is>
      </c>
      <c r="G438" s="48" t="inlineStr">
        <is>
          <t>Hardy</t>
        </is>
      </c>
      <c r="H438" s="48" t="inlineStr">
        <is>
          <t>Huge Power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Hardy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Swift Swim</t>
        </is>
      </c>
      <c r="G478" s="48" t="inlineStr">
        <is>
          <t>Hardy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Swift Swim</t>
        </is>
      </c>
      <c r="G488" s="48" t="inlineStr">
        <is>
          <t>Hardy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Shell Armor</t>
        </is>
      </c>
      <c r="G498" s="48" t="inlineStr">
        <is>
          <t>Hardy</t>
        </is>
      </c>
      <c r="H498" s="48" t="inlineStr">
        <is>
          <t>Adaptability</t>
        </is>
      </c>
      <c r="I498" s="48" t="inlineStr">
        <is>
          <t>Hardy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Rough Skin</t>
        </is>
      </c>
      <c r="G508" s="48" t="inlineStr">
        <is>
          <t>Hardy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Magnet Pull</t>
        </is>
      </c>
      <c r="G10" s="48" t="inlineStr">
        <is>
          <t>Hardy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Sand Veil</t>
        </is>
      </c>
      <c r="G20" s="48" t="inlineStr">
        <is>
          <t>Hardy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Magic Guard</t>
        </is>
      </c>
      <c r="G40" s="48" t="inlineStr">
        <is>
          <t>Hardy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Truant</t>
        </is>
      </c>
      <c r="G50" s="48" t="inlineStr">
        <is>
          <t>Hardy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Serene Grace</t>
        </is>
      </c>
      <c r="G60" s="48" t="inlineStr">
        <is>
          <t>Hardy</t>
        </is>
      </c>
      <c r="H60" s="48" t="inlineStr">
        <is>
          <t>Cute Charm</t>
        </is>
      </c>
      <c r="I60" s="48" t="inlineStr">
        <is>
          <t>Hardy</t>
        </is>
      </c>
      <c r="J60" s="48" t="inlineStr">
        <is>
          <t>Natural Cure</t>
        </is>
      </c>
      <c r="K60" s="48" t="inlineStr">
        <is>
          <t>Hardy</t>
        </is>
      </c>
      <c r="L60" s="48" t="inlineStr">
        <is>
          <t>Magnet Pull</t>
        </is>
      </c>
      <c r="M60" s="48" t="inlineStr">
        <is>
          <t>Hardy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Serene Grace</t>
        </is>
      </c>
      <c r="G70" s="48" t="inlineStr">
        <is>
          <t>Hardy</t>
        </is>
      </c>
      <c r="H70" s="48" t="inlineStr">
        <is>
          <t>Cute Charm</t>
        </is>
      </c>
      <c r="I70" s="48" t="inlineStr">
        <is>
          <t>Hardy</t>
        </is>
      </c>
      <c r="J70" s="48" t="inlineStr">
        <is>
          <t>Natural Cure</t>
        </is>
      </c>
      <c r="K70" s="48" t="inlineStr">
        <is>
          <t>Hardy</t>
        </is>
      </c>
      <c r="L70" s="48" t="inlineStr">
        <is>
          <t>Magnet Pull</t>
        </is>
      </c>
      <c r="M70" s="48" t="inlineStr">
        <is>
          <t>Hardy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Clear Body</t>
        </is>
      </c>
      <c r="G82" s="48" t="inlineStr">
        <is>
          <t>Hardy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White Smoke</t>
        </is>
      </c>
      <c r="G92" s="48" t="inlineStr">
        <is>
          <t>Hardy</t>
        </is>
      </c>
      <c r="H92" s="48" t="inlineStr">
        <is>
          <t>Pure Power</t>
        </is>
      </c>
      <c r="I92" s="48" t="inlineStr">
        <is>
          <t>Hardy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Levitate</t>
        </is>
      </c>
      <c r="G102" s="48" t="inlineStr">
        <is>
          <t>Hardy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Guts</t>
        </is>
      </c>
      <c r="G112" s="48" t="inlineStr">
        <is>
          <t>Hardy</t>
        </is>
      </c>
      <c r="H112" s="48" t="inlineStr">
        <is>
          <t>Intimidate</t>
        </is>
      </c>
      <c r="I112" s="48" t="inlineStr">
        <is>
          <t>Hardy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Filter</t>
        </is>
      </c>
      <c r="G134" s="48" t="inlineStr">
        <is>
          <t>Hardy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Levitate</t>
        </is>
      </c>
      <c r="G144" s="48" t="inlineStr">
        <is>
          <t>Hardy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Pure Power</t>
        </is>
      </c>
      <c r="G154" s="48" t="inlineStr">
        <is>
          <t>Hardy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Hardy</t>
        </is>
      </c>
      <c r="F164" s="48" t="inlineStr">
        <is>
          <t>Rough Skin</t>
        </is>
      </c>
      <c r="G164" s="48" t="inlineStr">
        <is>
          <t>Hardy</t>
        </is>
      </c>
      <c r="H164" s="48" t="inlineStr">
        <is>
          <t>Magic Guard</t>
        </is>
      </c>
      <c r="I164" s="48" t="inlineStr">
        <is>
          <t>Hardy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Adaptability</t>
        </is>
      </c>
      <c r="G174" s="48" t="inlineStr">
        <is>
          <t>Hardy</t>
        </is>
      </c>
      <c r="H174" s="48" t="inlineStr">
        <is>
          <t>Rock Head</t>
        </is>
      </c>
      <c r="I174" s="48" t="inlineStr">
        <is>
          <t>Hardy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Quick Feet</t>
        </is>
      </c>
      <c r="G184" s="48" t="inlineStr">
        <is>
          <t>Hardy</t>
        </is>
      </c>
      <c r="H184" s="48" t="inlineStr">
        <is>
          <t>Magic Guard</t>
        </is>
      </c>
      <c r="I184" s="48" t="inlineStr">
        <is>
          <t>Hardy</t>
        </is>
      </c>
      <c r="J184" s="48" t="inlineStr">
        <is>
          <t>Aftermath</t>
        </is>
      </c>
      <c r="K184" s="48" t="inlineStr">
        <is>
          <t>Hardy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Intimidate</t>
        </is>
      </c>
      <c r="G196" s="48" t="inlineStr">
        <is>
          <t>Hardy</t>
        </is>
      </c>
      <c r="H196" s="48" t="inlineStr">
        <is>
          <t>Chlorophyll</t>
        </is>
      </c>
      <c r="I196" s="48" t="inlineStr">
        <is>
          <t>Hardy</t>
        </is>
      </c>
      <c r="J196" s="48" t="inlineStr">
        <is>
          <t>Sand Veil</t>
        </is>
      </c>
      <c r="K196" s="48" t="inlineStr">
        <is>
          <t>Hardy</t>
        </is>
      </c>
      <c r="L196" s="48" t="inlineStr">
        <is>
          <t>Adaptability</t>
        </is>
      </c>
      <c r="M196" s="48" t="inlineStr">
        <is>
          <t>Hardy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Hardy</t>
        </is>
      </c>
      <c r="F208" s="48" t="inlineStr">
        <is>
          <t>Pressure</t>
        </is>
      </c>
      <c r="G208" s="48" t="inlineStr">
        <is>
          <t>Hardy</t>
        </is>
      </c>
      <c r="H208" s="48" t="inlineStr">
        <is>
          <t>Clear Body</t>
        </is>
      </c>
      <c r="I208" s="48" t="inlineStr">
        <is>
          <t>Hardy</t>
        </is>
      </c>
      <c r="J208" s="48" t="inlineStr">
        <is>
          <t>Clear Body</t>
        </is>
      </c>
      <c r="K208" s="48" t="inlineStr">
        <is>
          <t>Hardy</t>
        </is>
      </c>
      <c r="L208" s="48" t="inlineStr">
        <is>
          <t>Clear Body</t>
        </is>
      </c>
      <c r="M208" s="48" t="inlineStr">
        <is>
          <t>Hardy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Ice Body</t>
        </is>
      </c>
      <c r="G220" s="48" t="inlineStr">
        <is>
          <t>Hardy</t>
        </is>
      </c>
      <c r="H220" s="48" t="inlineStr">
        <is>
          <t>Solid Rock</t>
        </is>
      </c>
      <c r="I220" s="48" t="inlineStr">
        <is>
          <t>Hardy</t>
        </is>
      </c>
      <c r="J220" s="48" t="inlineStr">
        <is>
          <t>Ice Body</t>
        </is>
      </c>
      <c r="K220" s="48" t="inlineStr">
        <is>
          <t>Hardy</t>
        </is>
      </c>
      <c r="L220" s="48" t="inlineStr">
        <is>
          <t>Solid Rock</t>
        </is>
      </c>
      <c r="M220" s="48" t="inlineStr">
        <is>
          <t>Hardy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Rock Head</t>
        </is>
      </c>
      <c r="G232" s="48" t="inlineStr">
        <is>
          <t>Hardy</t>
        </is>
      </c>
      <c r="H232" s="48" t="inlineStr">
        <is>
          <t>Serene Grace</t>
        </is>
      </c>
      <c r="I232" s="48" t="inlineStr">
        <is>
          <t>Hardy</t>
        </is>
      </c>
      <c r="J232" s="48" t="inlineStr">
        <is>
          <t>Swift Swim</t>
        </is>
      </c>
      <c r="K232" s="48" t="inlineStr">
        <is>
          <t>Hardy</t>
        </is>
      </c>
      <c r="L232" s="48" t="inlineStr">
        <is>
          <t>Levitate</t>
        </is>
      </c>
      <c r="M232" s="48" t="inlineStr">
        <is>
          <t>Hardy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Pressure</t>
        </is>
      </c>
      <c r="G244" s="48" t="inlineStr">
        <is>
          <t>Hardy</t>
        </is>
      </c>
      <c r="H244" s="48" t="inlineStr">
        <is>
          <t>Rain Dish</t>
        </is>
      </c>
      <c r="I244" s="48" t="inlineStr">
        <is>
          <t>Hardy</t>
        </is>
      </c>
      <c r="J244" s="48" t="inlineStr">
        <is>
          <t>Swift Swim</t>
        </is>
      </c>
      <c r="K244" s="48" t="inlineStr">
        <is>
          <t>Hardy</t>
        </is>
      </c>
      <c r="L244" s="48" t="inlineStr">
        <is>
          <t>Hydration</t>
        </is>
      </c>
      <c r="M244" s="48" t="inlineStr">
        <is>
          <t>Hardy</t>
        </is>
      </c>
      <c r="N244" s="48" t="inlineStr">
        <is>
          <t>Intimidate</t>
        </is>
      </c>
      <c r="O244" s="48" t="inlineStr">
        <is>
          <t>Hardy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Cute Charm</t>
        </is>
      </c>
      <c r="G10" s="48" t="inlineStr">
        <is>
          <t>Hardy</t>
        </is>
      </c>
      <c r="H10" s="48" t="inlineStr">
        <is>
          <t>Cute Charm</t>
        </is>
      </c>
      <c r="I10" s="48" t="inlineStr">
        <is>
          <t>Hardy</t>
        </is>
      </c>
      <c r="J10" s="48" t="inlineStr">
        <is>
          <t>Cute Charm</t>
        </is>
      </c>
      <c r="K10" s="48" t="inlineStr">
        <is>
          <t>Hardy</t>
        </is>
      </c>
      <c r="L10" s="48" t="inlineStr">
        <is>
          <t>Cute Charm</t>
        </is>
      </c>
      <c r="M10" s="48" t="inlineStr">
        <is>
          <t>Hardy</t>
        </is>
      </c>
      <c r="N10" s="48" t="inlineStr">
        <is>
          <t>Cute Charm</t>
        </is>
      </c>
      <c r="O10" s="48" t="inlineStr">
        <is>
          <t>Hardy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No Guard</t>
        </is>
      </c>
      <c r="G42" s="48" t="inlineStr">
        <is>
          <t>Hardy</t>
        </is>
      </c>
      <c r="H42" s="48" t="inlineStr">
        <is>
          <t>Unburden</t>
        </is>
      </c>
      <c r="I42" s="48" t="inlineStr">
        <is>
          <t>Hardy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Lightning Rod</t>
        </is>
      </c>
      <c r="G54" s="48" t="inlineStr">
        <is>
          <t>Hardy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Rain Dish</t>
        </is>
      </c>
      <c r="G86" s="48" t="inlineStr">
        <is>
          <t>Hardy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Plus</t>
        </is>
      </c>
      <c r="G10" s="48" t="inlineStr">
        <is>
          <t>Hardy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Swift Swim</t>
        </is>
      </c>
      <c r="G21" s="48" t="inlineStr">
        <is>
          <t>Hardy</t>
        </is>
      </c>
      <c r="H21" s="48" t="inlineStr">
        <is>
          <t>Rain Dish</t>
        </is>
      </c>
      <c r="I21" s="48" t="inlineStr">
        <is>
          <t>Hardy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Poison Heal</t>
        </is>
      </c>
      <c r="G32" s="48" t="inlineStr">
        <is>
          <t>Hardy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Hardy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Hardy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Hardy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Gluttony</t>
        </is>
      </c>
      <c r="G100" s="48" t="inlineStr">
        <is>
          <t>Hardy</t>
        </is>
      </c>
      <c r="H100" s="48" t="inlineStr">
        <is>
          <t>No Guard</t>
        </is>
      </c>
      <c r="I100" s="48" t="inlineStr">
        <is>
          <t>Hardy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Huge Power</t>
        </is>
      </c>
      <c r="G120" s="48" t="inlineStr">
        <is>
          <t>Hardy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Levitate</t>
        </is>
      </c>
      <c r="I132" s="48" t="inlineStr">
        <is>
          <t>Hardy</t>
        </is>
      </c>
      <c r="J132" s="48" t="inlineStr">
        <is>
          <t>Rock Head</t>
        </is>
      </c>
      <c r="K132" s="48" t="inlineStr">
        <is>
          <t>Hardy</t>
        </is>
      </c>
      <c r="L132" s="48" t="inlineStr">
        <is>
          <t>Solid Rock</t>
        </is>
      </c>
      <c r="M132" s="48" t="inlineStr">
        <is>
          <t>Hardy</t>
        </is>
      </c>
      <c r="N132" s="48" t="inlineStr">
        <is>
          <t>Swift Swim</t>
        </is>
      </c>
      <c r="O132" s="48" t="inlineStr">
        <is>
          <t>Hardy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Pure Power</t>
        </is>
      </c>
      <c r="G144" s="48" t="inlineStr">
        <is>
          <t>Hardy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Serene Grace</t>
        </is>
      </c>
      <c r="G154" s="48" t="inlineStr">
        <is>
          <t>Hardy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Magic Guard</t>
        </is>
      </c>
      <c r="G166" s="48" t="inlineStr">
        <is>
          <t>Hardy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Pure Power</t>
        </is>
      </c>
      <c r="G176" s="48" t="inlineStr">
        <is>
          <t>Hardy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Hardy</t>
        </is>
      </c>
      <c r="F186" s="48" t="inlineStr">
        <is>
          <t>Hyper Cutter</t>
        </is>
      </c>
      <c r="G186" s="48" t="inlineStr">
        <is>
          <t>Hardy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Pure Power</t>
        </is>
      </c>
      <c r="G196" s="48" t="inlineStr">
        <is>
          <t>Hardy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Hardy</t>
        </is>
      </c>
      <c r="F206" s="48" t="inlineStr">
        <is>
          <t>Speed Boost</t>
        </is>
      </c>
      <c r="G206" s="48" t="inlineStr">
        <is>
          <t>Hardy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Hardy</t>
        </is>
      </c>
      <c r="F216" s="48" t="inlineStr">
        <is>
          <t>No Guard</t>
        </is>
      </c>
      <c r="G216" s="48" t="inlineStr">
        <is>
          <t>Hardy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Tangled Feet</t>
        </is>
      </c>
      <c r="G226" s="48" t="inlineStr">
        <is>
          <t>Hardy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Pure Power</t>
        </is>
      </c>
      <c r="G236" s="48" t="inlineStr">
        <is>
          <t>Hardy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Hardy</t>
        </is>
      </c>
      <c r="F268" s="48" t="inlineStr">
        <is>
          <t>Gluttony</t>
        </is>
      </c>
      <c r="G268" s="48" t="inlineStr">
        <is>
          <t>Hardy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Hardy</t>
        </is>
      </c>
      <c r="F278" s="48" t="inlineStr">
        <is>
          <t>Gluttony</t>
        </is>
      </c>
      <c r="G278" s="48" t="inlineStr">
        <is>
          <t>Hardy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Hardy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Hardy</t>
        </is>
      </c>
      <c r="F298" s="48" t="inlineStr">
        <is>
          <t>Thick Fat</t>
        </is>
      </c>
      <c r="G298" s="48" t="inlineStr">
        <is>
          <t>Hardy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Hardy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Hardy</t>
        </is>
      </c>
      <c r="F320" s="48" t="inlineStr">
        <is>
          <t>Swift Swim</t>
        </is>
      </c>
      <c r="G320" s="48" t="inlineStr">
        <is>
          <t>Hardy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Hardy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Hardy</t>
        </is>
      </c>
      <c r="F340" s="48" t="inlineStr">
        <is>
          <t>Rain Dish</t>
        </is>
      </c>
      <c r="G340" s="48" t="inlineStr">
        <is>
          <t>Hardy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Hardy</t>
        </is>
      </c>
      <c r="F352" s="48" t="inlineStr">
        <is>
          <t>Gluttony</t>
        </is>
      </c>
      <c r="G352" s="48" t="inlineStr">
        <is>
          <t>Hardy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Hardy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Huge Power</t>
        </is>
      </c>
      <c r="G382" s="48" t="inlineStr">
        <is>
          <t>Hardy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Hardy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Hardy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Hardy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Unburden</t>
        </is>
      </c>
      <c r="G434" s="48" t="inlineStr">
        <is>
          <t>Hardy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Adaptability</t>
        </is>
      </c>
      <c r="G454" s="48" t="inlineStr">
        <is>
          <t>Hardy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Natural Cure</t>
        </is>
      </c>
      <c r="G474" s="48" t="inlineStr">
        <is>
          <t>Hardy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Guts</t>
        </is>
      </c>
      <c r="G484" s="48" t="inlineStr">
        <is>
          <t>Hardy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Swift Swim</t>
        </is>
      </c>
      <c r="G494" s="48" t="inlineStr">
        <is>
          <t>Hardy</t>
        </is>
      </c>
      <c r="H494" s="48" t="inlineStr">
        <is>
          <t>Intimidate</t>
        </is>
      </c>
      <c r="I494" s="48" t="inlineStr">
        <is>
          <t>Hardy</t>
        </is>
      </c>
      <c r="J494" s="48" t="inlineStr">
        <is>
          <t>Intimidate</t>
        </is>
      </c>
      <c r="K494" s="48" t="inlineStr">
        <is>
          <t>Hardy</t>
        </is>
      </c>
      <c r="L494" s="48" t="inlineStr">
        <is>
          <t>Intimidate</t>
        </is>
      </c>
      <c r="M494" s="48" t="inlineStr">
        <is>
          <t>Hardy</t>
        </is>
      </c>
      <c r="N494" s="48" t="inlineStr">
        <is>
          <t>Intimidate</t>
        </is>
      </c>
      <c r="O494" s="48" t="inlineStr">
        <is>
          <t>Hardy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Volt Absorb</t>
        </is>
      </c>
      <c r="G516" s="48" t="inlineStr">
        <is>
          <t>Hardy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Hardy</t>
        </is>
      </c>
      <c r="F546" s="48" t="inlineStr">
        <is>
          <t>Swift Swim</t>
        </is>
      </c>
      <c r="G546" s="48" t="inlineStr">
        <is>
          <t>Hardy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Hydration</t>
        </is>
      </c>
      <c r="G556" s="48" t="inlineStr">
        <is>
          <t>Hardy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Rock Head</t>
        </is>
      </c>
      <c r="G566" s="48" t="inlineStr">
        <is>
          <t>Hardy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Magic Guard</t>
        </is>
      </c>
      <c r="G588" s="48" t="inlineStr">
        <is>
          <t>Hardy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No Guard</t>
        </is>
      </c>
      <c r="G598" s="48" t="inlineStr">
        <is>
          <t>Hardy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Huge Power</t>
        </is>
      </c>
      <c r="G628" s="48" t="inlineStr">
        <is>
          <t>Hardy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Swift Swim</t>
        </is>
      </c>
      <c r="G638" s="48" t="inlineStr">
        <is>
          <t>Hardy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Hardy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Hardy</t>
        </is>
      </c>
      <c r="F658" s="48" t="inlineStr">
        <is>
          <t>Pure Power</t>
        </is>
      </c>
      <c r="G658" s="48" t="inlineStr">
        <is>
          <t>Hardy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Hardy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Hardy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Hardy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Hardy</t>
        </is>
      </c>
      <c r="F710" s="48" t="inlineStr">
        <is>
          <t>Plus</t>
        </is>
      </c>
      <c r="G710" s="48" t="inlineStr">
        <is>
          <t>Hardy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Hardy</t>
        </is>
      </c>
      <c r="F720" s="48" t="inlineStr">
        <is>
          <t>Plus</t>
        </is>
      </c>
      <c r="G720" s="48" t="inlineStr">
        <is>
          <t>Hardy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Hardy</t>
        </is>
      </c>
      <c r="F730" s="48" t="inlineStr">
        <is>
          <t>Plus</t>
        </is>
      </c>
      <c r="G730" s="48" t="inlineStr">
        <is>
          <t>Hardy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Hardy</t>
        </is>
      </c>
      <c r="F740" s="48" t="inlineStr">
        <is>
          <t>Plus</t>
        </is>
      </c>
      <c r="G740" s="48" t="inlineStr">
        <is>
          <t>Hardy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Hardy</t>
        </is>
      </c>
      <c r="F750" s="48" t="inlineStr">
        <is>
          <t>Plus</t>
        </is>
      </c>
      <c r="G750" s="48" t="inlineStr">
        <is>
          <t>Hardy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Hardy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Hardy</t>
        </is>
      </c>
      <c r="F770" s="48" t="inlineStr">
        <is>
          <t>Rough Skin</t>
        </is>
      </c>
      <c r="G770" s="48" t="inlineStr">
        <is>
          <t>Hardy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Hardy</t>
        </is>
      </c>
      <c r="F780" s="48" t="inlineStr">
        <is>
          <t>Solid Rock</t>
        </is>
      </c>
      <c r="G780" s="48" t="inlineStr">
        <is>
          <t>Hardy</t>
        </is>
      </c>
      <c r="H780" s="48" t="inlineStr">
        <is>
          <t>Rough Skin</t>
        </is>
      </c>
      <c r="I780" s="48" t="inlineStr">
        <is>
          <t>Hardy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Solid Rock</t>
        </is>
      </c>
      <c r="G790" s="48" t="inlineStr">
        <is>
          <t>Hardy</t>
        </is>
      </c>
      <c r="H790" s="48" t="inlineStr">
        <is>
          <t>Rough Skin</t>
        </is>
      </c>
      <c r="I790" s="48" t="inlineStr">
        <is>
          <t>Hardy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Hardy</t>
        </is>
      </c>
      <c r="F800" s="48" t="inlineStr">
        <is>
          <t>Solid Rock</t>
        </is>
      </c>
      <c r="G800" s="48" t="inlineStr">
        <is>
          <t>Hardy</t>
        </is>
      </c>
      <c r="H800" s="48" t="inlineStr">
        <is>
          <t>Rough Skin</t>
        </is>
      </c>
      <c r="I800" s="48" t="inlineStr">
        <is>
          <t>Hardy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Gluttony</t>
        </is>
      </c>
      <c r="G820" s="48" t="inlineStr">
        <is>
          <t>Hardy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Hardy</t>
        </is>
      </c>
      <c r="F830" s="48" t="inlineStr">
        <is>
          <t>Gluttony</t>
        </is>
      </c>
      <c r="G830" s="48" t="inlineStr">
        <is>
          <t>Hardy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Gluttony</t>
        </is>
      </c>
      <c r="G840" s="48" t="inlineStr">
        <is>
          <t>Hardy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Hardy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Hardy</t>
        </is>
      </c>
      <c r="F900" s="48" t="inlineStr">
        <is>
          <t>Magma Armor</t>
        </is>
      </c>
      <c r="G900" s="48" t="inlineStr">
        <is>
          <t>Hardy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G910" s="48" t="inlineStr">
        <is>
          <t>Hardy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G930" s="48" t="inlineStr">
        <is>
          <t>Hardy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Hardy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Hardy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Hardy</t>
        </is>
      </c>
      <c r="F960" s="48" t="inlineStr">
        <is>
          <t>Gluttony</t>
        </is>
      </c>
      <c r="G960" s="48" t="inlineStr">
        <is>
          <t>Hardy</t>
        </is>
      </c>
      <c r="H960" s="48" t="inlineStr">
        <is>
          <t>Oblivious</t>
        </is>
      </c>
      <c r="I960" s="48" t="inlineStr">
        <is>
          <t>Hardy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Hardy</t>
        </is>
      </c>
      <c r="F970" s="48" t="inlineStr">
        <is>
          <t>Unburden</t>
        </is>
      </c>
      <c r="G970" s="48" t="inlineStr">
        <is>
          <t>Hardy</t>
        </is>
      </c>
      <c r="H970" s="48" t="inlineStr">
        <is>
          <t>Oblivious</t>
        </is>
      </c>
      <c r="I970" s="48" t="inlineStr">
        <is>
          <t>Hardy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Hardy</t>
        </is>
      </c>
      <c r="F980" s="48" t="inlineStr">
        <is>
          <t>Unburden</t>
        </is>
      </c>
      <c r="G980" s="48" t="inlineStr">
        <is>
          <t>Hardy</t>
        </is>
      </c>
      <c r="H980" s="48" t="inlineStr">
        <is>
          <t>Oblivious</t>
        </is>
      </c>
      <c r="I980" s="48" t="inlineStr">
        <is>
          <t>Hardy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Hardy</t>
        </is>
      </c>
      <c r="F990" s="48" t="inlineStr">
        <is>
          <t>Unburden</t>
        </is>
      </c>
      <c r="G990" s="48" t="inlineStr">
        <is>
          <t>Hardy</t>
        </is>
      </c>
      <c r="H990" s="48" t="inlineStr">
        <is>
          <t>Magma Armor</t>
        </is>
      </c>
      <c r="I990" s="48" t="inlineStr">
        <is>
          <t>Hardy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Hardy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Hardy</t>
        </is>
      </c>
      <c r="F1010" s="48" t="inlineStr">
        <is>
          <t>Guts</t>
        </is>
      </c>
      <c r="G1010" s="48" t="inlineStr">
        <is>
          <t>Hardy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Hardy</t>
        </is>
      </c>
      <c r="F1020" s="48" t="inlineStr">
        <is>
          <t>Guts</t>
        </is>
      </c>
      <c r="G1020" s="48" t="inlineStr">
        <is>
          <t>Hardy</t>
        </is>
      </c>
      <c r="H1020" s="48" t="inlineStr">
        <is>
          <t>Gluttony</t>
        </is>
      </c>
      <c r="I1020" s="48" t="inlineStr">
        <is>
          <t>Hardy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Hardy</t>
        </is>
      </c>
      <c r="F1030" s="48" t="inlineStr">
        <is>
          <t>Guts</t>
        </is>
      </c>
      <c r="G1030" s="48" t="inlineStr">
        <is>
          <t>Hardy</t>
        </is>
      </c>
      <c r="H1030" s="48" t="inlineStr">
        <is>
          <t>Gluttony</t>
        </is>
      </c>
      <c r="I1030" s="48" t="inlineStr">
        <is>
          <t>Hardy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Hardy</t>
        </is>
      </c>
      <c r="F1040" s="48" t="inlineStr">
        <is>
          <t>Magic Guard</t>
        </is>
      </c>
      <c r="G1040" s="48" t="inlineStr">
        <is>
          <t>Hardy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Hardy</t>
        </is>
      </c>
      <c r="F1050" s="48" t="inlineStr">
        <is>
          <t>Magic Guard</t>
        </is>
      </c>
      <c r="G1050" s="48" t="inlineStr">
        <is>
          <t>Hardy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Hardy</t>
        </is>
      </c>
      <c r="F1060" s="48" t="inlineStr">
        <is>
          <t>Magic Guard</t>
        </is>
      </c>
      <c r="G1060" s="48" t="inlineStr">
        <is>
          <t>Hardy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Hardy</t>
        </is>
      </c>
      <c r="F1070" s="48" t="inlineStr">
        <is>
          <t>Levitate</t>
        </is>
      </c>
      <c r="G1070" s="48" t="inlineStr">
        <is>
          <t>Hardy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Hardy</t>
        </is>
      </c>
      <c r="F1080" s="48" t="inlineStr">
        <is>
          <t>Chlorophyll</t>
        </is>
      </c>
      <c r="G1080" s="48" t="inlineStr">
        <is>
          <t>Hardy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Hardy</t>
        </is>
      </c>
      <c r="F1090" s="48" t="inlineStr">
        <is>
          <t>Chlorophyll</t>
        </is>
      </c>
      <c r="G1090" s="48" t="inlineStr">
        <is>
          <t>Hardy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Hardy</t>
        </is>
      </c>
      <c r="F1100" s="48" t="inlineStr">
        <is>
          <t>Chlorophyll</t>
        </is>
      </c>
      <c r="G1100" s="48" t="inlineStr">
        <is>
          <t>Hardy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Hardy</t>
        </is>
      </c>
      <c r="F1110" s="48" t="inlineStr">
        <is>
          <t>Chlorophyll</t>
        </is>
      </c>
      <c r="G1110" s="48" t="inlineStr">
        <is>
          <t>Hardy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Hardy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Hardy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Hardy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Hardy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Hardy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Hardy</t>
        </is>
      </c>
      <c r="F1170" s="48" t="inlineStr">
        <is>
          <t>Gluttony</t>
        </is>
      </c>
      <c r="G1170" s="48" t="inlineStr">
        <is>
          <t>Hardy</t>
        </is>
      </c>
      <c r="H1170" s="48" t="inlineStr">
        <is>
          <t>No Guard</t>
        </is>
      </c>
      <c r="I1170" s="48" t="inlineStr">
        <is>
          <t>Hardy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Hardy</t>
        </is>
      </c>
      <c r="F1180" s="48" t="inlineStr">
        <is>
          <t>Unburden</t>
        </is>
      </c>
      <c r="G1180" s="48" t="inlineStr">
        <is>
          <t>Hardy</t>
        </is>
      </c>
      <c r="H1180" s="48" t="inlineStr">
        <is>
          <t>No Guard</t>
        </is>
      </c>
      <c r="I1180" s="48" t="inlineStr">
        <is>
          <t>Hardy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Hardy</t>
        </is>
      </c>
      <c r="F1190" s="48" t="inlineStr">
        <is>
          <t>Unburden</t>
        </is>
      </c>
      <c r="G1190" s="48" t="inlineStr">
        <is>
          <t>Hardy</t>
        </is>
      </c>
      <c r="H1190" s="48" t="inlineStr">
        <is>
          <t>No Guard</t>
        </is>
      </c>
      <c r="I1190" s="48" t="inlineStr">
        <is>
          <t>Hardy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Hardy</t>
        </is>
      </c>
      <c r="F1200" s="48" t="inlineStr">
        <is>
          <t>Unburden</t>
        </is>
      </c>
      <c r="G1200" s="48" t="inlineStr">
        <is>
          <t>Hardy</t>
        </is>
      </c>
      <c r="H1200" s="48" t="inlineStr">
        <is>
          <t>Huge Power</t>
        </is>
      </c>
      <c r="I1200" s="48" t="inlineStr">
        <is>
          <t>Hardy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Hardy</t>
        </is>
      </c>
      <c r="F1210" s="48" t="inlineStr">
        <is>
          <t>Scrappy</t>
        </is>
      </c>
      <c r="G1210" s="48" t="inlineStr">
        <is>
          <t>Hardy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Hardy</t>
        </is>
      </c>
      <c r="F1220" s="48" t="inlineStr">
        <is>
          <t>Tangled Feet</t>
        </is>
      </c>
      <c r="G1220" s="48" t="inlineStr">
        <is>
          <t>Hardy</t>
        </is>
      </c>
      <c r="H1220" s="48" t="inlineStr">
        <is>
          <t>Scrappy</t>
        </is>
      </c>
      <c r="I1220" s="48" t="inlineStr">
        <is>
          <t>Hardy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Hardy</t>
        </is>
      </c>
      <c r="F1230" s="48" t="inlineStr">
        <is>
          <t>Tangled Feet</t>
        </is>
      </c>
      <c r="G1230" s="48" t="inlineStr">
        <is>
          <t>Hardy</t>
        </is>
      </c>
      <c r="H1230" s="48" t="inlineStr">
        <is>
          <t>Scrappy</t>
        </is>
      </c>
      <c r="I1230" s="48" t="inlineStr">
        <is>
          <t>Hardy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Hardy</t>
        </is>
      </c>
      <c r="F1240" s="48" t="inlineStr">
        <is>
          <t>Tangled Feet</t>
        </is>
      </c>
      <c r="G1240" s="48" t="inlineStr">
        <is>
          <t>Hardy</t>
        </is>
      </c>
      <c r="H1240" s="48" t="inlineStr">
        <is>
          <t>Scrappy</t>
        </is>
      </c>
      <c r="I1240" s="48" t="inlineStr">
        <is>
          <t>Hardy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Hardy</t>
        </is>
      </c>
      <c r="F1250" s="48" t="inlineStr">
        <is>
          <t>Pure Power</t>
        </is>
      </c>
      <c r="G1250" s="48" t="inlineStr">
        <is>
          <t>Hardy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Hardy</t>
        </is>
      </c>
      <c r="F1260" s="48" t="inlineStr">
        <is>
          <t>Pure Power</t>
        </is>
      </c>
      <c r="G1260" s="48" t="inlineStr">
        <is>
          <t>Hardy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Hardy</t>
        </is>
      </c>
      <c r="F1270" s="48" t="inlineStr">
        <is>
          <t>Pure Power</t>
        </is>
      </c>
      <c r="G1270" s="48" t="inlineStr">
        <is>
          <t>Hardy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Hardy</t>
        </is>
      </c>
      <c r="F1280" s="48" t="inlineStr">
        <is>
          <t>Pure Power</t>
        </is>
      </c>
      <c r="G1280" s="48" t="inlineStr">
        <is>
          <t>Hardy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Hardy</t>
        </is>
      </c>
      <c r="F1290" s="48" t="inlineStr">
        <is>
          <t>Magnet Pull</t>
        </is>
      </c>
      <c r="G1290" s="48" t="inlineStr">
        <is>
          <t>Hardy</t>
        </is>
      </c>
      <c r="H1290" s="48" t="inlineStr">
        <is>
          <t>Scrappy</t>
        </is>
      </c>
      <c r="I1290" s="48" t="inlineStr">
        <is>
          <t>Hardy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Hardy</t>
        </is>
      </c>
      <c r="F1300" s="48" t="inlineStr">
        <is>
          <t>Magnet Pull</t>
        </is>
      </c>
      <c r="G1300" s="48" t="inlineStr">
        <is>
          <t>Hardy</t>
        </is>
      </c>
      <c r="H1300" s="48" t="inlineStr">
        <is>
          <t>Scrappy</t>
        </is>
      </c>
      <c r="I1300" s="48" t="inlineStr">
        <is>
          <t>Hardy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Hardy</t>
        </is>
      </c>
      <c r="F1310" s="48" t="inlineStr">
        <is>
          <t>Magnet Pull</t>
        </is>
      </c>
      <c r="G1310" s="48" t="inlineStr">
        <is>
          <t>Hardy</t>
        </is>
      </c>
      <c r="H1310" s="48" t="inlineStr">
        <is>
          <t>Scrappy</t>
        </is>
      </c>
      <c r="I1310" s="48" t="inlineStr">
        <is>
          <t>Hardy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Hardy</t>
        </is>
      </c>
      <c r="F1320" s="48" t="inlineStr">
        <is>
          <t>Magnet Pull</t>
        </is>
      </c>
      <c r="G1320" s="48" t="inlineStr">
        <is>
          <t>Hardy</t>
        </is>
      </c>
      <c r="H1320" s="48" t="inlineStr">
        <is>
          <t>Scrappy</t>
        </is>
      </c>
      <c r="I1320" s="48" t="inlineStr">
        <is>
          <t>Hardy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Hardy</t>
        </is>
      </c>
      <c r="F1330" s="48" t="inlineStr">
        <is>
          <t>Poison Heal</t>
        </is>
      </c>
      <c r="G1330" s="48" t="inlineStr">
        <is>
          <t>Hardy</t>
        </is>
      </c>
      <c r="H1330" s="48" t="inlineStr">
        <is>
          <t>Chlorophyll</t>
        </is>
      </c>
      <c r="I1330" s="48" t="inlineStr">
        <is>
          <t>Hardy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Hardy</t>
        </is>
      </c>
      <c r="F1340" s="48" t="inlineStr">
        <is>
          <t>Technician</t>
        </is>
      </c>
      <c r="G1340" s="48" t="inlineStr">
        <is>
          <t>Hardy</t>
        </is>
      </c>
      <c r="H1340" s="48" t="inlineStr">
        <is>
          <t>Chlorophyll</t>
        </is>
      </c>
      <c r="I1340" s="48" t="inlineStr">
        <is>
          <t>Hardy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Hardy</t>
        </is>
      </c>
      <c r="F1350" s="48" t="inlineStr">
        <is>
          <t>Technician</t>
        </is>
      </c>
      <c r="G1350" s="48" t="inlineStr">
        <is>
          <t>Hardy</t>
        </is>
      </c>
      <c r="H1350" s="48" t="inlineStr">
        <is>
          <t>Chlorophyll</t>
        </is>
      </c>
      <c r="I1350" s="48" t="inlineStr">
        <is>
          <t>Hardy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Hardy</t>
        </is>
      </c>
      <c r="F1360" s="48" t="inlineStr">
        <is>
          <t>Technician</t>
        </is>
      </c>
      <c r="G1360" s="48" t="inlineStr">
        <is>
          <t>Hardy</t>
        </is>
      </c>
      <c r="H1360" s="48" t="inlineStr">
        <is>
          <t>Chlorophyll</t>
        </is>
      </c>
      <c r="I1360" s="48" t="inlineStr">
        <is>
          <t>Hardy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Hardy</t>
        </is>
      </c>
      <c r="F1370" s="48" t="inlineStr">
        <is>
          <t>Rain Dish</t>
        </is>
      </c>
      <c r="G1370" s="48" t="inlineStr">
        <is>
          <t>Hardy</t>
        </is>
      </c>
      <c r="H1370" s="48" t="inlineStr">
        <is>
          <t>Gluttony</t>
        </is>
      </c>
      <c r="I1370" s="48" t="inlineStr">
        <is>
          <t>Hardy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Hardy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Hardy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Hardy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Hardy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Hardy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Hardy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Hardy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Hardy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Hardy</t>
        </is>
      </c>
      <c r="F1460" s="48" t="inlineStr">
        <is>
          <t>Swift Swim</t>
        </is>
      </c>
      <c r="G1460" s="48" t="inlineStr">
        <is>
          <t>Hardy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Hardy</t>
        </is>
      </c>
      <c r="F1470" s="48" t="inlineStr">
        <is>
          <t>Swift Swim</t>
        </is>
      </c>
      <c r="G1470" s="48" t="inlineStr">
        <is>
          <t>Hardy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Hardy</t>
        </is>
      </c>
      <c r="F1480" s="48" t="inlineStr">
        <is>
          <t>Swift Swim</t>
        </is>
      </c>
      <c r="G1480" s="48" t="inlineStr">
        <is>
          <t>Hardy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Hardy</t>
        </is>
      </c>
      <c r="F1490" s="48" t="inlineStr">
        <is>
          <t>Swift Swim</t>
        </is>
      </c>
      <c r="G1490" s="48" t="inlineStr">
        <is>
          <t>Hardy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Hardy</t>
        </is>
      </c>
      <c r="F1500" s="48" t="inlineStr">
        <is>
          <t>Rain Dish</t>
        </is>
      </c>
      <c r="G1500" s="48" t="inlineStr">
        <is>
          <t>Hardy</t>
        </is>
      </c>
      <c r="H1500" s="48" t="inlineStr">
        <is>
          <t>Intimidate</t>
        </is>
      </c>
      <c r="I1500" s="48" t="inlineStr">
        <is>
          <t>Hardy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Hardy</t>
        </is>
      </c>
      <c r="F1510" s="48" t="inlineStr">
        <is>
          <t>Intimidate</t>
        </is>
      </c>
      <c r="G1510" s="48" t="inlineStr">
        <is>
          <t>Hardy</t>
        </is>
      </c>
      <c r="H1510" s="48" t="inlineStr">
        <is>
          <t>Rough Skin</t>
        </is>
      </c>
      <c r="I1510" s="48" t="inlineStr">
        <is>
          <t>Hardy</t>
        </is>
      </c>
      <c r="J1510" s="48" t="inlineStr">
        <is>
          <t>Rain Dish</t>
        </is>
      </c>
      <c r="K1510" s="48" t="inlineStr">
        <is>
          <t>Hardy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Hardy</t>
        </is>
      </c>
      <c r="F1520" s="48" t="inlineStr">
        <is>
          <t>Intimidate</t>
        </is>
      </c>
      <c r="G1520" s="48" t="inlineStr">
        <is>
          <t>Hardy</t>
        </is>
      </c>
      <c r="H1520" s="48" t="inlineStr">
        <is>
          <t>Rough Skin</t>
        </is>
      </c>
      <c r="I1520" s="48" t="inlineStr">
        <is>
          <t>Hardy</t>
        </is>
      </c>
      <c r="J1520" s="48" t="inlineStr">
        <is>
          <t>Rain Dish</t>
        </is>
      </c>
      <c r="K1520" s="48" t="inlineStr">
        <is>
          <t>Hardy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Hardy</t>
        </is>
      </c>
      <c r="F1530" s="48" t="inlineStr">
        <is>
          <t>Intimidate</t>
        </is>
      </c>
      <c r="G1530" s="48" t="inlineStr">
        <is>
          <t>Hardy</t>
        </is>
      </c>
      <c r="H1530" s="48" t="inlineStr">
        <is>
          <t>Tinted Lens</t>
        </is>
      </c>
      <c r="I1530" s="48" t="inlineStr">
        <is>
          <t>Hardy</t>
        </is>
      </c>
      <c r="J1530" s="48" t="inlineStr">
        <is>
          <t>Intimidate</t>
        </is>
      </c>
      <c r="K1530" s="48" t="inlineStr">
        <is>
          <t>Hardy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Hardy</t>
        </is>
      </c>
      <c r="F1540" s="48" t="inlineStr">
        <is>
          <t>Gluttony</t>
        </is>
      </c>
      <c r="G1540" s="48" t="inlineStr">
        <is>
          <t>Hardy</t>
        </is>
      </c>
      <c r="H1540" s="48" t="inlineStr">
        <is>
          <t>Rain Dish</t>
        </is>
      </c>
      <c r="I1540" s="48" t="inlineStr">
        <is>
          <t>Hardy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Hardy</t>
        </is>
      </c>
      <c r="F1550" s="48" t="inlineStr">
        <is>
          <t>Unburden</t>
        </is>
      </c>
      <c r="G1550" s="48" t="inlineStr">
        <is>
          <t>Hardy</t>
        </is>
      </c>
      <c r="H1550" s="48" t="inlineStr">
        <is>
          <t>Rain Dish</t>
        </is>
      </c>
      <c r="I1550" s="48" t="inlineStr">
        <is>
          <t>Hardy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Hardy</t>
        </is>
      </c>
      <c r="F1560" s="48" t="inlineStr">
        <is>
          <t>Unburden</t>
        </is>
      </c>
      <c r="G1560" s="48" t="inlineStr">
        <is>
          <t>Hardy</t>
        </is>
      </c>
      <c r="H1560" s="48" t="inlineStr">
        <is>
          <t>Rain Dish</t>
        </is>
      </c>
      <c r="I1560" s="48" t="inlineStr">
        <is>
          <t>Hardy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Hardy</t>
        </is>
      </c>
      <c r="F1570" s="48" t="inlineStr">
        <is>
          <t>Unburden</t>
        </is>
      </c>
      <c r="G1570" s="48" t="inlineStr">
        <is>
          <t>Hardy</t>
        </is>
      </c>
      <c r="H1570" s="48" t="inlineStr">
        <is>
          <t>Huge Power</t>
        </is>
      </c>
      <c r="I1570" s="48" t="inlineStr">
        <is>
          <t>Hardy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Hardy</t>
        </is>
      </c>
      <c r="F1580" s="48" t="inlineStr">
        <is>
          <t>Gluttony</t>
        </is>
      </c>
      <c r="G1580" s="48" t="inlineStr">
        <is>
          <t>Hardy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Hardy</t>
        </is>
      </c>
      <c r="F1590" s="48" t="inlineStr">
        <is>
          <t>Gluttony</t>
        </is>
      </c>
      <c r="G1590" s="48" t="inlineStr">
        <is>
          <t>Hardy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Hardy</t>
        </is>
      </c>
      <c r="F1600" s="48" t="inlineStr">
        <is>
          <t>Rough Skin</t>
        </is>
      </c>
      <c r="G1600" s="48" t="inlineStr">
        <is>
          <t>Hardy</t>
        </is>
      </c>
      <c r="H1600" s="48" t="inlineStr">
        <is>
          <t>Guts</t>
        </is>
      </c>
      <c r="I1600" s="48" t="inlineStr">
        <is>
          <t>Hardy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Hardy</t>
        </is>
      </c>
      <c r="F1610" s="48" t="inlineStr">
        <is>
          <t>Guts</t>
        </is>
      </c>
      <c r="G1610" s="48" t="inlineStr">
        <is>
          <t>Hardy</t>
        </is>
      </c>
      <c r="H1610" s="48" t="inlineStr">
        <is>
          <t>Rough Skin</t>
        </is>
      </c>
      <c r="I1610" s="48" t="inlineStr">
        <is>
          <t>Hardy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Hardy</t>
        </is>
      </c>
      <c r="F1620" s="48" t="inlineStr">
        <is>
          <t>Lightning Rod</t>
        </is>
      </c>
      <c r="G1620" s="48" t="inlineStr">
        <is>
          <t>Hardy</t>
        </is>
      </c>
      <c r="H1620" s="48" t="inlineStr">
        <is>
          <t>Lightning Rod</t>
        </is>
      </c>
      <c r="I1620" s="48" t="inlineStr">
        <is>
          <t>Hardy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Hardy</t>
        </is>
      </c>
      <c r="F1630" s="48" t="inlineStr">
        <is>
          <t>Lightning Rod</t>
        </is>
      </c>
      <c r="G1630" s="48" t="inlineStr">
        <is>
          <t>Hardy</t>
        </is>
      </c>
      <c r="H1630" s="48" t="inlineStr">
        <is>
          <t>Lightning Rod</t>
        </is>
      </c>
      <c r="I1630" s="48" t="inlineStr">
        <is>
          <t>Hardy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Hardy</t>
        </is>
      </c>
      <c r="F1640" s="48" t="inlineStr">
        <is>
          <t>Lightning Rod</t>
        </is>
      </c>
      <c r="G1640" s="48" t="inlineStr">
        <is>
          <t>Hardy</t>
        </is>
      </c>
      <c r="H1640" s="48" t="inlineStr">
        <is>
          <t>Lightning Rod</t>
        </is>
      </c>
      <c r="I1640" s="48" t="inlineStr">
        <is>
          <t>Hardy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Hardy</t>
        </is>
      </c>
      <c r="F1650" s="48" t="inlineStr">
        <is>
          <t>Lightning Rod</t>
        </is>
      </c>
      <c r="G1650" s="48" t="inlineStr">
        <is>
          <t>Hardy</t>
        </is>
      </c>
      <c r="H1650" s="48" t="inlineStr">
        <is>
          <t>Lightning Rod</t>
        </is>
      </c>
      <c r="I1650" s="48" t="inlineStr">
        <is>
          <t>Hardy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Hardy</t>
        </is>
      </c>
      <c r="F1660" s="48" t="inlineStr">
        <is>
          <t>Magnet Pull</t>
        </is>
      </c>
      <c r="G1660" s="48" t="inlineStr">
        <is>
          <t>Hardy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Hardy</t>
        </is>
      </c>
      <c r="F1670" s="48" t="inlineStr">
        <is>
          <t>Magnet Pull</t>
        </is>
      </c>
      <c r="G1670" s="48" t="inlineStr">
        <is>
          <t>Hardy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Hardy</t>
        </is>
      </c>
      <c r="F1680" s="48" t="inlineStr">
        <is>
          <t>Magnet Pull</t>
        </is>
      </c>
      <c r="G1680" s="48" t="inlineStr">
        <is>
          <t>Hardy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Hardy</t>
        </is>
      </c>
      <c r="F1690" s="48" t="inlineStr">
        <is>
          <t>Magnet Pull</t>
        </is>
      </c>
      <c r="G1690" s="48" t="inlineStr">
        <is>
          <t>Hardy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Hardy</t>
        </is>
      </c>
      <c r="F1700" s="48" t="inlineStr">
        <is>
          <t>Magnet Pull</t>
        </is>
      </c>
      <c r="G1700" s="48" t="inlineStr">
        <is>
          <t>Hardy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Hardy</t>
        </is>
      </c>
      <c r="F1710" s="48" t="inlineStr">
        <is>
          <t>Magnet Pull</t>
        </is>
      </c>
      <c r="G1710" s="48" t="inlineStr">
        <is>
          <t>Hardy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Hardy</t>
        </is>
      </c>
      <c r="F1720" s="48" t="inlineStr">
        <is>
          <t>Cute Charm</t>
        </is>
      </c>
      <c r="G1720" s="48" t="inlineStr">
        <is>
          <t>Hardy</t>
        </is>
      </c>
      <c r="H1720" s="48" t="inlineStr">
        <is>
          <t>Intimidate</t>
        </is>
      </c>
      <c r="I1720" s="48" t="inlineStr">
        <is>
          <t>Hardy</t>
        </is>
      </c>
      <c r="J1720" s="48" t="inlineStr">
        <is>
          <t>Gluttony</t>
        </is>
      </c>
      <c r="K1720" s="48" t="inlineStr">
        <is>
          <t>Hardy</t>
        </is>
      </c>
      <c r="L1720" s="48" t="inlineStr">
        <is>
          <t>Swift Swim</t>
        </is>
      </c>
      <c r="M1720" s="48" t="inlineStr">
        <is>
          <t>Hardy</t>
        </is>
      </c>
      <c r="N1720" s="48" t="inlineStr">
        <is>
          <t>Chlorophyll</t>
        </is>
      </c>
      <c r="O1720" s="48" t="inlineStr">
        <is>
          <t>Hardy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Hardy</t>
        </is>
      </c>
      <c r="F1730" s="48" t="inlineStr">
        <is>
          <t>Cute Charm</t>
        </is>
      </c>
      <c r="G1730" s="48" t="inlineStr">
        <is>
          <t>Hardy</t>
        </is>
      </c>
      <c r="H1730" s="48" t="inlineStr">
        <is>
          <t>Intimidate</t>
        </is>
      </c>
      <c r="I1730" s="48" t="inlineStr">
        <is>
          <t>Hardy</t>
        </is>
      </c>
      <c r="J1730" s="48" t="inlineStr">
        <is>
          <t>Gluttony</t>
        </is>
      </c>
      <c r="K1730" s="48" t="inlineStr">
        <is>
          <t>Hardy</t>
        </is>
      </c>
      <c r="L1730" s="48" t="inlineStr">
        <is>
          <t>Swift Swim</t>
        </is>
      </c>
      <c r="M1730" s="48" t="inlineStr">
        <is>
          <t>Hardy</t>
        </is>
      </c>
      <c r="N1730" s="48" t="inlineStr">
        <is>
          <t>Chlorophyll</t>
        </is>
      </c>
      <c r="O1730" s="48" t="inlineStr">
        <is>
          <t>Hardy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Hardy</t>
        </is>
      </c>
      <c r="F1740" s="48" t="inlineStr">
        <is>
          <t>Cute Charm</t>
        </is>
      </c>
      <c r="G1740" s="48" t="inlineStr">
        <is>
          <t>Hardy</t>
        </is>
      </c>
      <c r="H1740" s="48" t="inlineStr">
        <is>
          <t>Intimidate</t>
        </is>
      </c>
      <c r="I1740" s="48" t="inlineStr">
        <is>
          <t>Hardy</t>
        </is>
      </c>
      <c r="J1740" s="48" t="inlineStr">
        <is>
          <t>Gluttony</t>
        </is>
      </c>
      <c r="K1740" s="48" t="inlineStr">
        <is>
          <t>Hardy</t>
        </is>
      </c>
      <c r="L1740" s="48" t="inlineStr">
        <is>
          <t>Swift Swim</t>
        </is>
      </c>
      <c r="M1740" s="48" t="inlineStr">
        <is>
          <t>Hardy</t>
        </is>
      </c>
      <c r="N1740" s="48" t="inlineStr">
        <is>
          <t>Chlorophyll</t>
        </is>
      </c>
      <c r="O1740" s="48" t="inlineStr">
        <is>
          <t>Hardy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Hardy</t>
        </is>
      </c>
      <c r="F1750" s="48" t="inlineStr">
        <is>
          <t>Cute Charm</t>
        </is>
      </c>
      <c r="G1750" s="48" t="inlineStr">
        <is>
          <t>Hardy</t>
        </is>
      </c>
      <c r="H1750" s="48" t="inlineStr">
        <is>
          <t>Intimidate</t>
        </is>
      </c>
      <c r="I1750" s="48" t="inlineStr">
        <is>
          <t>Hardy</t>
        </is>
      </c>
      <c r="J1750" s="48" t="inlineStr">
        <is>
          <t>Gluttony</t>
        </is>
      </c>
      <c r="K1750" s="48" t="inlineStr">
        <is>
          <t>Hardy</t>
        </is>
      </c>
      <c r="L1750" s="48" t="inlineStr">
        <is>
          <t>Swift Swim</t>
        </is>
      </c>
      <c r="M1750" s="48" t="inlineStr">
        <is>
          <t>Hardy</t>
        </is>
      </c>
      <c r="N1750" s="48" t="inlineStr">
        <is>
          <t>Chlorophyll</t>
        </is>
      </c>
      <c r="O1750" s="48" t="inlineStr">
        <is>
          <t>Hardy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Hardy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Hardy</t>
        </is>
      </c>
      <c r="F1770" s="48" t="inlineStr">
        <is>
          <t>Levitate</t>
        </is>
      </c>
      <c r="G1770" s="48" t="inlineStr">
        <is>
          <t>Hardy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Hardy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Hardy</t>
        </is>
      </c>
      <c r="F1790" s="48" t="inlineStr">
        <is>
          <t>Pressure</t>
        </is>
      </c>
      <c r="G1790" s="48" t="inlineStr">
        <is>
          <t>Hardy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Hardy</t>
        </is>
      </c>
      <c r="F1800" s="48" t="inlineStr">
        <is>
          <t>Swift Swim</t>
        </is>
      </c>
      <c r="G1800" s="48" t="inlineStr">
        <is>
          <t>Hardy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Hardy</t>
        </is>
      </c>
      <c r="F1810" s="48" t="inlineStr">
        <is>
          <t>Swift Swim</t>
        </is>
      </c>
      <c r="G1810" s="48" t="inlineStr">
        <is>
          <t>Hardy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Hardy</t>
        </is>
      </c>
      <c r="F1820" s="48" t="inlineStr">
        <is>
          <t>Swift Swim</t>
        </is>
      </c>
      <c r="G1820" s="48" t="inlineStr">
        <is>
          <t>Hardy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Hardy</t>
        </is>
      </c>
      <c r="F1830" s="48" t="inlineStr">
        <is>
          <t>Guts</t>
        </is>
      </c>
      <c r="G1830" s="48" t="inlineStr">
        <is>
          <t>Hardy</t>
        </is>
      </c>
      <c r="H1830" s="48" t="inlineStr">
        <is>
          <t>Swift Swim</t>
        </is>
      </c>
      <c r="I1830" s="48" t="inlineStr">
        <is>
          <t>Hardy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Hardy</t>
        </is>
      </c>
      <c r="F1840" s="48" t="inlineStr">
        <is>
          <t>Scrappy</t>
        </is>
      </c>
      <c r="G1840" s="48" t="inlineStr">
        <is>
          <t>Hardy</t>
        </is>
      </c>
      <c r="H1840" s="48" t="inlineStr">
        <is>
          <t>Gluttony</t>
        </is>
      </c>
      <c r="I1840" s="48" t="inlineStr">
        <is>
          <t>Hardy</t>
        </is>
      </c>
      <c r="J1840" s="48" t="inlineStr">
        <is>
          <t>Rock Head</t>
        </is>
      </c>
      <c r="K1840" s="48" t="inlineStr">
        <is>
          <t>Hardy</t>
        </is>
      </c>
      <c r="L1840" s="48" t="inlineStr">
        <is>
          <t>Intimidate</t>
        </is>
      </c>
      <c r="M1840" s="48" t="inlineStr">
        <is>
          <t>Hardy</t>
        </is>
      </c>
      <c r="N1840" s="48" t="inlineStr">
        <is>
          <t>Guts</t>
        </is>
      </c>
      <c r="O1840" s="48" t="inlineStr">
        <is>
          <t>Hardy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Hardy</t>
        </is>
      </c>
      <c r="F1850" s="48" t="inlineStr">
        <is>
          <t>Scrappy</t>
        </is>
      </c>
      <c r="G1850" s="48" t="inlineStr">
        <is>
          <t>Hardy</t>
        </is>
      </c>
      <c r="H1850" s="48" t="inlineStr">
        <is>
          <t>Gluttony</t>
        </is>
      </c>
      <c r="I1850" s="48" t="inlineStr">
        <is>
          <t>Hardy</t>
        </is>
      </c>
      <c r="J1850" s="48" t="inlineStr">
        <is>
          <t>Rock Head</t>
        </is>
      </c>
      <c r="K1850" s="48" t="inlineStr">
        <is>
          <t>Hardy</t>
        </is>
      </c>
      <c r="L1850" s="48" t="inlineStr">
        <is>
          <t>Intimidate</t>
        </is>
      </c>
      <c r="M1850" s="48" t="inlineStr">
        <is>
          <t>Hardy</t>
        </is>
      </c>
      <c r="N1850" s="48" t="inlineStr">
        <is>
          <t>Guts</t>
        </is>
      </c>
      <c r="O1850" s="48" t="inlineStr">
        <is>
          <t>Hardy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Hardy</t>
        </is>
      </c>
      <c r="F1860" s="48" t="inlineStr">
        <is>
          <t>Scrappy</t>
        </is>
      </c>
      <c r="G1860" s="48" t="inlineStr">
        <is>
          <t>Hardy</t>
        </is>
      </c>
      <c r="H1860" s="48" t="inlineStr">
        <is>
          <t>Gluttony</t>
        </is>
      </c>
      <c r="I1860" s="48" t="inlineStr">
        <is>
          <t>Hardy</t>
        </is>
      </c>
      <c r="J1860" s="48" t="inlineStr">
        <is>
          <t>Rock Head</t>
        </is>
      </c>
      <c r="K1860" s="48" t="inlineStr">
        <is>
          <t>Hardy</t>
        </is>
      </c>
      <c r="L1860" s="48" t="inlineStr">
        <is>
          <t>Intimidate</t>
        </is>
      </c>
      <c r="M1860" s="48" t="inlineStr">
        <is>
          <t>Hardy</t>
        </is>
      </c>
      <c r="N1860" s="48" t="inlineStr">
        <is>
          <t>Guts</t>
        </is>
      </c>
      <c r="O1860" s="48" t="inlineStr">
        <is>
          <t>Hardy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Hardy</t>
        </is>
      </c>
      <c r="F1870" s="48" t="inlineStr">
        <is>
          <t>Scrappy</t>
        </is>
      </c>
      <c r="G1870" s="48" t="inlineStr">
        <is>
          <t>Hardy</t>
        </is>
      </c>
      <c r="H1870" s="48" t="inlineStr">
        <is>
          <t>Gluttony</t>
        </is>
      </c>
      <c r="I1870" s="48" t="inlineStr">
        <is>
          <t>Hardy</t>
        </is>
      </c>
      <c r="J1870" s="48" t="inlineStr">
        <is>
          <t>Rock Head</t>
        </is>
      </c>
      <c r="K1870" s="48" t="inlineStr">
        <is>
          <t>Hardy</t>
        </is>
      </c>
      <c r="L1870" s="48" t="inlineStr">
        <is>
          <t>Intimidate</t>
        </is>
      </c>
      <c r="M1870" s="48" t="inlineStr">
        <is>
          <t>Hardy</t>
        </is>
      </c>
      <c r="N1870" s="48" t="inlineStr">
        <is>
          <t>Guts</t>
        </is>
      </c>
      <c r="O1870" s="48" t="inlineStr">
        <is>
          <t>Hardy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Hardy</t>
        </is>
      </c>
      <c r="F1880" s="48" t="inlineStr">
        <is>
          <t>Plus</t>
        </is>
      </c>
      <c r="G1880" s="48" t="inlineStr">
        <is>
          <t>Hardy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Hardy</t>
        </is>
      </c>
      <c r="F1890" s="48" t="inlineStr">
        <is>
          <t>Plus</t>
        </is>
      </c>
      <c r="G1890" s="48" t="inlineStr">
        <is>
          <t>Hardy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Hardy</t>
        </is>
      </c>
      <c r="F1900" s="48" t="inlineStr">
        <is>
          <t>Plus</t>
        </is>
      </c>
      <c r="G1900" s="48" t="inlineStr">
        <is>
          <t>Hardy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Hardy</t>
        </is>
      </c>
      <c r="F1910" s="48" t="inlineStr">
        <is>
          <t>Plus</t>
        </is>
      </c>
      <c r="G1910" s="48" t="inlineStr">
        <is>
          <t>Hardy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Hardy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Hardy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Hardy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Hardy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Hardy</t>
        </is>
      </c>
      <c r="F1960" s="48" t="inlineStr">
        <is>
          <t>Magic Guard</t>
        </is>
      </c>
      <c r="G1960" s="48" t="inlineStr">
        <is>
          <t>Hardy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Hardy</t>
        </is>
      </c>
      <c r="F1970" s="48" t="inlineStr">
        <is>
          <t>Magic Guard</t>
        </is>
      </c>
      <c r="G1970" s="48" t="inlineStr">
        <is>
          <t>Hardy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Hardy</t>
        </is>
      </c>
      <c r="F1980" s="48" t="inlineStr">
        <is>
          <t>Magic Guard</t>
        </is>
      </c>
      <c r="G1980" s="48" t="inlineStr">
        <is>
          <t>Hardy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Hardy</t>
        </is>
      </c>
      <c r="F1990" s="48" t="inlineStr">
        <is>
          <t>Levitate</t>
        </is>
      </c>
      <c r="G1990" s="48" t="inlineStr">
        <is>
          <t>Hardy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Hardy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Hardy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Hardy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Hardy</t>
        </is>
      </c>
      <c r="F2030" s="48" t="inlineStr">
        <is>
          <t>Adaptability</t>
        </is>
      </c>
      <c r="G2030" s="48" t="inlineStr">
        <is>
          <t>Hardy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Hardy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Hardy</t>
        </is>
      </c>
      <c r="F2050" s="48" t="inlineStr">
        <is>
          <t>Tinted Lens</t>
        </is>
      </c>
      <c r="G2050" s="48" t="inlineStr">
        <is>
          <t>Hardy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Hardy</t>
        </is>
      </c>
      <c r="F2060" s="48" t="inlineStr">
        <is>
          <t>Swift Swim</t>
        </is>
      </c>
      <c r="G2060" s="48" t="inlineStr">
        <is>
          <t>Hardy</t>
        </is>
      </c>
      <c r="H2060" s="48" t="inlineStr">
        <is>
          <t>Tinted Lens</t>
        </is>
      </c>
      <c r="I2060" s="48" t="inlineStr">
        <is>
          <t>Hardy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Hardy</t>
        </is>
      </c>
      <c r="F2070" s="48" t="inlineStr">
        <is>
          <t>Swift Swim</t>
        </is>
      </c>
      <c r="G2070" s="48" t="inlineStr">
        <is>
          <t>Hardy</t>
        </is>
      </c>
      <c r="H2070" s="48" t="inlineStr">
        <is>
          <t>Speed Boost</t>
        </is>
      </c>
      <c r="I2070" s="48" t="inlineStr">
        <is>
          <t>Hardy</t>
        </is>
      </c>
      <c r="J2070" s="48" t="inlineStr">
        <is>
          <t>Tinted Lens</t>
        </is>
      </c>
      <c r="K2070" s="48" t="inlineStr">
        <is>
          <t>Hardy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Hardy</t>
        </is>
      </c>
      <c r="F2080" s="48" t="inlineStr">
        <is>
          <t>Swift Swim</t>
        </is>
      </c>
      <c r="G2080" s="48" t="inlineStr">
        <is>
          <t>Hardy</t>
        </is>
      </c>
      <c r="H2080" s="48" t="inlineStr">
        <is>
          <t>Swift Swim</t>
        </is>
      </c>
      <c r="I2080" s="48" t="inlineStr">
        <is>
          <t>Hardy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Hardy</t>
        </is>
      </c>
      <c r="F2090" s="48" t="inlineStr">
        <is>
          <t>Swift Swim</t>
        </is>
      </c>
      <c r="G2090" s="48" t="inlineStr">
        <is>
          <t>Hardy</t>
        </is>
      </c>
      <c r="H2090" s="48" t="inlineStr">
        <is>
          <t>Swift Swim</t>
        </is>
      </c>
      <c r="I2090" s="48" t="inlineStr">
        <is>
          <t>Hardy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Hardy</t>
        </is>
      </c>
      <c r="F2100" s="48" t="inlineStr">
        <is>
          <t>Swift Swim</t>
        </is>
      </c>
      <c r="G2100" s="48" t="inlineStr">
        <is>
          <t>Hardy</t>
        </is>
      </c>
      <c r="H2100" s="48" t="inlineStr">
        <is>
          <t>Shield Dust</t>
        </is>
      </c>
      <c r="I2100" s="48" t="inlineStr">
        <is>
          <t>Hardy</t>
        </is>
      </c>
      <c r="J2100" s="48" t="inlineStr">
        <is>
          <t>Swift Swim</t>
        </is>
      </c>
      <c r="K2100" s="48" t="inlineStr">
        <is>
          <t>Hardy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Hardy</t>
        </is>
      </c>
      <c r="F2110" s="48" t="inlineStr">
        <is>
          <t>Swift Swim</t>
        </is>
      </c>
      <c r="G2110" s="48" t="inlineStr">
        <is>
          <t>Hardy</t>
        </is>
      </c>
      <c r="H2110" s="48" t="inlineStr">
        <is>
          <t>Tinted Lens</t>
        </is>
      </c>
      <c r="I2110" s="48" t="inlineStr">
        <is>
          <t>Hardy</t>
        </is>
      </c>
      <c r="J2110" s="48" t="inlineStr">
        <is>
          <t>Swift Swim</t>
        </is>
      </c>
      <c r="K2110" s="48" t="inlineStr">
        <is>
          <t>Hardy</t>
        </is>
      </c>
      <c r="L2110" s="48" t="inlineStr">
        <is>
          <t>Intimidate</t>
        </is>
      </c>
      <c r="M2110" s="48" t="inlineStr">
        <is>
          <t>Hardy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Hardy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Hardy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Hardy</t>
        </is>
      </c>
      <c r="F2140" s="48" t="inlineStr">
        <is>
          <t>Magic Guard</t>
        </is>
      </c>
      <c r="G2140" s="48" t="inlineStr">
        <is>
          <t>Hardy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Hardy</t>
        </is>
      </c>
      <c r="F2150" s="48" t="inlineStr">
        <is>
          <t>Swift Swim</t>
        </is>
      </c>
      <c r="G2150" s="48" t="inlineStr">
        <is>
          <t>Hardy</t>
        </is>
      </c>
      <c r="H2150" s="48" t="inlineStr">
        <is>
          <t>Pressure</t>
        </is>
      </c>
      <c r="I2150" s="48" t="inlineStr">
        <is>
          <t>Hardy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Hardy</t>
        </is>
      </c>
      <c r="F2160" s="48" t="inlineStr">
        <is>
          <t>Trace</t>
        </is>
      </c>
      <c r="G2160" s="48" t="inlineStr">
        <is>
          <t>Hardy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Hardy</t>
        </is>
      </c>
      <c r="F2170" s="48" t="inlineStr">
        <is>
          <t>Trace</t>
        </is>
      </c>
      <c r="G2170" s="48" t="inlineStr">
        <is>
          <t>Hardy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Hardy</t>
        </is>
      </c>
      <c r="F2180" s="48" t="inlineStr">
        <is>
          <t>Trace</t>
        </is>
      </c>
      <c r="G2180" s="48" t="inlineStr">
        <is>
          <t>Hardy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Hardy</t>
        </is>
      </c>
      <c r="F2190" s="48" t="inlineStr">
        <is>
          <t>Trace</t>
        </is>
      </c>
      <c r="G2190" s="48" t="inlineStr">
        <is>
          <t>Hardy</t>
        </is>
      </c>
      <c r="H2190" s="48" t="inlineStr">
        <is>
          <t>Clear Body</t>
        </is>
      </c>
      <c r="I2190" s="48" t="inlineStr">
        <is>
          <t>Hardy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Hardy</t>
        </is>
      </c>
      <c r="F2200" s="48" t="inlineStr">
        <is>
          <t>Adaptability</t>
        </is>
      </c>
      <c r="G2200" s="48" t="inlineStr">
        <is>
          <t>Hardy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Hardy</t>
        </is>
      </c>
      <c r="F2210" s="48" t="inlineStr">
        <is>
          <t>Adaptability</t>
        </is>
      </c>
      <c r="G2210" s="48" t="inlineStr">
        <is>
          <t>Hardy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Hardy</t>
        </is>
      </c>
      <c r="F2220" s="48" t="inlineStr">
        <is>
          <t>Adaptability</t>
        </is>
      </c>
      <c r="G2220" s="48" t="inlineStr">
        <is>
          <t>Hardy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Hardy</t>
        </is>
      </c>
      <c r="F2230" s="48" t="inlineStr">
        <is>
          <t>Adaptability</t>
        </is>
      </c>
      <c r="G2230" s="48" t="inlineStr">
        <is>
          <t>Hardy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Hardy</t>
        </is>
      </c>
      <c r="F2240" s="48" t="inlineStr">
        <is>
          <t>Pure Power</t>
        </is>
      </c>
      <c r="G2240" s="48" t="inlineStr">
        <is>
          <t>Hardy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Hardy</t>
        </is>
      </c>
      <c r="F2250" s="48" t="inlineStr">
        <is>
          <t>Pure Power</t>
        </is>
      </c>
      <c r="G2250" s="48" t="inlineStr">
        <is>
          <t>Hardy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Hardy</t>
        </is>
      </c>
      <c r="F2260" s="48" t="inlineStr">
        <is>
          <t>Pure Power</t>
        </is>
      </c>
      <c r="G2260" s="48" t="inlineStr">
        <is>
          <t>Hardy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Hardy</t>
        </is>
      </c>
      <c r="F2270" s="48" t="inlineStr">
        <is>
          <t>Pure Power</t>
        </is>
      </c>
      <c r="G2270" s="48" t="inlineStr">
        <is>
          <t>Hardy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Hardy</t>
        </is>
      </c>
      <c r="F2280" s="48" t="inlineStr">
        <is>
          <t>Poison Heal</t>
        </is>
      </c>
      <c r="G2280" s="48" t="inlineStr">
        <is>
          <t>Hardy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Hardy</t>
        </is>
      </c>
      <c r="F2290" s="48" t="inlineStr">
        <is>
          <t>Poison Heal</t>
        </is>
      </c>
      <c r="G2290" s="48" t="inlineStr">
        <is>
          <t>Hardy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Hardy</t>
        </is>
      </c>
      <c r="F2300" s="48" t="inlineStr">
        <is>
          <t>Technician</t>
        </is>
      </c>
      <c r="G2300" s="48" t="inlineStr">
        <is>
          <t>Hardy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Hardy</t>
        </is>
      </c>
      <c r="F2310" s="48" t="inlineStr">
        <is>
          <t>Technician</t>
        </is>
      </c>
      <c r="G2310" s="48" t="inlineStr">
        <is>
          <t>Hardy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Hardy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Hardy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Hardy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Hardy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Hardy</t>
        </is>
      </c>
      <c r="F2360" s="48" t="inlineStr">
        <is>
          <t>Volt Absorb</t>
        </is>
      </c>
      <c r="G2360" s="48" t="inlineStr">
        <is>
          <t>Hardy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Hardy</t>
        </is>
      </c>
      <c r="F2370" s="48" t="inlineStr">
        <is>
          <t>Tinted Lens</t>
        </is>
      </c>
      <c r="G2370" s="48" t="inlineStr">
        <is>
          <t>Hardy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Hardy</t>
        </is>
      </c>
      <c r="F2380" s="48" t="inlineStr">
        <is>
          <t>Tinted Lens</t>
        </is>
      </c>
      <c r="G2380" s="48" t="inlineStr">
        <is>
          <t>Hardy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Hardy</t>
        </is>
      </c>
      <c r="F2390" s="48" t="inlineStr">
        <is>
          <t>Tinted Lens</t>
        </is>
      </c>
      <c r="G2390" s="48" t="inlineStr">
        <is>
          <t>Hardy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Hardy</t>
        </is>
      </c>
      <c r="F2400" s="48" t="inlineStr">
        <is>
          <t>Tinted Lens</t>
        </is>
      </c>
      <c r="G2400" s="48" t="inlineStr">
        <is>
          <t>Hardy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Hardy</t>
        </is>
      </c>
      <c r="F2410" s="48" t="inlineStr">
        <is>
          <t>Huge Power</t>
        </is>
      </c>
      <c r="G2410" s="48" t="inlineStr">
        <is>
          <t>Hardy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Hardy</t>
        </is>
      </c>
      <c r="F2420" s="48" t="inlineStr">
        <is>
          <t>Guts</t>
        </is>
      </c>
      <c r="G2420" s="48" t="inlineStr">
        <is>
          <t>Hardy</t>
        </is>
      </c>
      <c r="H2420" s="48" t="inlineStr">
        <is>
          <t>Huge Power</t>
        </is>
      </c>
      <c r="I2420" s="48" t="inlineStr">
        <is>
          <t>Hardy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Hardy</t>
        </is>
      </c>
      <c r="F2430" s="48" t="inlineStr">
        <is>
          <t>Guts</t>
        </is>
      </c>
      <c r="G2430" s="48" t="inlineStr">
        <is>
          <t>Hardy</t>
        </is>
      </c>
      <c r="H2430" s="48" t="inlineStr">
        <is>
          <t>Huge Power</t>
        </is>
      </c>
      <c r="I2430" s="48" t="inlineStr">
        <is>
          <t>Hardy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Hardy</t>
        </is>
      </c>
      <c r="F2440" s="48" t="inlineStr">
        <is>
          <t>Guts</t>
        </is>
      </c>
      <c r="G2440" s="48" t="inlineStr">
        <is>
          <t>Hardy</t>
        </is>
      </c>
      <c r="H2440" s="48" t="inlineStr">
        <is>
          <t>No Guard</t>
        </is>
      </c>
      <c r="I2440" s="48" t="inlineStr">
        <is>
          <t>Hardy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Hardy</t>
        </is>
      </c>
      <c r="F2450" s="48" t="inlineStr">
        <is>
          <t>Levitate</t>
        </is>
      </c>
      <c r="G2450" s="48" t="inlineStr">
        <is>
          <t>Hardy</t>
        </is>
      </c>
      <c r="H2450" s="48" t="inlineStr">
        <is>
          <t>Levitate</t>
        </is>
      </c>
      <c r="I2450" s="48" t="inlineStr">
        <is>
          <t>Hardy</t>
        </is>
      </c>
      <c r="J2450" s="48" t="inlineStr">
        <is>
          <t>Levitate</t>
        </is>
      </c>
      <c r="K2450" s="48" t="inlineStr">
        <is>
          <t>Hardy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Hardy</t>
        </is>
      </c>
      <c r="F2460" s="48" t="inlineStr">
        <is>
          <t>Levitate</t>
        </is>
      </c>
      <c r="G2460" s="48" t="inlineStr">
        <is>
          <t>Hardy</t>
        </is>
      </c>
      <c r="H2460" s="48" t="inlineStr">
        <is>
          <t>Levitate</t>
        </is>
      </c>
      <c r="I2460" s="48" t="inlineStr">
        <is>
          <t>Hardy</t>
        </is>
      </c>
      <c r="J2460" s="48" t="inlineStr">
        <is>
          <t>Levitate</t>
        </is>
      </c>
      <c r="K2460" s="48" t="inlineStr">
        <is>
          <t>Hardy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Hardy</t>
        </is>
      </c>
      <c r="F2470" s="48" t="inlineStr">
        <is>
          <t>Levitate</t>
        </is>
      </c>
      <c r="G2470" s="48" t="inlineStr">
        <is>
          <t>Hardy</t>
        </is>
      </c>
      <c r="H2470" s="48" t="inlineStr">
        <is>
          <t>Levitate</t>
        </is>
      </c>
      <c r="I2470" s="48" t="inlineStr">
        <is>
          <t>Hardy</t>
        </is>
      </c>
      <c r="J2470" s="48" t="inlineStr">
        <is>
          <t>Levitate</t>
        </is>
      </c>
      <c r="K2470" s="48" t="inlineStr">
        <is>
          <t>Hardy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Hardy</t>
        </is>
      </c>
      <c r="F2480" s="48" t="inlineStr">
        <is>
          <t>Levitate</t>
        </is>
      </c>
      <c r="G2480" s="48" t="inlineStr">
        <is>
          <t>Hardy</t>
        </is>
      </c>
      <c r="H2480" s="48" t="inlineStr">
        <is>
          <t>Levitate</t>
        </is>
      </c>
      <c r="I2480" s="48" t="inlineStr">
        <is>
          <t>Hardy</t>
        </is>
      </c>
      <c r="J2480" s="48" t="inlineStr">
        <is>
          <t>Levitate</t>
        </is>
      </c>
      <c r="K2480" s="48" t="inlineStr">
        <is>
          <t>Hardy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Hardy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Hardy</t>
        </is>
      </c>
      <c r="F2500" s="48" t="inlineStr">
        <is>
          <t>Volt Absorb</t>
        </is>
      </c>
      <c r="G2500" s="48" t="inlineStr">
        <is>
          <t>Hardy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Hardy</t>
        </is>
      </c>
      <c r="F2510" s="48" t="inlineStr">
        <is>
          <t>Volt Absorb</t>
        </is>
      </c>
      <c r="G2510" s="48" t="inlineStr">
        <is>
          <t>Hardy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Hardy</t>
        </is>
      </c>
      <c r="F2520" s="48" t="inlineStr">
        <is>
          <t>Volt Absorb</t>
        </is>
      </c>
      <c r="G2520" s="48" t="inlineStr">
        <is>
          <t>Hardy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Hardy</t>
        </is>
      </c>
      <c r="F2530" s="48" t="inlineStr">
        <is>
          <t>Volt Absorb</t>
        </is>
      </c>
      <c r="G2530" s="48" t="inlineStr">
        <is>
          <t>Hardy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Hardy</t>
        </is>
      </c>
      <c r="F2540" s="48" t="inlineStr">
        <is>
          <t>Huge Power</t>
        </is>
      </c>
      <c r="G2540" s="48" t="inlineStr">
        <is>
          <t>Hardy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Hardy</t>
        </is>
      </c>
      <c r="F2550" s="48" t="inlineStr">
        <is>
          <t>Huge Power</t>
        </is>
      </c>
      <c r="G2550" s="48" t="inlineStr">
        <is>
          <t>Hardy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Hardy</t>
        </is>
      </c>
      <c r="F2560" s="48" t="inlineStr">
        <is>
          <t>Huge Power</t>
        </is>
      </c>
      <c r="G2560" s="48" t="inlineStr">
        <is>
          <t>Hardy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Hardy</t>
        </is>
      </c>
      <c r="F2570" s="48" t="inlineStr">
        <is>
          <t>Huge Power</t>
        </is>
      </c>
      <c r="G2570" s="48" t="inlineStr">
        <is>
          <t>Hardy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Hardy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Hardy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Hardy</t>
        </is>
      </c>
      <c r="F2600" s="48" t="inlineStr">
        <is>
          <t>Gluttony</t>
        </is>
      </c>
      <c r="G2600" s="48" t="inlineStr">
        <is>
          <t>Hardy</t>
        </is>
      </c>
      <c r="H2600" s="48" t="inlineStr">
        <is>
          <t>Poison Heal</t>
        </is>
      </c>
      <c r="I2600" s="48" t="inlineStr">
        <is>
          <t>Hardy</t>
        </is>
      </c>
      <c r="J2600" s="48" t="inlineStr">
        <is>
          <t>Huge Power</t>
        </is>
      </c>
      <c r="K2600" s="48" t="inlineStr">
        <is>
          <t>Hardy</t>
        </is>
      </c>
      <c r="L2600" s="48" t="inlineStr">
        <is>
          <t>Natural Cure</t>
        </is>
      </c>
      <c r="M2600" s="48" t="inlineStr">
        <is>
          <t>Hardy</t>
        </is>
      </c>
      <c r="N2600" s="48" t="inlineStr">
        <is>
          <t>Cute Charm</t>
        </is>
      </c>
      <c r="O2600" s="48" t="inlineStr">
        <is>
          <t>Hardy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Hardy</t>
        </is>
      </c>
      <c r="F2610" s="48" t="inlineStr">
        <is>
          <t>Unburden</t>
        </is>
      </c>
      <c r="G2610" s="48" t="inlineStr">
        <is>
          <t>Hardy</t>
        </is>
      </c>
      <c r="H2610" s="48" t="inlineStr">
        <is>
          <t>Technician</t>
        </is>
      </c>
      <c r="I2610" s="48" t="inlineStr">
        <is>
          <t>Hardy</t>
        </is>
      </c>
      <c r="J2610" s="48" t="inlineStr">
        <is>
          <t>Huge Power</t>
        </is>
      </c>
      <c r="K2610" s="48" t="inlineStr">
        <is>
          <t>Hardy</t>
        </is>
      </c>
      <c r="L2610" s="48" t="inlineStr">
        <is>
          <t>Natural Cure</t>
        </is>
      </c>
      <c r="M2610" s="48" t="inlineStr">
        <is>
          <t>Hardy</t>
        </is>
      </c>
      <c r="N2610" s="48" t="inlineStr">
        <is>
          <t>Cute Charm</t>
        </is>
      </c>
      <c r="O2610" s="48" t="inlineStr">
        <is>
          <t>Hardy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Hardy</t>
        </is>
      </c>
      <c r="F2620" s="48" t="inlineStr">
        <is>
          <t>Unburden</t>
        </is>
      </c>
      <c r="G2620" s="48" t="inlineStr">
        <is>
          <t>Hardy</t>
        </is>
      </c>
      <c r="H2620" s="48" t="inlineStr">
        <is>
          <t>Technician</t>
        </is>
      </c>
      <c r="I2620" s="48" t="inlineStr">
        <is>
          <t>Hardy</t>
        </is>
      </c>
      <c r="J2620" s="48" t="inlineStr">
        <is>
          <t>Huge Power</t>
        </is>
      </c>
      <c r="K2620" s="48" t="inlineStr">
        <is>
          <t>Hardy</t>
        </is>
      </c>
      <c r="L2620" s="48" t="inlineStr">
        <is>
          <t>Natural Cure</t>
        </is>
      </c>
      <c r="M2620" s="48" t="inlineStr">
        <is>
          <t>Hardy</t>
        </is>
      </c>
      <c r="N2620" s="48" t="inlineStr">
        <is>
          <t>Cute Charm</t>
        </is>
      </c>
      <c r="O2620" s="48" t="inlineStr">
        <is>
          <t>Hardy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Hardy</t>
        </is>
      </c>
      <c r="F2630" s="48" t="inlineStr">
        <is>
          <t>Unburden</t>
        </is>
      </c>
      <c r="G2630" s="48" t="inlineStr">
        <is>
          <t>Hardy</t>
        </is>
      </c>
      <c r="H2630" s="48" t="inlineStr">
        <is>
          <t>Technician</t>
        </is>
      </c>
      <c r="I2630" s="48" t="inlineStr">
        <is>
          <t>Hardy</t>
        </is>
      </c>
      <c r="J2630" s="48" t="inlineStr">
        <is>
          <t>Huge Power</t>
        </is>
      </c>
      <c r="K2630" s="48" t="inlineStr">
        <is>
          <t>Hardy</t>
        </is>
      </c>
      <c r="L2630" s="48" t="inlineStr">
        <is>
          <t>Natural Cure</t>
        </is>
      </c>
      <c r="M2630" s="48" t="inlineStr">
        <is>
          <t>Hardy</t>
        </is>
      </c>
      <c r="N2630" s="48" t="inlineStr">
        <is>
          <t>Cute Charm</t>
        </is>
      </c>
      <c r="O2630" s="48" t="inlineStr">
        <is>
          <t>Hardy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Hardy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Hardy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Hardy</t>
        </is>
      </c>
      <c r="F2660" s="48" t="inlineStr">
        <is>
          <t>Natural Cure</t>
        </is>
      </c>
      <c r="G2660" s="48" t="inlineStr">
        <is>
          <t>Hardy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Hardy</t>
        </is>
      </c>
      <c r="F2670" s="48" t="inlineStr">
        <is>
          <t>Natural Cure</t>
        </is>
      </c>
      <c r="G2670" s="48" t="inlineStr">
        <is>
          <t>Hardy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Hardy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Hardy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Hardy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Hardy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Hardy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Hardy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Hardy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Hardy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Hardy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Hardy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Hardy</t>
        </is>
      </c>
      <c r="F2780" s="48" t="inlineStr">
        <is>
          <t>Unburden</t>
        </is>
      </c>
      <c r="G2780" s="48" t="inlineStr">
        <is>
          <t>Hardy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Hardy</t>
        </is>
      </c>
      <c r="F2790" s="48" t="inlineStr">
        <is>
          <t>Serene Grace</t>
        </is>
      </c>
      <c r="G2790" s="48" t="inlineStr">
        <is>
          <t>Hardy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Hardy</t>
        </is>
      </c>
      <c r="F2800" s="48" t="inlineStr">
        <is>
          <t>Serene Grace</t>
        </is>
      </c>
      <c r="G2800" s="48" t="inlineStr">
        <is>
          <t>Hardy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Hardy</t>
        </is>
      </c>
      <c r="F2810" s="48" t="inlineStr">
        <is>
          <t>Rock Head</t>
        </is>
      </c>
      <c r="G2810" s="48" t="inlineStr">
        <is>
          <t>Hardy</t>
        </is>
      </c>
      <c r="H2810" s="48" t="inlineStr">
        <is>
          <t>Serene Grace</t>
        </is>
      </c>
      <c r="I2810" s="48" t="inlineStr">
        <is>
          <t>Hardy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Hardy</t>
        </is>
      </c>
      <c r="F2820" s="48" t="inlineStr">
        <is>
          <t>Serene Grace</t>
        </is>
      </c>
      <c r="G2820" s="48" t="inlineStr">
        <is>
          <t>Hardy</t>
        </is>
      </c>
      <c r="H2820" s="48" t="inlineStr">
        <is>
          <t>Serene Grace</t>
        </is>
      </c>
      <c r="I2820" s="48" t="inlineStr">
        <is>
          <t>Hardy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Hardy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Hardy</t>
        </is>
      </c>
      <c r="F2840" s="48" t="inlineStr">
        <is>
          <t>No Guard</t>
        </is>
      </c>
      <c r="G2840" s="48" t="inlineStr">
        <is>
          <t>Hardy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Hardy</t>
        </is>
      </c>
      <c r="F2850" s="48" t="inlineStr">
        <is>
          <t>No Guard</t>
        </is>
      </c>
      <c r="G2850" s="48" t="inlineStr">
        <is>
          <t>Hardy</t>
        </is>
      </c>
      <c r="H2850" s="48" t="inlineStr">
        <is>
          <t>Huge Power</t>
        </is>
      </c>
      <c r="I2850" s="48" t="inlineStr">
        <is>
          <t>Hardy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Hardy</t>
        </is>
      </c>
      <c r="F2860" s="48" t="inlineStr">
        <is>
          <t>No Guard</t>
        </is>
      </c>
      <c r="G2860" s="48" t="inlineStr">
        <is>
          <t>Hardy</t>
        </is>
      </c>
      <c r="H2860" s="48" t="inlineStr">
        <is>
          <t>Huge Power</t>
        </is>
      </c>
      <c r="I2860" s="48" t="inlineStr">
        <is>
          <t>Hardy</t>
        </is>
      </c>
      <c r="J2860" s="48" t="inlineStr">
        <is>
          <t>Huge Power</t>
        </is>
      </c>
      <c r="K2860" s="48" t="inlineStr">
        <is>
          <t>Hardy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Hardy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Hardy</t>
        </is>
      </c>
      <c r="F2880" s="48" t="inlineStr">
        <is>
          <t>Magic Guard</t>
        </is>
      </c>
      <c r="G2880" s="48" t="inlineStr">
        <is>
          <t>Hardy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Hardy</t>
        </is>
      </c>
      <c r="F2890" s="48" t="inlineStr">
        <is>
          <t>Gluttony</t>
        </is>
      </c>
      <c r="G2890" s="48" t="inlineStr">
        <is>
          <t>Hardy</t>
        </is>
      </c>
      <c r="H2890" s="48" t="inlineStr">
        <is>
          <t>Magic Guard</t>
        </is>
      </c>
      <c r="I2890" s="48" t="inlineStr">
        <is>
          <t>Hardy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Hardy</t>
        </is>
      </c>
      <c r="F2900" s="48" t="inlineStr">
        <is>
          <t>Unburden</t>
        </is>
      </c>
      <c r="G2900" s="48" t="inlineStr">
        <is>
          <t>Hardy</t>
        </is>
      </c>
      <c r="H2900" s="48" t="inlineStr">
        <is>
          <t>Magic Guard</t>
        </is>
      </c>
      <c r="I2900" s="48" t="inlineStr">
        <is>
          <t>Hardy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Hardy</t>
        </is>
      </c>
      <c r="F2910" s="48" t="inlineStr">
        <is>
          <t>Unburden</t>
        </is>
      </c>
      <c r="G2910" s="48" t="inlineStr">
        <is>
          <t>Hardy</t>
        </is>
      </c>
      <c r="H2910" s="48" t="inlineStr">
        <is>
          <t>Magic Guard</t>
        </is>
      </c>
      <c r="I2910" s="48" t="inlineStr">
        <is>
          <t>Hardy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Hardy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Hardy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Hardy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Hardy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Hardy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Hardy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Hardy</t>
        </is>
      </c>
      <c r="F2980" s="48" t="inlineStr">
        <is>
          <t>Magic Guard</t>
        </is>
      </c>
      <c r="G2980" s="48" t="inlineStr">
        <is>
          <t>Hardy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Hardy</t>
        </is>
      </c>
      <c r="F2990" s="48" t="inlineStr">
        <is>
          <t>Magic Guard</t>
        </is>
      </c>
      <c r="G2990" s="48" t="inlineStr">
        <is>
          <t>Hardy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Hardy</t>
        </is>
      </c>
      <c r="F3000" s="48" t="inlineStr">
        <is>
          <t>Magic Guard</t>
        </is>
      </c>
      <c r="G3000" s="48" t="inlineStr">
        <is>
          <t>Hardy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Hardy</t>
        </is>
      </c>
      <c r="F3010" s="48" t="inlineStr">
        <is>
          <t>Serene Grace</t>
        </is>
      </c>
      <c r="G3010" s="48" t="inlineStr">
        <is>
          <t>Hardy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Hardy</t>
        </is>
      </c>
      <c r="F3020" s="48" t="inlineStr">
        <is>
          <t>Poison Heal</t>
        </is>
      </c>
      <c r="G3020" s="48" t="inlineStr">
        <is>
          <t>Hardy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Hardy</t>
        </is>
      </c>
      <c r="F3030" s="48" t="inlineStr">
        <is>
          <t>Poison Heal</t>
        </is>
      </c>
      <c r="G3030" s="48" t="inlineStr">
        <is>
          <t>Hardy</t>
        </is>
      </c>
      <c r="H3030" s="48" t="inlineStr">
        <is>
          <t>Chlorophyll</t>
        </is>
      </c>
      <c r="I3030" s="48" t="inlineStr">
        <is>
          <t>Hardy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Hardy</t>
        </is>
      </c>
      <c r="F3040" s="48" t="inlineStr">
        <is>
          <t>Poison Heal</t>
        </is>
      </c>
      <c r="G3040" s="48" t="inlineStr">
        <is>
          <t>Hardy</t>
        </is>
      </c>
      <c r="H3040" s="48" t="inlineStr">
        <is>
          <t>Chlorophyll</t>
        </is>
      </c>
      <c r="I3040" s="48" t="inlineStr">
        <is>
          <t>Hardy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Hardy</t>
        </is>
      </c>
      <c r="F3050" s="48" t="inlineStr">
        <is>
          <t>Technician</t>
        </is>
      </c>
      <c r="G3050" s="48" t="inlineStr">
        <is>
          <t>Hardy</t>
        </is>
      </c>
      <c r="H3050" s="48" t="inlineStr">
        <is>
          <t>Chlorophyll</t>
        </is>
      </c>
      <c r="I3050" s="48" t="inlineStr">
        <is>
          <t>Hardy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Hardy</t>
        </is>
      </c>
      <c r="F3060" s="48" t="inlineStr">
        <is>
          <t>Rock Head</t>
        </is>
      </c>
      <c r="G3060" s="48" t="inlineStr">
        <is>
          <t>Hardy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Hardy</t>
        </is>
      </c>
      <c r="F3070" s="48" t="inlineStr">
        <is>
          <t>No Guard</t>
        </is>
      </c>
      <c r="G3070" s="48" t="inlineStr">
        <is>
          <t>Hardy</t>
        </is>
      </c>
      <c r="H3070" s="48" t="inlineStr">
        <is>
          <t>Oblivious</t>
        </is>
      </c>
      <c r="I3070" s="48" t="inlineStr">
        <is>
          <t>Hardy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Hardy</t>
        </is>
      </c>
      <c r="F3080" s="48" t="inlineStr">
        <is>
          <t>No Guard</t>
        </is>
      </c>
      <c r="G3080" s="48" t="inlineStr">
        <is>
          <t>Hardy</t>
        </is>
      </c>
      <c r="H3080" s="48" t="inlineStr">
        <is>
          <t>Oblivious</t>
        </is>
      </c>
      <c r="I3080" s="48" t="inlineStr">
        <is>
          <t>Hardy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Hardy</t>
        </is>
      </c>
      <c r="F3090" s="48" t="inlineStr">
        <is>
          <t>Huge Power</t>
        </is>
      </c>
      <c r="G3090" s="48" t="inlineStr">
        <is>
          <t>Hardy</t>
        </is>
      </c>
      <c r="H3090" s="48" t="inlineStr">
        <is>
          <t>Magma Armor</t>
        </is>
      </c>
      <c r="I3090" s="48" t="inlineStr">
        <is>
          <t>Hardy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Hardy</t>
        </is>
      </c>
      <c r="F3100" s="48" t="inlineStr">
        <is>
          <t>Pure Power</t>
        </is>
      </c>
      <c r="G3100" s="48" t="inlineStr">
        <is>
          <t>Hardy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Hardy</t>
        </is>
      </c>
      <c r="F3110" s="48" t="inlineStr">
        <is>
          <t>Pure Power</t>
        </is>
      </c>
      <c r="G3110" s="48" t="inlineStr">
        <is>
          <t>Hardy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Hardy</t>
        </is>
      </c>
      <c r="F3120" s="48" t="inlineStr">
        <is>
          <t>Pure Power</t>
        </is>
      </c>
      <c r="G3120" s="48" t="inlineStr">
        <is>
          <t>Hardy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Hardy</t>
        </is>
      </c>
      <c r="F3130" s="48" t="inlineStr">
        <is>
          <t>Pure Power</t>
        </is>
      </c>
      <c r="G3130" s="48" t="inlineStr">
        <is>
          <t>Hardy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Hardy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Hardy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Hardy</t>
        </is>
      </c>
      <c r="F3160" s="48" t="inlineStr">
        <is>
          <t>Rock Head</t>
        </is>
      </c>
      <c r="G3160" s="48" t="inlineStr">
        <is>
          <t>Hardy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Hardy</t>
        </is>
      </c>
      <c r="F3170" s="48" t="inlineStr">
        <is>
          <t>Rock Head</t>
        </is>
      </c>
      <c r="G3170" s="48" t="inlineStr">
        <is>
          <t>Hardy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Hardy</t>
        </is>
      </c>
      <c r="F3180" s="48" t="inlineStr">
        <is>
          <t>Rock Head</t>
        </is>
      </c>
      <c r="G3180" s="48" t="inlineStr">
        <is>
          <t>Hardy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Hardy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Hardy</t>
        </is>
      </c>
      <c r="F3200" s="48" t="inlineStr">
        <is>
          <t>Pressure</t>
        </is>
      </c>
      <c r="G3200" s="48" t="inlineStr">
        <is>
          <t>Hardy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Hardy</t>
        </is>
      </c>
      <c r="F3210" s="48" t="inlineStr">
        <is>
          <t>Swift Swim</t>
        </is>
      </c>
      <c r="G3210" s="48" t="inlineStr">
        <is>
          <t>Hardy</t>
        </is>
      </c>
      <c r="H3210" s="48" t="inlineStr">
        <is>
          <t>Pressure</t>
        </is>
      </c>
      <c r="I3210" s="48" t="inlineStr">
        <is>
          <t>Hardy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Hardy</t>
        </is>
      </c>
      <c r="F3220" s="48" t="inlineStr">
        <is>
          <t>Swift Swim</t>
        </is>
      </c>
      <c r="G3220" s="48" t="inlineStr">
        <is>
          <t>Hardy</t>
        </is>
      </c>
      <c r="H3220" s="48" t="inlineStr">
        <is>
          <t>Pressure</t>
        </is>
      </c>
      <c r="I3220" s="48" t="inlineStr">
        <is>
          <t>Hardy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Hardy</t>
        </is>
      </c>
      <c r="F3230" s="48" t="inlineStr">
        <is>
          <t>Swift Swim</t>
        </is>
      </c>
      <c r="G3230" s="48" t="inlineStr">
        <is>
          <t>Hardy</t>
        </is>
      </c>
      <c r="H3230" s="48" t="inlineStr">
        <is>
          <t>Pressure</t>
        </is>
      </c>
      <c r="I3230" s="48" t="inlineStr">
        <is>
          <t>Hardy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Hardy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Hardy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Hardy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Hardy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Hardy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Hardy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Hardy</t>
        </is>
      </c>
      <c r="F3300" s="48" t="inlineStr">
        <is>
          <t>Magic Guard</t>
        </is>
      </c>
      <c r="G3300" s="48" t="inlineStr">
        <is>
          <t>Hardy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Hardy</t>
        </is>
      </c>
      <c r="F3310" s="48" t="inlineStr">
        <is>
          <t>Magic Guard</t>
        </is>
      </c>
      <c r="G3310" s="48" t="inlineStr">
        <is>
          <t>Hardy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Hardy</t>
        </is>
      </c>
      <c r="F3320" s="48" t="inlineStr">
        <is>
          <t>Rock Head</t>
        </is>
      </c>
      <c r="G3320" s="48" t="inlineStr">
        <is>
          <t>Hardy</t>
        </is>
      </c>
      <c r="H3320" s="48" t="inlineStr">
        <is>
          <t>Rock Head</t>
        </is>
      </c>
      <c r="I3320" s="48" t="inlineStr">
        <is>
          <t>Hardy</t>
        </is>
      </c>
      <c r="J3320" s="48" t="inlineStr">
        <is>
          <t>Rock Head</t>
        </is>
      </c>
      <c r="K3320" s="48" t="inlineStr">
        <is>
          <t>Hardy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Hardy</t>
        </is>
      </c>
      <c r="F3330" s="48" t="inlineStr">
        <is>
          <t>Rock Head</t>
        </is>
      </c>
      <c r="G3330" s="48" t="inlineStr">
        <is>
          <t>Hardy</t>
        </is>
      </c>
      <c r="H3330" s="48" t="inlineStr">
        <is>
          <t>Rock Head</t>
        </is>
      </c>
      <c r="I3330" s="48" t="inlineStr">
        <is>
          <t>Hardy</t>
        </is>
      </c>
      <c r="J3330" s="48" t="inlineStr">
        <is>
          <t>Rock Head</t>
        </is>
      </c>
      <c r="K3330" s="48" t="inlineStr">
        <is>
          <t>Hardy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Hardy</t>
        </is>
      </c>
      <c r="F3340" s="48" t="inlineStr">
        <is>
          <t>Rock Head</t>
        </is>
      </c>
      <c r="G3340" s="48" t="inlineStr">
        <is>
          <t>Hardy</t>
        </is>
      </c>
      <c r="H3340" s="48" t="inlineStr">
        <is>
          <t>Rock Head</t>
        </is>
      </c>
      <c r="I3340" s="48" t="inlineStr">
        <is>
          <t>Hardy</t>
        </is>
      </c>
      <c r="J3340" s="48" t="inlineStr">
        <is>
          <t>Rock Head</t>
        </is>
      </c>
      <c r="K3340" s="48" t="inlineStr">
        <is>
          <t>Hardy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Hardy</t>
        </is>
      </c>
      <c r="F3350" s="48" t="inlineStr">
        <is>
          <t>Rock Head</t>
        </is>
      </c>
      <c r="G3350" s="48" t="inlineStr">
        <is>
          <t>Hardy</t>
        </is>
      </c>
      <c r="H3350" s="48" t="inlineStr">
        <is>
          <t>Rock Head</t>
        </is>
      </c>
      <c r="I3350" s="48" t="inlineStr">
        <is>
          <t>Hardy</t>
        </is>
      </c>
      <c r="J3350" s="48" t="inlineStr">
        <is>
          <t>Rock Head</t>
        </is>
      </c>
      <c r="K3350" s="48" t="inlineStr">
        <is>
          <t>Hardy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Hardy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Hardy</t>
        </is>
      </c>
      <c r="F3370" s="48" t="inlineStr">
        <is>
          <t>Clear Body</t>
        </is>
      </c>
      <c r="G3370" s="48" t="inlineStr">
        <is>
          <t>Hardy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Hardy</t>
        </is>
      </c>
      <c r="F3380" s="48" t="inlineStr">
        <is>
          <t>Thick Fat</t>
        </is>
      </c>
      <c r="G3380" s="48" t="inlineStr">
        <is>
          <t>Hardy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Hardy</t>
        </is>
      </c>
      <c r="F3390" s="48" t="inlineStr">
        <is>
          <t>Thick Fat</t>
        </is>
      </c>
      <c r="G3390" s="48" t="inlineStr">
        <is>
          <t>Hardy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Hardy</t>
        </is>
      </c>
      <c r="F3400" s="48" t="inlineStr">
        <is>
          <t>Levitate</t>
        </is>
      </c>
      <c r="G3400" s="48" t="inlineStr">
        <is>
          <t>Hardy</t>
        </is>
      </c>
      <c r="H3400" s="48" t="inlineStr">
        <is>
          <t>Clear Body</t>
        </is>
      </c>
      <c r="I3400" s="48" t="inlineStr">
        <is>
          <t>Hardy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Hardy</t>
        </is>
      </c>
      <c r="F3410" s="48" t="inlineStr">
        <is>
          <t>Serene Grace</t>
        </is>
      </c>
      <c r="G3410" s="48" t="inlineStr">
        <is>
          <t>Hardy</t>
        </is>
      </c>
      <c r="H3410" s="48" t="inlineStr">
        <is>
          <t>Cute Charm</t>
        </is>
      </c>
      <c r="I3410" s="48" t="inlineStr">
        <is>
          <t>Hardy</t>
        </is>
      </c>
      <c r="J3410" s="48" t="inlineStr">
        <is>
          <t>Natural Cure</t>
        </is>
      </c>
      <c r="K3410" s="48" t="inlineStr">
        <is>
          <t>Hardy</t>
        </is>
      </c>
      <c r="L3410" s="48" t="inlineStr">
        <is>
          <t>Magnet Pull</t>
        </is>
      </c>
      <c r="M3410" s="48" t="inlineStr">
        <is>
          <t>Hardy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Hardy</t>
        </is>
      </c>
      <c r="F3420" s="48" t="inlineStr">
        <is>
          <t>Serene Grace</t>
        </is>
      </c>
      <c r="G3420" s="48" t="inlineStr">
        <is>
          <t>Hardy</t>
        </is>
      </c>
      <c r="H3420" s="48" t="inlineStr">
        <is>
          <t>Cute Charm</t>
        </is>
      </c>
      <c r="I3420" s="48" t="inlineStr">
        <is>
          <t>Hardy</t>
        </is>
      </c>
      <c r="J3420" s="48" t="inlineStr">
        <is>
          <t>Natural Cure</t>
        </is>
      </c>
      <c r="K3420" s="48" t="inlineStr">
        <is>
          <t>Hardy</t>
        </is>
      </c>
      <c r="L3420" s="48" t="inlineStr">
        <is>
          <t>Magnet Pull</t>
        </is>
      </c>
      <c r="M3420" s="48" t="inlineStr">
        <is>
          <t>Hardy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Hardy</t>
        </is>
      </c>
      <c r="F3430" s="48" t="inlineStr">
        <is>
          <t>Serene Grace</t>
        </is>
      </c>
      <c r="G3430" s="48" t="inlineStr">
        <is>
          <t>Hardy</t>
        </is>
      </c>
      <c r="H3430" s="48" t="inlineStr">
        <is>
          <t>Cute Charm</t>
        </is>
      </c>
      <c r="I3430" s="48" t="inlineStr">
        <is>
          <t>Hardy</t>
        </is>
      </c>
      <c r="J3430" s="48" t="inlineStr">
        <is>
          <t>Natural Cure</t>
        </is>
      </c>
      <c r="K3430" s="48" t="inlineStr">
        <is>
          <t>Hardy</t>
        </is>
      </c>
      <c r="L3430" s="48" t="inlineStr">
        <is>
          <t>Magnet Pull</t>
        </is>
      </c>
      <c r="M3430" s="48" t="inlineStr">
        <is>
          <t>Hardy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Hardy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Hardy</t>
        </is>
      </c>
      <c r="F3450" s="48" t="inlineStr">
        <is>
          <t>Gluttony</t>
        </is>
      </c>
      <c r="G3450" s="48" t="inlineStr">
        <is>
          <t>Hardy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Hardy</t>
        </is>
      </c>
      <c r="F3460" s="48" t="inlineStr">
        <is>
          <t>Gluttony</t>
        </is>
      </c>
      <c r="G3460" s="48" t="inlineStr">
        <is>
          <t>Hardy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Hardy</t>
        </is>
      </c>
      <c r="F3470" s="48" t="inlineStr">
        <is>
          <t>Gluttony</t>
        </is>
      </c>
      <c r="G3470" s="48" t="inlineStr">
        <is>
          <t>Hardy</t>
        </is>
      </c>
      <c r="H3470" s="48" t="inlineStr">
        <is>
          <t>Swift Swim</t>
        </is>
      </c>
      <c r="I3470" s="48" t="inlineStr">
        <is>
          <t>Hardy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Hardy</t>
        </is>
      </c>
      <c r="F3480" s="48" t="inlineStr">
        <is>
          <t>Lightning Rod</t>
        </is>
      </c>
      <c r="G3480" s="48" t="inlineStr">
        <is>
          <t>Hardy</t>
        </is>
      </c>
      <c r="H3480" s="48" t="inlineStr">
        <is>
          <t>Pressure</t>
        </is>
      </c>
      <c r="I3480" s="48" t="inlineStr">
        <is>
          <t>Hardy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Hardy</t>
        </is>
      </c>
      <c r="F3490" s="48" t="inlineStr">
        <is>
          <t>Lightning Rod</t>
        </is>
      </c>
      <c r="G3490" s="48" t="inlineStr">
        <is>
          <t>Hardy</t>
        </is>
      </c>
      <c r="H3490" s="48" t="inlineStr">
        <is>
          <t>Pressure</t>
        </is>
      </c>
      <c r="I3490" s="48" t="inlineStr">
        <is>
          <t>Hardy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Hardy</t>
        </is>
      </c>
      <c r="F3500" s="48" t="inlineStr">
        <is>
          <t>Lightning Rod</t>
        </is>
      </c>
      <c r="G3500" s="48" t="inlineStr">
        <is>
          <t>Hardy</t>
        </is>
      </c>
      <c r="H3500" s="48" t="inlineStr">
        <is>
          <t>Pressure</t>
        </is>
      </c>
      <c r="I3500" s="48" t="inlineStr">
        <is>
          <t>Hardy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Hardy</t>
        </is>
      </c>
      <c r="F3510" s="48" t="inlineStr">
        <is>
          <t>Lightning Rod</t>
        </is>
      </c>
      <c r="G3510" s="48" t="inlineStr">
        <is>
          <t>Hardy</t>
        </is>
      </c>
      <c r="H3510" s="48" t="inlineStr">
        <is>
          <t>Pressure</t>
        </is>
      </c>
      <c r="I3510" s="48" t="inlineStr">
        <is>
          <t>Hardy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Hardy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Hardy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Hardy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Hardy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Hardy</t>
        </is>
      </c>
      <c r="F3560" s="48" t="inlineStr">
        <is>
          <t>No Guard</t>
        </is>
      </c>
      <c r="G3560" s="48" t="inlineStr">
        <is>
          <t>Hardy</t>
        </is>
      </c>
      <c r="H3560" s="48" t="inlineStr">
        <is>
          <t>Pure Power</t>
        </is>
      </c>
      <c r="I3560" s="48" t="inlineStr">
        <is>
          <t>Hardy</t>
        </is>
      </c>
      <c r="J3560" s="48" t="inlineStr">
        <is>
          <t>Technician</t>
        </is>
      </c>
      <c r="K3560" s="48" t="inlineStr">
        <is>
          <t>Hardy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Hardy</t>
        </is>
      </c>
      <c r="F3570" s="48" t="inlineStr">
        <is>
          <t>No Guard</t>
        </is>
      </c>
      <c r="G3570" s="48" t="inlineStr">
        <is>
          <t>Hardy</t>
        </is>
      </c>
      <c r="H3570" s="48" t="inlineStr">
        <is>
          <t>Pure Power</t>
        </is>
      </c>
      <c r="I3570" s="48" t="inlineStr">
        <is>
          <t>Hardy</t>
        </is>
      </c>
      <c r="J3570" s="48" t="inlineStr">
        <is>
          <t>Technician</t>
        </is>
      </c>
      <c r="K3570" s="48" t="inlineStr">
        <is>
          <t>Hardy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Hardy</t>
        </is>
      </c>
      <c r="F3580" s="48" t="inlineStr">
        <is>
          <t>Scrappy</t>
        </is>
      </c>
      <c r="G3580" s="48" t="inlineStr">
        <is>
          <t>Hardy</t>
        </is>
      </c>
      <c r="H3580" s="48" t="inlineStr">
        <is>
          <t>No Guard</t>
        </is>
      </c>
      <c r="I3580" s="48" t="inlineStr">
        <is>
          <t>Hardy</t>
        </is>
      </c>
      <c r="J3580" s="48" t="inlineStr">
        <is>
          <t>Pure Power</t>
        </is>
      </c>
      <c r="K3580" s="48" t="inlineStr">
        <is>
          <t>Hardy</t>
        </is>
      </c>
      <c r="L3580" s="48" t="inlineStr">
        <is>
          <t>Technician</t>
        </is>
      </c>
      <c r="M3580" s="48" t="inlineStr">
        <is>
          <t>Hardy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Hardy</t>
        </is>
      </c>
      <c r="F3590" s="48" t="inlineStr">
        <is>
          <t>Quick Feet</t>
        </is>
      </c>
      <c r="G3590" s="48" t="inlineStr">
        <is>
          <t>Hardy</t>
        </is>
      </c>
      <c r="H3590" s="48" t="inlineStr">
        <is>
          <t>Scrappy</t>
        </is>
      </c>
      <c r="I3590" s="48" t="inlineStr">
        <is>
          <t>Hardy</t>
        </is>
      </c>
      <c r="J3590" s="48" t="inlineStr">
        <is>
          <t>No Guard</t>
        </is>
      </c>
      <c r="K3590" s="48" t="inlineStr">
        <is>
          <t>Hardy</t>
        </is>
      </c>
      <c r="L3590" s="48" t="inlineStr">
        <is>
          <t>Pure Power</t>
        </is>
      </c>
      <c r="M3590" s="48" t="inlineStr">
        <is>
          <t>Hardy</t>
        </is>
      </c>
      <c r="N3590" s="48" t="inlineStr">
        <is>
          <t>Technician</t>
        </is>
      </c>
      <c r="O3590" s="48" t="inlineStr">
        <is>
          <t>Hardy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Hardy</t>
        </is>
      </c>
      <c r="F3600" s="48" t="inlineStr">
        <is>
          <t>Magma Armor</t>
        </is>
      </c>
      <c r="G3600" s="48" t="inlineStr">
        <is>
          <t>Hardy</t>
        </is>
      </c>
      <c r="H3600" s="48" t="inlineStr">
        <is>
          <t>Reckless</t>
        </is>
      </c>
      <c r="I3600" s="48" t="inlineStr">
        <is>
          <t>Hardy</t>
        </is>
      </c>
      <c r="J3600" s="48" t="inlineStr">
        <is>
          <t>Magma Armor</t>
        </is>
      </c>
      <c r="K3600" s="48" t="inlineStr">
        <is>
          <t>Hardy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Hardy</t>
        </is>
      </c>
      <c r="F3610" s="48" t="inlineStr">
        <is>
          <t>Intimidate</t>
        </is>
      </c>
      <c r="G3610" s="48" t="inlineStr">
        <is>
          <t>Hardy</t>
        </is>
      </c>
      <c r="H3610" s="48" t="inlineStr">
        <is>
          <t>Magma Armor</t>
        </is>
      </c>
      <c r="I3610" s="48" t="inlineStr">
        <is>
          <t>Hardy</t>
        </is>
      </c>
      <c r="J3610" s="48" t="inlineStr">
        <is>
          <t>Reckless</t>
        </is>
      </c>
      <c r="K3610" s="48" t="inlineStr">
        <is>
          <t>Hardy</t>
        </is>
      </c>
      <c r="L3610" s="48" t="inlineStr">
        <is>
          <t>Magma Armor</t>
        </is>
      </c>
      <c r="M3610" s="48" t="inlineStr">
        <is>
          <t>Hardy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Hardy</t>
        </is>
      </c>
      <c r="F3620" s="48" t="inlineStr">
        <is>
          <t>Solar Power</t>
        </is>
      </c>
      <c r="G3620" s="48" t="inlineStr">
        <is>
          <t>Hardy</t>
        </is>
      </c>
      <c r="H3620" s="48" t="inlineStr">
        <is>
          <t>Intimidate</t>
        </is>
      </c>
      <c r="I3620" s="48" t="inlineStr">
        <is>
          <t>Hardy</t>
        </is>
      </c>
      <c r="J3620" s="48" t="inlineStr">
        <is>
          <t>Magma Armor</t>
        </is>
      </c>
      <c r="K3620" s="48" t="inlineStr">
        <is>
          <t>Hardy</t>
        </is>
      </c>
      <c r="L3620" s="48" t="inlineStr">
        <is>
          <t>Reckless</t>
        </is>
      </c>
      <c r="M3620" s="48" t="inlineStr">
        <is>
          <t>Hardy</t>
        </is>
      </c>
      <c r="N3620" s="48" t="inlineStr">
        <is>
          <t>Magma Armor</t>
        </is>
      </c>
      <c r="O3620" s="48" t="inlineStr">
        <is>
          <t>Hardy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Hardy</t>
        </is>
      </c>
      <c r="F3630" s="48" t="inlineStr">
        <is>
          <t>Intimidate</t>
        </is>
      </c>
      <c r="G3630" s="48" t="inlineStr">
        <is>
          <t>Hardy</t>
        </is>
      </c>
      <c r="H3630" s="48" t="inlineStr">
        <is>
          <t>Magma Armor</t>
        </is>
      </c>
      <c r="I3630" s="48" t="inlineStr">
        <is>
          <t>Hardy</t>
        </is>
      </c>
      <c r="J3630" s="48" t="inlineStr">
        <is>
          <t>Solar Power</t>
        </is>
      </c>
      <c r="K3630" s="48" t="inlineStr">
        <is>
          <t>Hardy</t>
        </is>
      </c>
      <c r="L3630" s="48" t="inlineStr">
        <is>
          <t>Reckless</t>
        </is>
      </c>
      <c r="M3630" s="48" t="inlineStr">
        <is>
          <t>Hardy</t>
        </is>
      </c>
      <c r="N3630" s="48" t="inlineStr">
        <is>
          <t>Magma Armor</t>
        </is>
      </c>
      <c r="O3630" s="48" t="inlineStr">
        <is>
          <t>Hardy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Hardy</t>
        </is>
      </c>
      <c r="F3640" s="48" t="inlineStr">
        <is>
          <t>Swift Swim</t>
        </is>
      </c>
      <c r="G3640" s="48" t="inlineStr">
        <is>
          <t>Hardy</t>
        </is>
      </c>
      <c r="H3640" s="48" t="inlineStr">
        <is>
          <t>Hydration</t>
        </is>
      </c>
      <c r="I3640" s="48" t="inlineStr">
        <is>
          <t>Hardy</t>
        </is>
      </c>
      <c r="J3640" s="48" t="inlineStr">
        <is>
          <t>Filter</t>
        </is>
      </c>
      <c r="K3640" s="48" t="inlineStr">
        <is>
          <t>Hardy</t>
        </is>
      </c>
      <c r="L3640" s="48" t="inlineStr">
        <is>
          <t>Adaptability</t>
        </is>
      </c>
      <c r="M3640" s="48" t="inlineStr">
        <is>
          <t>Hardy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Hardy</t>
        </is>
      </c>
      <c r="F3650" s="48" t="inlineStr">
        <is>
          <t>Swift Swim</t>
        </is>
      </c>
      <c r="G3650" s="48" t="inlineStr">
        <is>
          <t>Hardy</t>
        </is>
      </c>
      <c r="H3650" s="48" t="inlineStr">
        <is>
          <t>Hydration</t>
        </is>
      </c>
      <c r="I3650" s="48" t="inlineStr">
        <is>
          <t>Hardy</t>
        </is>
      </c>
      <c r="J3650" s="48" t="inlineStr">
        <is>
          <t>Filter</t>
        </is>
      </c>
      <c r="K3650" s="48" t="inlineStr">
        <is>
          <t>Hardy</t>
        </is>
      </c>
      <c r="L3650" s="48" t="inlineStr">
        <is>
          <t>Adaptability</t>
        </is>
      </c>
      <c r="M3650" s="48" t="inlineStr">
        <is>
          <t>Hardy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Hardy</t>
        </is>
      </c>
      <c r="F3660" s="48" t="inlineStr">
        <is>
          <t>Serene Grace</t>
        </is>
      </c>
      <c r="G3660" s="48" t="inlineStr">
        <is>
          <t>Hardy</t>
        </is>
      </c>
      <c r="H3660" s="48" t="inlineStr">
        <is>
          <t>Hydration</t>
        </is>
      </c>
      <c r="I3660" s="48" t="inlineStr">
        <is>
          <t>Hardy</t>
        </is>
      </c>
      <c r="J3660" s="48" t="inlineStr">
        <is>
          <t>Swift Swim</t>
        </is>
      </c>
      <c r="K3660" s="48" t="inlineStr">
        <is>
          <t>Hardy</t>
        </is>
      </c>
      <c r="L3660" s="48" t="inlineStr">
        <is>
          <t>Filter</t>
        </is>
      </c>
      <c r="M3660" s="48" t="inlineStr">
        <is>
          <t>Hardy</t>
        </is>
      </c>
      <c r="N3660" s="48" t="inlineStr">
        <is>
          <t>Adaptability</t>
        </is>
      </c>
      <c r="O3660" s="48" t="inlineStr">
        <is>
          <t>Hardy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Hardy</t>
        </is>
      </c>
      <c r="F3670" s="48" t="inlineStr">
        <is>
          <t>Serene Grace</t>
        </is>
      </c>
      <c r="G3670" s="48" t="inlineStr">
        <is>
          <t>Hardy</t>
        </is>
      </c>
      <c r="H3670" s="48" t="inlineStr">
        <is>
          <t>Hydration</t>
        </is>
      </c>
      <c r="I3670" s="48" t="inlineStr">
        <is>
          <t>Hardy</t>
        </is>
      </c>
      <c r="J3670" s="48" t="inlineStr">
        <is>
          <t>Swift Swim</t>
        </is>
      </c>
      <c r="K3670" s="48" t="inlineStr">
        <is>
          <t>Hardy</t>
        </is>
      </c>
      <c r="L3670" s="48" t="inlineStr">
        <is>
          <t>Filter</t>
        </is>
      </c>
      <c r="M3670" s="48" t="inlineStr">
        <is>
          <t>Hardy</t>
        </is>
      </c>
      <c r="N3670" s="48" t="inlineStr">
        <is>
          <t>Adaptability</t>
        </is>
      </c>
      <c r="O3670" s="48" t="inlineStr">
        <is>
          <t>Hardy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Hardy</t>
        </is>
      </c>
      <c r="F3680" s="48" t="inlineStr">
        <is>
          <t>Natural Cure</t>
        </is>
      </c>
      <c r="G3680" s="48" t="inlineStr">
        <is>
          <t>Hardy</t>
        </is>
      </c>
      <c r="H3680" s="48" t="inlineStr">
        <is>
          <t>Truant</t>
        </is>
      </c>
      <c r="I3680" s="48" t="inlineStr">
        <is>
          <t>Hardy</t>
        </is>
      </c>
      <c r="J3680" s="48" t="inlineStr">
        <is>
          <t>Tangled Feet</t>
        </is>
      </c>
      <c r="K3680" s="48" t="inlineStr">
        <is>
          <t>Hardy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Hardy</t>
        </is>
      </c>
      <c r="F3690" s="48" t="inlineStr">
        <is>
          <t>Truant</t>
        </is>
      </c>
      <c r="G3690" s="48" t="inlineStr">
        <is>
          <t>Hardy</t>
        </is>
      </c>
      <c r="H3690" s="48" t="inlineStr">
        <is>
          <t>Natural Cure</t>
        </is>
      </c>
      <c r="I3690" s="48" t="inlineStr">
        <is>
          <t>Hardy</t>
        </is>
      </c>
      <c r="J3690" s="48" t="inlineStr">
        <is>
          <t>Scrappy</t>
        </is>
      </c>
      <c r="K3690" s="48" t="inlineStr">
        <is>
          <t>Hardy</t>
        </is>
      </c>
      <c r="L3690" s="48" t="inlineStr">
        <is>
          <t>Tangled Feet</t>
        </is>
      </c>
      <c r="M3690" s="48" t="inlineStr">
        <is>
          <t>Hardy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Hardy</t>
        </is>
      </c>
      <c r="F3700" s="48" t="inlineStr">
        <is>
          <t>Truant</t>
        </is>
      </c>
      <c r="G3700" s="48" t="inlineStr">
        <is>
          <t>Hardy</t>
        </is>
      </c>
      <c r="H3700" s="48" t="inlineStr">
        <is>
          <t>Serene Grace</t>
        </is>
      </c>
      <c r="I3700" s="48" t="inlineStr">
        <is>
          <t>Hardy</t>
        </is>
      </c>
      <c r="J3700" s="48" t="inlineStr">
        <is>
          <t>Scrappy</t>
        </is>
      </c>
      <c r="K3700" s="48" t="inlineStr">
        <is>
          <t>Hardy</t>
        </is>
      </c>
      <c r="L3700" s="48" t="inlineStr">
        <is>
          <t>Tangled Feet</t>
        </is>
      </c>
      <c r="M3700" s="48" t="inlineStr">
        <is>
          <t>Hardy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Hardy</t>
        </is>
      </c>
      <c r="F3710" s="48" t="inlineStr">
        <is>
          <t>Truant</t>
        </is>
      </c>
      <c r="G3710" s="48" t="inlineStr">
        <is>
          <t>Hardy</t>
        </is>
      </c>
      <c r="H3710" s="48" t="inlineStr">
        <is>
          <t>Serene Grace</t>
        </is>
      </c>
      <c r="I3710" s="48" t="inlineStr">
        <is>
          <t>Hardy</t>
        </is>
      </c>
      <c r="J3710" s="48" t="inlineStr">
        <is>
          <t>Scrappy</t>
        </is>
      </c>
      <c r="K3710" s="48" t="inlineStr">
        <is>
          <t>Hardy</t>
        </is>
      </c>
      <c r="L3710" s="48" t="inlineStr">
        <is>
          <t>Intimidate</t>
        </is>
      </c>
      <c r="M3710" s="48" t="inlineStr">
        <is>
          <t>Hardy</t>
        </is>
      </c>
      <c r="N3710" s="48" t="inlineStr">
        <is>
          <t>Tangled Feet</t>
        </is>
      </c>
      <c r="O3710" s="48" t="inlineStr">
        <is>
          <t>Hardy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Hardy</t>
        </is>
      </c>
      <c r="F3720" s="48" t="inlineStr">
        <is>
          <t>Shell Armor</t>
        </is>
      </c>
      <c r="G3720" s="48" t="inlineStr">
        <is>
          <t>Hardy</t>
        </is>
      </c>
      <c r="H3720" s="48" t="inlineStr">
        <is>
          <t>Swift Swim</t>
        </is>
      </c>
      <c r="I3720" s="48" t="inlineStr">
        <is>
          <t>Hardy</t>
        </is>
      </c>
      <c r="J3720" s="48" t="inlineStr">
        <is>
          <t>Rock Head</t>
        </is>
      </c>
      <c r="K3720" s="48" t="inlineStr">
        <is>
          <t>Hardy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Hardy</t>
        </is>
      </c>
      <c r="F3730" s="48" t="inlineStr">
        <is>
          <t>Swift Swim</t>
        </is>
      </c>
      <c r="G3730" s="48" t="inlineStr">
        <is>
          <t>Hardy</t>
        </is>
      </c>
      <c r="H3730" s="48" t="inlineStr">
        <is>
          <t>Shell Armor</t>
        </is>
      </c>
      <c r="I3730" s="48" t="inlineStr">
        <is>
          <t>Hardy</t>
        </is>
      </c>
      <c r="J3730" s="48" t="inlineStr">
        <is>
          <t>Swift Swim</t>
        </is>
      </c>
      <c r="K3730" s="48" t="inlineStr">
        <is>
          <t>Hardy</t>
        </is>
      </c>
      <c r="L3730" s="48" t="inlineStr">
        <is>
          <t>Rock Head</t>
        </is>
      </c>
      <c r="M3730" s="48" t="inlineStr">
        <is>
          <t>Hardy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Hardy</t>
        </is>
      </c>
      <c r="F3740" s="48" t="inlineStr">
        <is>
          <t>Swift Swim</t>
        </is>
      </c>
      <c r="G3740" s="48" t="inlineStr">
        <is>
          <t>Hardy</t>
        </is>
      </c>
      <c r="H3740" s="48" t="inlineStr">
        <is>
          <t>Shell Armor</t>
        </is>
      </c>
      <c r="I3740" s="48" t="inlineStr">
        <is>
          <t>Hardy</t>
        </is>
      </c>
      <c r="J3740" s="48" t="inlineStr">
        <is>
          <t>Swift Swim</t>
        </is>
      </c>
      <c r="K3740" s="48" t="inlineStr">
        <is>
          <t>Hardy</t>
        </is>
      </c>
      <c r="L3740" s="48" t="inlineStr">
        <is>
          <t>Rock Head</t>
        </is>
      </c>
      <c r="M3740" s="48" t="inlineStr">
        <is>
          <t>Hardy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Hardy</t>
        </is>
      </c>
      <c r="F3750" s="48" t="inlineStr">
        <is>
          <t>Rock Head</t>
        </is>
      </c>
      <c r="G3750" s="48" t="inlineStr">
        <is>
          <t>Hardy</t>
        </is>
      </c>
      <c r="H3750" s="48" t="inlineStr">
        <is>
          <t>Shell Armor</t>
        </is>
      </c>
      <c r="I3750" s="48" t="inlineStr">
        <is>
          <t>Hardy</t>
        </is>
      </c>
      <c r="J3750" s="48" t="inlineStr">
        <is>
          <t>Swift Swim</t>
        </is>
      </c>
      <c r="K3750" s="48" t="inlineStr">
        <is>
          <t>Hardy</t>
        </is>
      </c>
      <c r="L3750" s="48" t="inlineStr">
        <is>
          <t>Swift Swim</t>
        </is>
      </c>
      <c r="M3750" s="48" t="inlineStr">
        <is>
          <t>Hardy</t>
        </is>
      </c>
      <c r="N3750" s="48" t="inlineStr">
        <is>
          <t>Solid Rock</t>
        </is>
      </c>
      <c r="O3750" s="48" t="inlineStr">
        <is>
          <t>Hardy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Hardy</t>
        </is>
      </c>
      <c r="F3760" s="48" t="inlineStr">
        <is>
          <t>Simple</t>
        </is>
      </c>
      <c r="G3760" s="48" t="inlineStr">
        <is>
          <t>Hardy</t>
        </is>
      </c>
      <c r="H3760" s="48" t="inlineStr">
        <is>
          <t>Levitate</t>
        </is>
      </c>
      <c r="I3760" s="48" t="inlineStr">
        <is>
          <t>Hardy</t>
        </is>
      </c>
      <c r="J3760" s="48" t="inlineStr">
        <is>
          <t>Magic Guard</t>
        </is>
      </c>
      <c r="K3760" s="48" t="inlineStr">
        <is>
          <t>Hardy</t>
        </is>
      </c>
      <c r="L3760" s="48" t="inlineStr">
        <is>
          <t>Levitate</t>
        </is>
      </c>
      <c r="M3760" s="48" t="inlineStr">
        <is>
          <t>Hardy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Hardy</t>
        </is>
      </c>
      <c r="F3770" s="48" t="inlineStr">
        <is>
          <t>Bad Dreams</t>
        </is>
      </c>
      <c r="G3770" s="48" t="inlineStr">
        <is>
          <t>Hardy</t>
        </is>
      </c>
      <c r="H3770" s="48" t="inlineStr">
        <is>
          <t>Simple</t>
        </is>
      </c>
      <c r="I3770" s="48" t="inlineStr">
        <is>
          <t>Hardy</t>
        </is>
      </c>
      <c r="J3770" s="48" t="inlineStr">
        <is>
          <t>Levitate</t>
        </is>
      </c>
      <c r="K3770" s="48" t="inlineStr">
        <is>
          <t>Hardy</t>
        </is>
      </c>
      <c r="L3770" s="48" t="inlineStr">
        <is>
          <t>Magic Guard</t>
        </is>
      </c>
      <c r="M3770" s="48" t="inlineStr">
        <is>
          <t>Hardy</t>
        </is>
      </c>
      <c r="N3770" s="48" t="inlineStr">
        <is>
          <t>Levitate</t>
        </is>
      </c>
      <c r="O3770" s="48" t="inlineStr">
        <is>
          <t>Hardy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Hardy</t>
        </is>
      </c>
      <c r="F3780" s="48" t="inlineStr">
        <is>
          <t>Bad Dreams</t>
        </is>
      </c>
      <c r="G3780" s="48" t="inlineStr">
        <is>
          <t>Hardy</t>
        </is>
      </c>
      <c r="H3780" s="48" t="inlineStr">
        <is>
          <t>Levitate</t>
        </is>
      </c>
      <c r="I3780" s="48" t="inlineStr">
        <is>
          <t>Hardy</t>
        </is>
      </c>
      <c r="J3780" s="48" t="inlineStr">
        <is>
          <t>Simple</t>
        </is>
      </c>
      <c r="K3780" s="48" t="inlineStr">
        <is>
          <t>Hardy</t>
        </is>
      </c>
      <c r="L3780" s="48" t="inlineStr">
        <is>
          <t>Magic Guard</t>
        </is>
      </c>
      <c r="M3780" s="48" t="inlineStr">
        <is>
          <t>Hardy</t>
        </is>
      </c>
      <c r="N3780" s="48" t="inlineStr">
        <is>
          <t>Levitate</t>
        </is>
      </c>
      <c r="O3780" s="48" t="inlineStr">
        <is>
          <t>Hardy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Hardy</t>
        </is>
      </c>
      <c r="F3790" s="48" t="inlineStr">
        <is>
          <t>Bad Dreams</t>
        </is>
      </c>
      <c r="G3790" s="48" t="inlineStr">
        <is>
          <t>Hardy</t>
        </is>
      </c>
      <c r="H3790" s="48" t="inlineStr">
        <is>
          <t>Levitate</t>
        </is>
      </c>
      <c r="I3790" s="48" t="inlineStr">
        <is>
          <t>Hardy</t>
        </is>
      </c>
      <c r="J3790" s="48" t="inlineStr">
        <is>
          <t>Simple</t>
        </is>
      </c>
      <c r="K3790" s="48" t="inlineStr">
        <is>
          <t>Hardy</t>
        </is>
      </c>
      <c r="L3790" s="48" t="inlineStr">
        <is>
          <t>Magic Guard</t>
        </is>
      </c>
      <c r="M3790" s="48" t="inlineStr">
        <is>
          <t>Hardy</t>
        </is>
      </c>
      <c r="N3790" s="48" t="inlineStr">
        <is>
          <t>Levitate</t>
        </is>
      </c>
      <c r="O3790" s="48" t="inlineStr">
        <is>
          <t>Hardy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Hardy</t>
        </is>
      </c>
      <c r="F3800" s="48" t="inlineStr">
        <is>
          <t>Static</t>
        </is>
      </c>
      <c r="G3800" s="48" t="inlineStr">
        <is>
          <t>Hardy</t>
        </is>
      </c>
      <c r="H3800" s="48" t="inlineStr">
        <is>
          <t>Aftermath</t>
        </is>
      </c>
      <c r="I3800" s="48" t="inlineStr">
        <is>
          <t>Hardy</t>
        </is>
      </c>
      <c r="J3800" s="48" t="inlineStr">
        <is>
          <t>Magnet Pull</t>
        </is>
      </c>
      <c r="K3800" s="48" t="inlineStr">
        <is>
          <t>Hardy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Hardy</t>
        </is>
      </c>
      <c r="F3810" s="48" t="inlineStr">
        <is>
          <t>Reckless</t>
        </is>
      </c>
      <c r="G3810" s="48" t="inlineStr">
        <is>
          <t>Hardy</t>
        </is>
      </c>
      <c r="H3810" s="48" t="inlineStr">
        <is>
          <t>Static</t>
        </is>
      </c>
      <c r="I3810" s="48" t="inlineStr">
        <is>
          <t>Hardy</t>
        </is>
      </c>
      <c r="J3810" s="48" t="inlineStr">
        <is>
          <t>Aftermath</t>
        </is>
      </c>
      <c r="K3810" s="48" t="inlineStr">
        <is>
          <t>Hardy</t>
        </is>
      </c>
      <c r="L3810" s="48" t="inlineStr">
        <is>
          <t>Magnet Pull</t>
        </is>
      </c>
      <c r="M3810" s="48" t="inlineStr">
        <is>
          <t>Hardy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Hardy</t>
        </is>
      </c>
      <c r="F3820" s="48" t="inlineStr">
        <is>
          <t>Lightning Rod</t>
        </is>
      </c>
      <c r="G3820" s="48" t="inlineStr">
        <is>
          <t>Hardy</t>
        </is>
      </c>
      <c r="H3820" s="48" t="inlineStr">
        <is>
          <t>No Guard</t>
        </is>
      </c>
      <c r="I3820" s="48" t="inlineStr">
        <is>
          <t>Hardy</t>
        </is>
      </c>
      <c r="J3820" s="48" t="inlineStr">
        <is>
          <t>Aftermath</t>
        </is>
      </c>
      <c r="K3820" s="48" t="inlineStr">
        <is>
          <t>Hardy</t>
        </is>
      </c>
      <c r="L3820" s="48" t="inlineStr">
        <is>
          <t>Magnet Pull</t>
        </is>
      </c>
      <c r="M3820" s="48" t="inlineStr">
        <is>
          <t>Hardy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Hardy</t>
        </is>
      </c>
      <c r="F3830" s="48" t="inlineStr">
        <is>
          <t>Static</t>
        </is>
      </c>
      <c r="G3830" s="48" t="inlineStr">
        <is>
          <t>Hardy</t>
        </is>
      </c>
      <c r="H3830" s="48" t="inlineStr">
        <is>
          <t>Lightning Rod</t>
        </is>
      </c>
      <c r="I3830" s="48" t="inlineStr">
        <is>
          <t>Hardy</t>
        </is>
      </c>
      <c r="J3830" s="48" t="inlineStr">
        <is>
          <t>No Guard</t>
        </is>
      </c>
      <c r="K3830" s="48" t="inlineStr">
        <is>
          <t>Hardy</t>
        </is>
      </c>
      <c r="L3830" s="48" t="inlineStr">
        <is>
          <t>Aftermath</t>
        </is>
      </c>
      <c r="M3830" s="48" t="inlineStr">
        <is>
          <t>Hardy</t>
        </is>
      </c>
      <c r="N3830" s="48" t="inlineStr">
        <is>
          <t>Magnet Pull</t>
        </is>
      </c>
      <c r="O3830" s="48" t="inlineStr">
        <is>
          <t>Hardy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Hardy</t>
        </is>
      </c>
      <c r="F3840" s="48" t="inlineStr">
        <is>
          <t>Shed Skin</t>
        </is>
      </c>
      <c r="G3840" s="48" t="inlineStr">
        <is>
          <t>Hardy</t>
        </is>
      </c>
      <c r="H3840" s="48" t="inlineStr">
        <is>
          <t>Chlorophyll</t>
        </is>
      </c>
      <c r="I3840" s="48" t="inlineStr">
        <is>
          <t>Hardy</t>
        </is>
      </c>
      <c r="J3840" s="48" t="inlineStr">
        <is>
          <t>Unburden</t>
        </is>
      </c>
      <c r="K3840" s="48" t="inlineStr">
        <is>
          <t>Hardy</t>
        </is>
      </c>
      <c r="L3840" s="48" t="inlineStr">
        <is>
          <t>Filter</t>
        </is>
      </c>
      <c r="M3840" s="48" t="inlineStr">
        <is>
          <t>Hardy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Hardy</t>
        </is>
      </c>
      <c r="F3850" s="48" t="inlineStr">
        <is>
          <t>Insomnia</t>
        </is>
      </c>
      <c r="G3850" s="48" t="inlineStr">
        <is>
          <t>Hardy</t>
        </is>
      </c>
      <c r="H3850" s="48" t="inlineStr">
        <is>
          <t>Chlorophyll</t>
        </is>
      </c>
      <c r="I3850" s="48" t="inlineStr">
        <is>
          <t>Hardy</t>
        </is>
      </c>
      <c r="J3850" s="48" t="inlineStr">
        <is>
          <t>Shed Skin</t>
        </is>
      </c>
      <c r="K3850" s="48" t="inlineStr">
        <is>
          <t>Hardy</t>
        </is>
      </c>
      <c r="L3850" s="48" t="inlineStr">
        <is>
          <t>Unburden</t>
        </is>
      </c>
      <c r="M3850" s="48" t="inlineStr">
        <is>
          <t>Hardy</t>
        </is>
      </c>
      <c r="N3850" s="48" t="inlineStr">
        <is>
          <t>Filter</t>
        </is>
      </c>
      <c r="O3850" s="48" t="inlineStr">
        <is>
          <t>Hardy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Hardy</t>
        </is>
      </c>
      <c r="F3860" s="48" t="inlineStr">
        <is>
          <t>Tinted Lens</t>
        </is>
      </c>
      <c r="G3860" s="48" t="inlineStr">
        <is>
          <t>Hardy</t>
        </is>
      </c>
      <c r="H3860" s="48" t="inlineStr">
        <is>
          <t>Chlorophyll</t>
        </is>
      </c>
      <c r="I3860" s="48" t="inlineStr">
        <is>
          <t>Hardy</t>
        </is>
      </c>
      <c r="J3860" s="48" t="inlineStr">
        <is>
          <t>Shed Skin</t>
        </is>
      </c>
      <c r="K3860" s="48" t="inlineStr">
        <is>
          <t>Hardy</t>
        </is>
      </c>
      <c r="L3860" s="48" t="inlineStr">
        <is>
          <t>Unburden</t>
        </is>
      </c>
      <c r="M3860" s="48" t="inlineStr">
        <is>
          <t>Hardy</t>
        </is>
      </c>
      <c r="N3860" s="48" t="inlineStr">
        <is>
          <t>Filter</t>
        </is>
      </c>
      <c r="O3860" s="48" t="inlineStr">
        <is>
          <t>Hardy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Hardy</t>
        </is>
      </c>
      <c r="F3870" s="48" t="inlineStr">
        <is>
          <t>Tinted Lens</t>
        </is>
      </c>
      <c r="G3870" s="48" t="inlineStr">
        <is>
          <t>Hardy</t>
        </is>
      </c>
      <c r="H3870" s="48" t="inlineStr">
        <is>
          <t>Chlorophyll</t>
        </is>
      </c>
      <c r="I3870" s="48" t="inlineStr">
        <is>
          <t>Hardy</t>
        </is>
      </c>
      <c r="J3870" s="48" t="inlineStr">
        <is>
          <t>Unburden</t>
        </is>
      </c>
      <c r="K3870" s="48" t="inlineStr">
        <is>
          <t>Hardy</t>
        </is>
      </c>
      <c r="L3870" s="48" t="inlineStr">
        <is>
          <t>Thick Fat</t>
        </is>
      </c>
      <c r="M3870" s="48" t="inlineStr">
        <is>
          <t>Hardy</t>
        </is>
      </c>
      <c r="N3870" s="48" t="inlineStr">
        <is>
          <t>Filter</t>
        </is>
      </c>
      <c r="O3870" s="48" t="inlineStr">
        <is>
          <t>Hardy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4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IFERROR(_xlfn.IMAGE("https://play.pokemonshowdown.com/sprites/gen5/slaking.png"),"")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Slaking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Own Tempo</t>
        </is>
      </c>
      <c r="G10" s="48" t="inlineStr">
        <is>
          <t>Hardy</t>
        </is>
      </c>
      <c r="H10" s="48" t="inlineStr">
        <is>
          <t>Own Tempo</t>
        </is>
      </c>
      <c r="I10" s="48" t="inlineStr">
        <is>
          <t>Hardy</t>
        </is>
      </c>
      <c r="J10" s="48" t="inlineStr">
        <is>
          <t>Poison Point</t>
        </is>
      </c>
      <c r="K10" s="48" t="inlineStr">
        <is>
          <t>Hardy</t>
        </is>
      </c>
      <c r="L10" s="48" t="inlineStr">
        <is>
          <t>Intimidate</t>
        </is>
      </c>
      <c r="M10" s="48" t="inlineStr">
        <is>
          <t>Hardy</t>
        </is>
      </c>
      <c r="N10" s="48" t="inlineStr">
        <is>
          <t>Guts</t>
        </is>
      </c>
      <c r="O10" s="48" t="inlineStr">
        <is>
          <t>Hardy</t>
        </is>
      </c>
      <c r="P10" s="48" t="inlineStr">
        <is>
          <t>Slow Start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Lum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Slash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Bite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Hardy</t>
        </is>
      </c>
      <c r="F22" s="48" t="inlineStr">
        <is>
          <t>Intimidate</t>
        </is>
      </c>
      <c r="G22" s="48" t="inlineStr">
        <is>
          <t>Hardy</t>
        </is>
      </c>
      <c r="H22" s="48" t="inlineStr">
        <is>
          <t>Overcoat</t>
        </is>
      </c>
      <c r="I22" s="48" t="inlineStr">
        <is>
          <t>Hardy</t>
        </is>
      </c>
      <c r="J22" s="48" t="inlineStr">
        <is>
          <t>Hustle</t>
        </is>
      </c>
      <c r="K22" s="48" t="inlineStr">
        <is>
          <t>Hardy</t>
        </is>
      </c>
      <c r="L22" s="48" t="inlineStr">
        <is>
          <t>Intimidate</t>
        </is>
      </c>
      <c r="M22" s="48" t="inlineStr">
        <is>
          <t>Hardy</t>
        </is>
      </c>
      <c r="N22" s="48" t="inlineStr">
        <is>
          <t>Moxie</t>
        </is>
      </c>
      <c r="O22" s="48" t="inlineStr">
        <is>
          <t>Hardy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IFERROR(_xlfn.IMAGE("https://play.pokemonshowdown.com/sprites/gen5/magcargo.png"),"")</f>
        <v/>
      </c>
      <c r="I32" s="43">
        <f>IFERROR(_xlfn.IMAGE("https://play.pokemonshowdown.com/sprites/gen5/gligar.png"),"")</f>
        <v/>
      </c>
      <c r="K32" s="43">
        <f>IFERROR(_xlfn.IMAGE("https://play.pokemonshowdown.com/sprites/gen5/anorith.png"),"")</f>
        <v/>
      </c>
      <c r="M32" s="43">
        <f>IFERROR(_xlfn.IMAGE("https://play.pokemonshowdown.com/sprites/gen5/gabite.png"),"")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25 Magcargo</t>
        </is>
      </c>
      <c r="H33" s="46" t="n"/>
      <c r="I33" s="45" t="inlineStr">
        <is>
          <t>Lv 25 Gligar</t>
        </is>
      </c>
      <c r="J33" s="46" t="n"/>
      <c r="K33" s="45" t="inlineStr">
        <is>
          <t>Lv 24 Anorith</t>
        </is>
      </c>
      <c r="L33" s="46" t="n"/>
      <c r="M33" s="45" t="inlineStr">
        <is>
          <t>Lv 24 Gabite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Hardy</t>
        </is>
      </c>
      <c r="F34" s="48" t="inlineStr">
        <is>
          <t>Sturdy</t>
        </is>
      </c>
      <c r="G34" s="48" t="inlineStr">
        <is>
          <t>Hardy</t>
        </is>
      </c>
      <c r="H34" s="48" t="inlineStr">
        <is>
          <t>Solid Rock</t>
        </is>
      </c>
      <c r="I34" s="48" t="inlineStr">
        <is>
          <t>Hardy</t>
        </is>
      </c>
      <c r="J34" s="48" t="inlineStr">
        <is>
          <t>Hyper Cutter</t>
        </is>
      </c>
      <c r="K34" s="48" t="inlineStr">
        <is>
          <t>Hardy</t>
        </is>
      </c>
      <c r="L34" s="48" t="inlineStr">
        <is>
          <t>Battle Armor</t>
        </is>
      </c>
      <c r="M34" s="48" t="inlineStr">
        <is>
          <t>Hardy</t>
        </is>
      </c>
      <c r="N34" s="48" t="inlineStr">
        <is>
          <t>Rough Skin</t>
        </is>
      </c>
      <c r="O34" s="48" t="inlineStr">
        <is>
          <t>Hardy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Charcoal</t>
        </is>
      </c>
      <c r="H35" s="46" t="n"/>
      <c r="I35" s="49" t="inlineStr">
        <is>
          <t>Eviolite</t>
        </is>
      </c>
      <c r="J35" s="46" t="n"/>
      <c r="K35" s="49" t="inlineStr">
        <is>
          <t>(None)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58" t="inlineStr">
        <is>
          <t>Flamethrower</t>
        </is>
      </c>
      <c r="H36" s="46" t="n"/>
      <c r="I36" s="51" t="inlineStr">
        <is>
          <t>Swords Dance</t>
        </is>
      </c>
      <c r="J36" s="46" t="n"/>
      <c r="K36" s="62" t="inlineStr">
        <is>
          <t>Rock Slide</t>
        </is>
      </c>
      <c r="L36" s="46" t="n"/>
      <c r="M36" s="53" t="inlineStr">
        <is>
          <t>Earthquake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Ancient Power</t>
        </is>
      </c>
      <c r="H37" s="46" t="n"/>
      <c r="I37" s="53" t="inlineStr">
        <is>
          <t>Earthquake</t>
        </is>
      </c>
      <c r="J37" s="46" t="n"/>
      <c r="K37" s="54" t="inlineStr">
        <is>
          <t>X-Scissor</t>
        </is>
      </c>
      <c r="L37" s="46" t="n"/>
      <c r="M37" s="68" t="inlineStr">
        <is>
          <t>Dragon Claw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3" t="inlineStr">
        <is>
          <t>Earth Power</t>
        </is>
      </c>
      <c r="H38" s="46" t="n"/>
      <c r="I38" s="60" t="inlineStr">
        <is>
          <t>Aerial Ace</t>
        </is>
      </c>
      <c r="J38" s="46" t="n"/>
      <c r="K38" s="61" t="inlineStr">
        <is>
          <t>Aqua Jet</t>
        </is>
      </c>
      <c r="L38" s="46" t="n"/>
      <c r="M38" s="58" t="inlineStr">
        <is>
          <t>Flamethrower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1" t="inlineStr">
        <is>
          <t>Recover</t>
        </is>
      </c>
      <c r="H39" s="46" t="n"/>
      <c r="I39" s="62" t="inlineStr">
        <is>
          <t>Rock Slide</t>
        </is>
      </c>
      <c r="J39" s="46" t="n"/>
      <c r="K39" s="60" t="inlineStr">
        <is>
          <t>Aerial Ace</t>
        </is>
      </c>
      <c r="L39" s="46" t="n"/>
      <c r="M39" s="50" t="inlineStr">
        <is>
          <t>Crunch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Dewford Town - Gym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Leader</t>
        </is>
      </c>
      <c r="C43" s="41" t="n"/>
      <c r="D43" s="41" t="n"/>
      <c r="E43" s="42" t="inlineStr">
        <is>
          <t>Leader Brawly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IFERROR(_xlfn.IMAGE("https://play.pokemonshowdown.com/sprites/gen5/machop.png"),"")</f>
        <v/>
      </c>
      <c r="G44" s="43">
        <f>IFERROR(_xlfn.IMAGE("https://play.pokemonshowdown.com/sprites/gen5/meditite.png"),"")</f>
        <v/>
      </c>
      <c r="I44" s="43">
        <f>IFERROR(_xlfn.IMAGE("https://play.pokemonshowdown.com/sprites/gen5/makuhita.png"),"")</f>
        <v/>
      </c>
      <c r="Q44" s="44" t="inlineStr">
        <is>
          <t>Mandatory
Items: Super Potion / Super Potion</t>
        </is>
      </c>
    </row>
    <row r="45">
      <c r="E45" s="45" t="inlineStr">
        <is>
          <t>Lv 16 Machop</t>
        </is>
      </c>
      <c r="F45" s="46" t="n"/>
      <c r="G45" s="45" t="inlineStr">
        <is>
          <t>Lv 16 Meditite</t>
        </is>
      </c>
      <c r="H45" s="46" t="n"/>
      <c r="I45" s="45" t="inlineStr">
        <is>
          <t>Lv 19 Makuhita</t>
        </is>
      </c>
      <c r="J45" s="46" t="n"/>
      <c r="Q45" s="47" t="inlineStr">
        <is>
          <t>Pokémon</t>
        </is>
      </c>
    </row>
    <row r="46">
      <c r="E46" s="48" t="inlineStr">
        <is>
          <t>Hardy</t>
        </is>
      </c>
      <c r="F46" s="48" t="inlineStr">
        <is>
          <t>No Guard</t>
        </is>
      </c>
      <c r="G46" s="48" t="inlineStr">
        <is>
          <t>Hardy</t>
        </is>
      </c>
      <c r="H46" s="48" t="inlineStr">
        <is>
          <t>Pure Power</t>
        </is>
      </c>
      <c r="I46" s="48" t="inlineStr">
        <is>
          <t>Hardy</t>
        </is>
      </c>
      <c r="J46" s="48" t="inlineStr">
        <is>
          <t>Guts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(None)</t>
        </is>
      </c>
      <c r="F47" s="46" t="n"/>
      <c r="G47" s="49" t="inlineStr">
        <is>
          <t>(None)</t>
        </is>
      </c>
      <c r="H47" s="46" t="n"/>
      <c r="I47" s="49" t="inlineStr">
        <is>
          <t>Sitrus Berry</t>
        </is>
      </c>
      <c r="J47" s="46" t="n"/>
      <c r="Q47" s="47" t="inlineStr">
        <is>
          <t>Item</t>
        </is>
      </c>
    </row>
    <row r="48">
      <c r="B48" s="44" t="inlineStr">
        <is>
          <t>Smart Trainer</t>
        </is>
      </c>
      <c r="E48" s="65" t="inlineStr">
        <is>
          <t>Karate Chop</t>
        </is>
      </c>
      <c r="F48" s="46" t="n"/>
      <c r="G48" s="65" t="inlineStr">
        <is>
          <t>Focus Punch</t>
        </is>
      </c>
      <c r="H48" s="46" t="n"/>
      <c r="I48" s="65" t="inlineStr">
        <is>
          <t>Arm Thrust</t>
        </is>
      </c>
      <c r="J48" s="46" t="n"/>
      <c r="Q48" s="47" t="inlineStr">
        <is>
          <t>Moves</t>
        </is>
      </c>
    </row>
    <row r="49">
      <c r="E49" s="65" t="inlineStr">
        <is>
          <t>Low Kick</t>
        </is>
      </c>
      <c r="F49" s="46" t="n"/>
      <c r="G49" s="63" t="inlineStr">
        <is>
          <t>Light Screen</t>
        </is>
      </c>
      <c r="H49" s="46" t="n"/>
      <c r="I49" s="65" t="inlineStr">
        <is>
          <t>Vital Throw</t>
        </is>
      </c>
      <c r="J49" s="46" t="n"/>
    </row>
    <row r="50">
      <c r="E50" s="65" t="inlineStr">
        <is>
          <t>Seismic Toss</t>
        </is>
      </c>
      <c r="F50" s="46" t="n"/>
      <c r="G50" s="63" t="inlineStr">
        <is>
          <t>Reflect</t>
        </is>
      </c>
      <c r="H50" s="46" t="n"/>
      <c r="I50" s="65" t="inlineStr">
        <is>
          <t>Reversal</t>
        </is>
      </c>
      <c r="J50" s="46" t="n"/>
    </row>
    <row r="51">
      <c r="E51" s="65" t="inlineStr">
        <is>
          <t>Bulk Up</t>
        </is>
      </c>
      <c r="F51" s="46" t="n"/>
      <c r="G51" s="65" t="inlineStr">
        <is>
          <t>Bulk Up</t>
        </is>
      </c>
      <c r="H51" s="46" t="n"/>
      <c r="I51" s="65" t="inlineStr">
        <is>
          <t>Bulk Up</t>
        </is>
      </c>
      <c r="J51" s="46" t="n"/>
    </row>
    <row r="53" ht="24" customHeight="1">
      <c r="B53" s="38" t="inlineStr">
        <is>
          <t>Mauville City - Gym   (Split 4)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Wattson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IFERROR(_xlfn.IMAGE("https://play.pokemonshowdown.com/sprites/gen5/voltorb.png"),"")</f>
        <v/>
      </c>
      <c r="G56" s="43">
        <f>IFERROR(_xlfn.IMAGE("https://play.pokemonshowdown.com/sprites/gen5/electrike.png"),"")</f>
        <v/>
      </c>
      <c r="I56" s="43">
        <f>IFERROR(_xlfn.IMAGE("https://play.pokemonshowdown.com/sprites/gen5/magneton.png"),"")</f>
        <v/>
      </c>
      <c r="K56" s="43">
        <f>IFERROR(_xlfn.IMAGE("https://play.pokemonshowdown.com/sprites/gen5/manectric.png"),"")</f>
        <v/>
      </c>
      <c r="Q56" s="44" t="inlineStr">
        <is>
          <t>Mandatory
Items: Super Potion / Super Potion</t>
        </is>
      </c>
    </row>
    <row r="57">
      <c r="E57" s="45" t="inlineStr">
        <is>
          <t>Lv 20 Voltorb</t>
        </is>
      </c>
      <c r="F57" s="46" t="n"/>
      <c r="G57" s="45" t="inlineStr">
        <is>
          <t>Lv 20 Electrike</t>
        </is>
      </c>
      <c r="H57" s="46" t="n"/>
      <c r="I57" s="45" t="inlineStr">
        <is>
          <t>Lv 22 Magneton</t>
        </is>
      </c>
      <c r="J57" s="46" t="n"/>
      <c r="K57" s="45" t="inlineStr">
        <is>
          <t>Lv 24 Manectric</t>
        </is>
      </c>
      <c r="L57" s="46" t="n"/>
      <c r="Q57" s="47" t="inlineStr">
        <is>
          <t>Pokémon</t>
        </is>
      </c>
    </row>
    <row r="58">
      <c r="E58" s="48" t="inlineStr">
        <is>
          <t>Hardy</t>
        </is>
      </c>
      <c r="F58" s="48" t="inlineStr">
        <is>
          <t>Aftermath</t>
        </is>
      </c>
      <c r="G58" s="48" t="inlineStr">
        <is>
          <t>Hardy</t>
        </is>
      </c>
      <c r="H58" s="48" t="inlineStr">
        <is>
          <t>Lightning Rod</t>
        </is>
      </c>
      <c r="I58" s="48" t="inlineStr">
        <is>
          <t>Hardy</t>
        </is>
      </c>
      <c r="J58" s="48" t="inlineStr">
        <is>
          <t>Magnet Pull</t>
        </is>
      </c>
      <c r="K58" s="48" t="inlineStr">
        <is>
          <t>Hardy</t>
        </is>
      </c>
      <c r="L58" s="48" t="inlineStr">
        <is>
          <t>Lightning Rod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(None)</t>
        </is>
      </c>
      <c r="J59" s="46" t="n"/>
      <c r="K59" s="49" t="inlineStr">
        <is>
          <t>Sitrus Berry</t>
        </is>
      </c>
      <c r="L59" s="46" t="n"/>
      <c r="Q59" s="47" t="inlineStr">
        <is>
          <t>Item</t>
        </is>
      </c>
    </row>
    <row r="60">
      <c r="B60" s="44" t="inlineStr">
        <is>
          <t>Smart Trainer</t>
        </is>
      </c>
      <c r="E60" s="62" t="inlineStr">
        <is>
          <t>Rollout</t>
        </is>
      </c>
      <c r="F60" s="46" t="n"/>
      <c r="G60" s="52" t="inlineStr">
        <is>
          <t>Shock Wave</t>
        </is>
      </c>
      <c r="H60" s="46" t="n"/>
      <c r="I60" s="51" t="inlineStr">
        <is>
          <t>Supersonic</t>
        </is>
      </c>
      <c r="J60" s="46" t="n"/>
      <c r="K60" s="51" t="inlineStr">
        <is>
          <t>Quick Attack</t>
        </is>
      </c>
      <c r="L60" s="46" t="n"/>
      <c r="Q60" s="47" t="inlineStr">
        <is>
          <t>Moves</t>
        </is>
      </c>
    </row>
    <row r="61">
      <c r="E61" s="52" t="inlineStr">
        <is>
          <t>Spark</t>
        </is>
      </c>
      <c r="F61" s="46" t="n"/>
      <c r="G61" s="51" t="inlineStr">
        <is>
          <t>Leer</t>
        </is>
      </c>
      <c r="H61" s="46" t="n"/>
      <c r="I61" s="52" t="inlineStr">
        <is>
          <t>Shock Wave</t>
        </is>
      </c>
      <c r="J61" s="46" t="n"/>
      <c r="K61" s="52" t="inlineStr">
        <is>
          <t>Thunder Wave</t>
        </is>
      </c>
      <c r="L61" s="46" t="n"/>
    </row>
    <row r="62">
      <c r="E62" s="51" t="inlineStr">
        <is>
          <t>Self Destruct</t>
        </is>
      </c>
      <c r="F62" s="46" t="n"/>
      <c r="G62" s="51" t="inlineStr">
        <is>
          <t>Quick Attack</t>
        </is>
      </c>
      <c r="H62" s="46" t="n"/>
      <c r="I62" s="52" t="inlineStr">
        <is>
          <t>Thunder Wave</t>
        </is>
      </c>
      <c r="J62" s="46" t="n"/>
      <c r="K62" s="52" t="inlineStr">
        <is>
          <t>Shock Wave</t>
        </is>
      </c>
      <c r="L62" s="46" t="n"/>
    </row>
    <row r="63">
      <c r="E63" s="52" t="inlineStr">
        <is>
          <t>Shock Wave</t>
        </is>
      </c>
      <c r="F63" s="46" t="n"/>
      <c r="G63" s="51" t="inlineStr">
        <is>
          <t>Howl</t>
        </is>
      </c>
      <c r="H63" s="46" t="n"/>
      <c r="I63" s="51" t="inlineStr">
        <is>
          <t>Sonic Boom</t>
        </is>
      </c>
      <c r="J63" s="46" t="n"/>
      <c r="K63" s="51" t="inlineStr">
        <is>
          <t>Howl</t>
        </is>
      </c>
      <c r="L63" s="46" t="n"/>
    </row>
    <row r="65" ht="24" customHeight="1">
      <c r="B65" s="38" t="inlineStr">
        <is>
          <t>Mt Chimney   (Split 5)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Magma Leader</t>
        </is>
      </c>
      <c r="C67" s="41" t="n"/>
      <c r="D67" s="41" t="n"/>
      <c r="E67" s="42" t="inlineStr">
        <is>
          <t>Magma Leader Maxie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IFERROR(_xlfn.IMAGE("https://play.pokemonshowdown.com/sprites/gen5/mightyena.png"),"")</f>
        <v/>
      </c>
      <c r="G68" s="43">
        <f>IFERROR(_xlfn.IMAGE("https://play.pokemonshowdown.com/sprites/gen5/zubat.png"),"")</f>
        <v/>
      </c>
      <c r="I68" s="43">
        <f>IFERROR(_xlfn.IMAGE("https://play.pokemonshowdown.com/sprites/gen5/camerupt.png"),"")</f>
        <v/>
      </c>
      <c r="Q68" s="44" t="inlineStr">
        <is>
          <t>Optional
Items: Super Potion / Super Potion</t>
        </is>
      </c>
    </row>
    <row r="69">
      <c r="E69" s="45" t="inlineStr">
        <is>
          <t>Lv 24 Mightyena</t>
        </is>
      </c>
      <c r="F69" s="46" t="n"/>
      <c r="G69" s="45" t="inlineStr">
        <is>
          <t>Lv 24 Zubat</t>
        </is>
      </c>
      <c r="H69" s="46" t="n"/>
      <c r="I69" s="45" t="inlineStr">
        <is>
          <t>Lv 25 Camerupt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Intimidate</t>
        </is>
      </c>
      <c r="G70" s="48" t="inlineStr">
        <is>
          <t>Hardy</t>
        </is>
      </c>
      <c r="H70" s="48" t="inlineStr">
        <is>
          <t>Inner Focus</t>
        </is>
      </c>
      <c r="I70" s="48" t="inlineStr">
        <is>
          <t>Hardy</t>
        </is>
      </c>
      <c r="J70" s="48" t="inlineStr">
        <is>
          <t>Magma Armor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Yawn</t>
        </is>
      </c>
      <c r="F72" s="46" t="n"/>
      <c r="G72" s="60" t="inlineStr">
        <is>
          <t>Wing Attack</t>
        </is>
      </c>
      <c r="H72" s="46" t="n"/>
      <c r="I72" s="53" t="inlineStr">
        <is>
          <t>Bulldoze</t>
        </is>
      </c>
      <c r="J72" s="46" t="n"/>
      <c r="Q72" s="47" t="inlineStr">
        <is>
          <t>Moves</t>
        </is>
      </c>
    </row>
    <row r="73">
      <c r="E73" s="50" t="inlineStr">
        <is>
          <t>Bite</t>
        </is>
      </c>
      <c r="F73" s="46" t="n"/>
      <c r="G73" s="55" t="inlineStr">
        <is>
          <t>Poison Sting</t>
        </is>
      </c>
      <c r="H73" s="46" t="n"/>
      <c r="I73" s="58" t="inlineStr">
        <is>
          <t>Flare Blitz</t>
        </is>
      </c>
      <c r="J73" s="46" t="n"/>
    </row>
    <row r="74">
      <c r="E74" s="51" t="inlineStr">
        <is>
          <t>Odor Sleuth</t>
        </is>
      </c>
      <c r="F74" s="46" t="n"/>
      <c r="G74" s="66" t="inlineStr">
        <is>
          <t>Steel Wing</t>
        </is>
      </c>
      <c r="H74" s="46" t="n"/>
      <c r="I74" s="51" t="inlineStr">
        <is>
          <t>Self Destruct</t>
        </is>
      </c>
      <c r="J74" s="46" t="n"/>
    </row>
    <row r="75">
      <c r="E75" s="50" t="inlineStr">
        <is>
          <t>Assurance</t>
        </is>
      </c>
      <c r="F75" s="46" t="n"/>
      <c r="G75" s="50" t="inlineStr">
        <is>
          <t>Bite</t>
        </is>
      </c>
      <c r="H75" s="46" t="n"/>
      <c r="I75" s="53" t="inlineStr">
        <is>
          <t>Earth Power</t>
        </is>
      </c>
      <c r="J75" s="46" t="n"/>
    </row>
    <row r="77" ht="24" customHeight="1">
      <c r="B77" s="38" t="inlineStr">
        <is>
          <t>Magma Hideout - 4F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Magma Leader</t>
        </is>
      </c>
      <c r="C79" s="41" t="n"/>
      <c r="D79" s="41" t="n"/>
      <c r="E79" s="42" t="inlineStr">
        <is>
          <t>Magma Leader Maxie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IFERROR(_xlfn.IMAGE("https://play.pokemonshowdown.com/sprites/gen5/mightyena.png"),"")</f>
        <v/>
      </c>
      <c r="G80" s="43">
        <f>IFERROR(_xlfn.IMAGE("https://play.pokemonshowdown.com/sprites/gen5/crobat.png"),"")</f>
        <v/>
      </c>
      <c r="I80" s="43">
        <f>IFERROR(_xlfn.IMAGE("https://play.pokemonshowdown.com/sprites/gen5/camerupt.png"),"")</f>
        <v/>
      </c>
      <c r="Q80" s="44" t="inlineStr">
        <is>
          <t>Optional
Items: Super Potion / Super Potion</t>
        </is>
      </c>
    </row>
    <row r="81">
      <c r="E81" s="45" t="inlineStr">
        <is>
          <t>Lv 37 Mightyena</t>
        </is>
      </c>
      <c r="F81" s="46" t="n"/>
      <c r="G81" s="45" t="inlineStr">
        <is>
          <t>Lv 38 Crobat</t>
        </is>
      </c>
      <c r="H81" s="46" t="n"/>
      <c r="I81" s="45" t="inlineStr">
        <is>
          <t>Lv 39 Camerupt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Intimidate</t>
        </is>
      </c>
      <c r="G82" s="48" t="inlineStr">
        <is>
          <t>Hardy</t>
        </is>
      </c>
      <c r="H82" s="48" t="inlineStr">
        <is>
          <t>Inner Focus</t>
        </is>
      </c>
      <c r="I82" s="48" t="inlineStr">
        <is>
          <t>Hardy</t>
        </is>
      </c>
      <c r="J82" s="48" t="inlineStr">
        <is>
          <t>Magma Armor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1" t="inlineStr">
        <is>
          <t>Odor Sleuth</t>
        </is>
      </c>
      <c r="F84" s="46" t="n"/>
      <c r="G84" s="50" t="inlineStr">
        <is>
          <t>Bite</t>
        </is>
      </c>
      <c r="H84" s="46" t="n"/>
      <c r="I84" s="53" t="inlineStr">
        <is>
          <t>Earth Power</t>
        </is>
      </c>
      <c r="J84" s="46" t="n"/>
      <c r="Q84" s="47" t="inlineStr">
        <is>
          <t>Moves</t>
        </is>
      </c>
    </row>
    <row r="85">
      <c r="E85" s="50" t="inlineStr">
        <is>
          <t>Assurance</t>
        </is>
      </c>
      <c r="F85" s="46" t="n"/>
      <c r="G85" s="66" t="inlineStr">
        <is>
          <t>Steel Wing</t>
        </is>
      </c>
      <c r="H85" s="46" t="n"/>
      <c r="I85" s="62" t="inlineStr">
        <is>
          <t>Rock Slide</t>
        </is>
      </c>
      <c r="J85" s="46" t="n"/>
    </row>
    <row r="86">
      <c r="E86" s="52" t="inlineStr">
        <is>
          <t>Thunder Fang</t>
        </is>
      </c>
      <c r="F86" s="46" t="n"/>
      <c r="G86" s="60" t="inlineStr">
        <is>
          <t>Aerial Ace</t>
        </is>
      </c>
      <c r="H86" s="46" t="n"/>
      <c r="I86" s="58" t="inlineStr">
        <is>
          <t>Lava Plume</t>
        </is>
      </c>
      <c r="J86" s="46" t="n"/>
    </row>
    <row r="87">
      <c r="E87" s="55" t="inlineStr">
        <is>
          <t>Poison Fang</t>
        </is>
      </c>
      <c r="F87" s="46" t="n"/>
      <c r="G87" s="51" t="inlineStr">
        <is>
          <t>Whirlwind</t>
        </is>
      </c>
      <c r="H87" s="46" t="n"/>
      <c r="I87" s="51" t="inlineStr">
        <is>
          <t>Explosion</t>
        </is>
      </c>
      <c r="J87" s="46" t="n"/>
    </row>
    <row r="89" ht="24" customHeight="1">
      <c r="B89" s="38" t="inlineStr">
        <is>
          <t>Lavaridge Town - Gym - 1F   (Split 5)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Leader</t>
        </is>
      </c>
      <c r="C91" s="41" t="n"/>
      <c r="D91" s="41" t="n"/>
      <c r="E91" s="42" t="inlineStr">
        <is>
          <t>Leader Flannery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IFERROR(_xlfn.IMAGE("https://play.pokemonshowdown.com/sprites/gen5/numel.png"),"")</f>
        <v/>
      </c>
      <c r="G92" s="43">
        <f>IFERROR(_xlfn.IMAGE("https://play.pokemonshowdown.com/sprites/gen5/slugma.png"),"")</f>
        <v/>
      </c>
      <c r="I92" s="43">
        <f>IFERROR(_xlfn.IMAGE("https://play.pokemonshowdown.com/sprites/gen5/camerupt.png"),"")</f>
        <v/>
      </c>
      <c r="K92" s="43">
        <f>IFERROR(_xlfn.IMAGE("https://play.pokemonshowdown.com/sprites/gen5/torkoal.png"),"")</f>
        <v/>
      </c>
      <c r="Q92" s="44" t="inlineStr">
        <is>
          <t>Mandatory
Items: Hyper Potion / Hyper Potion</t>
        </is>
      </c>
    </row>
    <row r="93">
      <c r="E93" s="45" t="inlineStr">
        <is>
          <t>Lv 24 Numel</t>
        </is>
      </c>
      <c r="F93" s="46" t="n"/>
      <c r="G93" s="45" t="inlineStr">
        <is>
          <t>Lv 24 Slugma</t>
        </is>
      </c>
      <c r="H93" s="46" t="n"/>
      <c r="I93" s="45" t="inlineStr">
        <is>
          <t>Lv 26 Camerupt</t>
        </is>
      </c>
      <c r="J93" s="46" t="n"/>
      <c r="K93" s="45" t="inlineStr">
        <is>
          <t>Lv 29 Torkoal</t>
        </is>
      </c>
      <c r="L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Oblivious</t>
        </is>
      </c>
      <c r="G94" s="48" t="inlineStr">
        <is>
          <t>Hardy</t>
        </is>
      </c>
      <c r="H94" s="48" t="inlineStr">
        <is>
          <t>Magma Armor</t>
        </is>
      </c>
      <c r="I94" s="48" t="inlineStr">
        <is>
          <t>Hardy</t>
        </is>
      </c>
      <c r="J94" s="48" t="inlineStr">
        <is>
          <t>Magma Armor</t>
        </is>
      </c>
      <c r="K94" s="48" t="inlineStr">
        <is>
          <t>Hardy</t>
        </is>
      </c>
      <c r="L94" s="48" t="inlineStr">
        <is>
          <t>White Smoke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K95" s="49" t="inlineStr">
        <is>
          <t>White Herb</t>
        </is>
      </c>
      <c r="L95" s="46" t="n"/>
      <c r="Q95" s="47" t="inlineStr">
        <is>
          <t>Item</t>
        </is>
      </c>
    </row>
    <row r="96">
      <c r="B96" s="44" t="inlineStr">
        <is>
          <t>Smart Trainer</t>
        </is>
      </c>
      <c r="E96" s="58" t="inlineStr">
        <is>
          <t>Overheat</t>
        </is>
      </c>
      <c r="F96" s="46" t="n"/>
      <c r="G96" s="58" t="inlineStr">
        <is>
          <t>Overheat</t>
        </is>
      </c>
      <c r="H96" s="46" t="n"/>
      <c r="I96" s="58" t="inlineStr">
        <is>
          <t>Overheat</t>
        </is>
      </c>
      <c r="J96" s="46" t="n"/>
      <c r="K96" s="58" t="inlineStr">
        <is>
          <t>Overheat</t>
        </is>
      </c>
      <c r="L96" s="46" t="n"/>
      <c r="Q96" s="47" t="inlineStr">
        <is>
          <t>Moves</t>
        </is>
      </c>
    </row>
    <row r="97">
      <c r="E97" s="51" t="inlineStr">
        <is>
          <t>Take Down</t>
        </is>
      </c>
      <c r="F97" s="46" t="n"/>
      <c r="G97" s="55" t="inlineStr">
        <is>
          <t>Smog</t>
        </is>
      </c>
      <c r="H97" s="46" t="n"/>
      <c r="I97" s="51" t="inlineStr">
        <is>
          <t>Tackle</t>
        </is>
      </c>
      <c r="J97" s="46" t="n"/>
      <c r="K97" s="58" t="inlineStr">
        <is>
          <t>Sunny Day</t>
        </is>
      </c>
      <c r="L97" s="46" t="n"/>
    </row>
    <row r="98">
      <c r="E98" s="53" t="inlineStr">
        <is>
          <t>Magnitude</t>
        </is>
      </c>
      <c r="F98" s="46" t="n"/>
      <c r="G98" s="63" t="inlineStr">
        <is>
          <t>Light Screen</t>
        </is>
      </c>
      <c r="H98" s="46" t="n"/>
      <c r="I98" s="58" t="inlineStr">
        <is>
          <t>Sunny Day</t>
        </is>
      </c>
      <c r="J98" s="46" t="n"/>
      <c r="K98" s="51" t="inlineStr">
        <is>
          <t>Body Slam</t>
        </is>
      </c>
      <c r="L98" s="46" t="n"/>
    </row>
    <row r="99">
      <c r="E99" s="58" t="inlineStr">
        <is>
          <t>Sunny Day</t>
        </is>
      </c>
      <c r="F99" s="46" t="n"/>
      <c r="G99" s="58" t="inlineStr">
        <is>
          <t>Sunny Day</t>
        </is>
      </c>
      <c r="H99" s="46" t="n"/>
      <c r="I99" s="51" t="inlineStr">
        <is>
          <t>Attract</t>
        </is>
      </c>
      <c r="J99" s="46" t="n"/>
      <c r="K99" s="51" t="inlineStr">
        <is>
          <t>Attract</t>
        </is>
      </c>
      <c r="L99" s="46" t="n"/>
    </row>
    <row r="101" ht="24" customHeight="1">
      <c r="B101" s="38" t="inlineStr">
        <is>
          <t>Fortree City - Gym   (Split 6)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Leader</t>
        </is>
      </c>
      <c r="C103" s="41" t="n"/>
      <c r="D103" s="41" t="n"/>
      <c r="E103" s="42" t="inlineStr">
        <is>
          <t>Leader Winona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IFERROR(_xlfn.IMAGE("https://play.pokemonshowdown.com/sprites/gen5/swablu.png"),"")</f>
        <v/>
      </c>
      <c r="G104" s="43">
        <f>IFERROR(_xlfn.IMAGE("https://play.pokemonshowdown.com/sprites/gen5/tropius.png"),"")</f>
        <v/>
      </c>
      <c r="I104" s="43">
        <f>IFERROR(_xlfn.IMAGE("https://play.pokemonshowdown.com/sprites/gen5/pelipper.png"),"")</f>
        <v/>
      </c>
      <c r="K104" s="43">
        <f>IFERROR(_xlfn.IMAGE("https://play.pokemonshowdown.com/sprites/gen5/skarmory.png"),"")</f>
        <v/>
      </c>
      <c r="M104" s="43">
        <f>IFERROR(_xlfn.IMAGE("https://play.pokemonshowdown.com/sprites/gen5/altaria.png"),"")</f>
        <v/>
      </c>
      <c r="Q104" s="44" t="inlineStr">
        <is>
          <t>Mandatory
Items: Hyper Potion / Hyper Potion</t>
        </is>
      </c>
    </row>
    <row r="105">
      <c r="E105" s="45" t="inlineStr">
        <is>
          <t>Lv 29 Swablu</t>
        </is>
      </c>
      <c r="F105" s="46" t="n"/>
      <c r="G105" s="45" t="inlineStr">
        <is>
          <t>Lv 29 Tropius</t>
        </is>
      </c>
      <c r="H105" s="46" t="n"/>
      <c r="I105" s="45" t="inlineStr">
        <is>
          <t>Lv 30 Pelipper</t>
        </is>
      </c>
      <c r="J105" s="46" t="n"/>
      <c r="K105" s="45" t="inlineStr">
        <is>
          <t>Lv 31 Skarmory</t>
        </is>
      </c>
      <c r="L105" s="46" t="n"/>
      <c r="M105" s="45" t="inlineStr">
        <is>
          <t>Lv 33 Altaria</t>
        </is>
      </c>
      <c r="N105" s="46" t="n"/>
      <c r="Q105" s="47" t="inlineStr">
        <is>
          <t>Pokémon</t>
        </is>
      </c>
    </row>
    <row r="106">
      <c r="E106" s="48" t="inlineStr">
        <is>
          <t>Hardy</t>
        </is>
      </c>
      <c r="F106" s="48" t="inlineStr">
        <is>
          <t>Natural Cure</t>
        </is>
      </c>
      <c r="G106" s="48" t="inlineStr">
        <is>
          <t>Hardy</t>
        </is>
      </c>
      <c r="H106" s="48" t="inlineStr">
        <is>
          <t>Chlorophyll</t>
        </is>
      </c>
      <c r="I106" s="48" t="inlineStr">
        <is>
          <t>Hardy</t>
        </is>
      </c>
      <c r="J106" s="48" t="inlineStr">
        <is>
          <t>Unburden</t>
        </is>
      </c>
      <c r="K106" s="48" t="inlineStr">
        <is>
          <t>Hardy</t>
        </is>
      </c>
      <c r="L106" s="48" t="inlineStr">
        <is>
          <t>Filter</t>
        </is>
      </c>
      <c r="M106" s="48" t="inlineStr">
        <is>
          <t>Hardy</t>
        </is>
      </c>
      <c r="N106" s="48" t="inlineStr">
        <is>
          <t>Serene Grace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K107" s="49" t="inlineStr">
        <is>
          <t>(None)</t>
        </is>
      </c>
      <c r="L107" s="46" t="n"/>
      <c r="M107" s="49" t="inlineStr">
        <is>
          <t>Oran Berry</t>
        </is>
      </c>
      <c r="N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1" t="inlineStr">
        <is>
          <t>Perish Song</t>
        </is>
      </c>
      <c r="F108" s="46" t="n"/>
      <c r="G108" s="58" t="inlineStr">
        <is>
          <t>Sunny Day</t>
        </is>
      </c>
      <c r="H108" s="46" t="n"/>
      <c r="I108" s="61" t="inlineStr">
        <is>
          <t>Water Gun</t>
        </is>
      </c>
      <c r="J108" s="46" t="n"/>
      <c r="K108" s="53" t="inlineStr">
        <is>
          <t>Sand Attack</t>
        </is>
      </c>
      <c r="L108" s="46" t="n"/>
      <c r="M108" s="53" t="inlineStr">
        <is>
          <t>Earthquake</t>
        </is>
      </c>
      <c r="N108" s="46" t="n"/>
      <c r="Q108" s="47" t="inlineStr">
        <is>
          <t>Moves</t>
        </is>
      </c>
    </row>
    <row r="109">
      <c r="E109" s="60" t="inlineStr">
        <is>
          <t>Mirror Move</t>
        </is>
      </c>
      <c r="F109" s="46" t="n"/>
      <c r="G109" s="60" t="inlineStr">
        <is>
          <t>Aerial Ace</t>
        </is>
      </c>
      <c r="H109" s="46" t="n"/>
      <c r="I109" s="51" t="inlineStr">
        <is>
          <t>Supersonic</t>
        </is>
      </c>
      <c r="J109" s="46" t="n"/>
      <c r="K109" s="51" t="inlineStr">
        <is>
          <t>Fury Attack</t>
        </is>
      </c>
      <c r="L109" s="46" t="n"/>
      <c r="M109" s="68" t="inlineStr">
        <is>
          <t>Dragon Breath</t>
        </is>
      </c>
      <c r="N109" s="46" t="n"/>
    </row>
    <row r="110">
      <c r="E110" s="51" t="inlineStr">
        <is>
          <t>Safeguard</t>
        </is>
      </c>
      <c r="F110" s="46" t="n"/>
      <c r="G110" s="59" t="inlineStr">
        <is>
          <t>Solar Beam</t>
        </is>
      </c>
      <c r="H110" s="46" t="n"/>
      <c r="I110" s="51" t="inlineStr">
        <is>
          <t>Protect</t>
        </is>
      </c>
      <c r="J110" s="46" t="n"/>
      <c r="K110" s="66" t="inlineStr">
        <is>
          <t>Steel Wing</t>
        </is>
      </c>
      <c r="L110" s="46" t="n"/>
      <c r="M110" s="68" t="inlineStr">
        <is>
          <t>Dragon Dance</t>
        </is>
      </c>
      <c r="N110" s="46" t="n"/>
    </row>
    <row r="111">
      <c r="E111" s="60" t="inlineStr">
        <is>
          <t>Aerial Ace</t>
        </is>
      </c>
      <c r="F111" s="46" t="n"/>
      <c r="G111" s="59" t="inlineStr">
        <is>
          <t>Synthesis</t>
        </is>
      </c>
      <c r="H111" s="46" t="n"/>
      <c r="I111" s="60" t="inlineStr">
        <is>
          <t>Aerial Ace</t>
        </is>
      </c>
      <c r="J111" s="46" t="n"/>
      <c r="K111" s="60" t="inlineStr">
        <is>
          <t>Aerial Ace</t>
        </is>
      </c>
      <c r="L111" s="46" t="n"/>
      <c r="M111" s="60" t="inlineStr">
        <is>
          <t>Aerial Ace</t>
        </is>
      </c>
      <c r="N111" s="46" t="n"/>
    </row>
    <row r="113" ht="24" customHeight="1">
      <c r="B113" s="38" t="inlineStr">
        <is>
          <t>Mossdeep City - Space Center - 2F   (Split 7)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Magma Leader</t>
        </is>
      </c>
      <c r="C115" s="41" t="n"/>
      <c r="D115" s="41" t="n"/>
      <c r="E115" s="42" t="inlineStr">
        <is>
          <t>Magma Leader Maxie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IFERROR(_xlfn.IMAGE("https://play.pokemonshowdown.com/sprites/gen5/mightyena.png"),"")</f>
        <v/>
      </c>
      <c r="G116" s="43">
        <f>IFERROR(_xlfn.IMAGE("https://play.pokemonshowdown.com/sprites/gen5/crobat.png"),"")</f>
        <v/>
      </c>
      <c r="I116" s="43">
        <f>IFERROR(_xlfn.IMAGE("https://play.pokemonshowdown.com/sprites/gen5/camerupt.png"),"")</f>
        <v/>
      </c>
    </row>
    <row r="117">
      <c r="E117" s="45" t="inlineStr">
        <is>
          <t>Lv 42 Mightyena</t>
        </is>
      </c>
      <c r="F117" s="46" t="n"/>
      <c r="G117" s="45" t="inlineStr">
        <is>
          <t>Lv 43 Crobat</t>
        </is>
      </c>
      <c r="H117" s="46" t="n"/>
      <c r="I117" s="45" t="inlineStr">
        <is>
          <t>Lv 44 Camerupt</t>
        </is>
      </c>
      <c r="J117" s="46" t="n"/>
      <c r="Q117" s="47" t="inlineStr">
        <is>
          <t>Pokémon</t>
        </is>
      </c>
    </row>
    <row r="118">
      <c r="E118" s="48" t="inlineStr">
        <is>
          <t>Hardy</t>
        </is>
      </c>
      <c r="F118" s="48" t="inlineStr">
        <is>
          <t>Intimidate</t>
        </is>
      </c>
      <c r="G118" s="48" t="inlineStr">
        <is>
          <t>Hardy</t>
        </is>
      </c>
      <c r="H118" s="48" t="inlineStr">
        <is>
          <t>Inner Focus</t>
        </is>
      </c>
      <c r="I118" s="48" t="inlineStr">
        <is>
          <t>Hardy</t>
        </is>
      </c>
      <c r="J118" s="48" t="inlineStr">
        <is>
          <t>Magma Armor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(None)</t>
        </is>
      </c>
      <c r="J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0" t="inlineStr">
        <is>
          <t>Assurance</t>
        </is>
      </c>
      <c r="F120" s="46" t="n"/>
      <c r="G120" s="66" t="inlineStr">
        <is>
          <t>Steel Wing</t>
        </is>
      </c>
      <c r="H120" s="46" t="n"/>
      <c r="I120" s="53" t="inlineStr">
        <is>
          <t>Earth Power</t>
        </is>
      </c>
      <c r="J120" s="46" t="n"/>
      <c r="Q120" s="47" t="inlineStr">
        <is>
          <t>Moves</t>
        </is>
      </c>
    </row>
    <row r="121">
      <c r="E121" s="52" t="inlineStr">
        <is>
          <t>Thunder Fang</t>
        </is>
      </c>
      <c r="F121" s="46" t="n"/>
      <c r="G121" s="60" t="inlineStr">
        <is>
          <t>Aerial Ace</t>
        </is>
      </c>
      <c r="H121" s="46" t="n"/>
      <c r="I121" s="62" t="inlineStr">
        <is>
          <t>Rock Slide</t>
        </is>
      </c>
      <c r="J121" s="46" t="n"/>
    </row>
    <row r="122">
      <c r="E122" s="55" t="inlineStr">
        <is>
          <t>Poison Fang</t>
        </is>
      </c>
      <c r="F122" s="46" t="n"/>
      <c r="G122" s="51" t="inlineStr">
        <is>
          <t>Whirlwind</t>
        </is>
      </c>
      <c r="H122" s="46" t="n"/>
      <c r="I122" s="58" t="inlineStr">
        <is>
          <t>Lava Plume</t>
        </is>
      </c>
      <c r="J122" s="46" t="n"/>
    </row>
    <row r="123">
      <c r="E123" s="50" t="inlineStr">
        <is>
          <t>Beat Up</t>
        </is>
      </c>
      <c r="F123" s="46" t="n"/>
      <c r="G123" s="67" t="inlineStr">
        <is>
          <t>Confuse Ray</t>
        </is>
      </c>
      <c r="H123" s="46" t="n"/>
      <c r="I123" s="51" t="inlineStr">
        <is>
          <t>Explosion</t>
        </is>
      </c>
      <c r="J123" s="46" t="n"/>
    </row>
    <row r="125" ht="24" customHeight="1">
      <c r="B125" s="38" t="inlineStr">
        <is>
          <t>Mossdeep City - Gym   (Split 7)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Leader</t>
        </is>
      </c>
      <c r="C127" s="41" t="n"/>
      <c r="D127" s="41" t="n"/>
      <c r="E127" s="42" t="inlineStr">
        <is>
          <t>Leader Tate&amp;Liza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IFERROR(_xlfn.IMAGE("https://play.pokemonshowdown.com/sprites/gen5/claydol.png"),"")</f>
        <v/>
      </c>
      <c r="G128" s="43">
        <f>IFERROR(_xlfn.IMAGE("https://play.pokemonshowdown.com/sprites/gen5/xatu.png"),"")</f>
        <v/>
      </c>
      <c r="I128" s="43">
        <f>IFERROR(_xlfn.IMAGE("https://play.pokemonshowdown.com/sprites/gen5/lunatone.png"),"")</f>
        <v/>
      </c>
      <c r="K128" s="43">
        <f>IFERROR(_xlfn.IMAGE("https://play.pokemonshowdown.com/sprites/gen5/solrock.png"),"")</f>
        <v/>
      </c>
      <c r="Q128" s="44" t="inlineStr">
        <is>
          <t>DOUBLE BATTLE
Mandatory
Items: Hyper Potion / Hyper Potion / Hyper Potion / Hyper Potion</t>
        </is>
      </c>
    </row>
    <row r="129">
      <c r="E129" s="45" t="inlineStr">
        <is>
          <t>Lv 41 Claydol</t>
        </is>
      </c>
      <c r="F129" s="46" t="n"/>
      <c r="G129" s="45" t="inlineStr">
        <is>
          <t>Lv 41 Xatu</t>
        </is>
      </c>
      <c r="H129" s="46" t="n"/>
      <c r="I129" s="45" t="inlineStr">
        <is>
          <t>Lv 42 Lunatone</t>
        </is>
      </c>
      <c r="J129" s="46" t="n"/>
      <c r="K129" s="45" t="inlineStr">
        <is>
          <t>Lv 42 Solrock</t>
        </is>
      </c>
      <c r="L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Levitate</t>
        </is>
      </c>
      <c r="G130" s="48" t="inlineStr">
        <is>
          <t>Hardy</t>
        </is>
      </c>
      <c r="H130" s="48" t="inlineStr">
        <is>
          <t>Magic Guard</t>
        </is>
      </c>
      <c r="I130" s="48" t="inlineStr">
        <is>
          <t>Hardy</t>
        </is>
      </c>
      <c r="J130" s="48" t="inlineStr">
        <is>
          <t>Levitate</t>
        </is>
      </c>
      <c r="K130" s="48" t="inlineStr">
        <is>
          <t>Hardy</t>
        </is>
      </c>
      <c r="L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Sitrus Berry</t>
        </is>
      </c>
      <c r="J131" s="46" t="n"/>
      <c r="K131" s="49" t="inlineStr">
        <is>
          <t>Sitrus Berry</t>
        </is>
      </c>
      <c r="L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Earthquake</t>
        </is>
      </c>
      <c r="F132" s="46" t="n"/>
      <c r="G132" s="63" t="inlineStr">
        <is>
          <t>Psychic</t>
        </is>
      </c>
      <c r="H132" s="46" t="n"/>
      <c r="I132" s="63" t="inlineStr">
        <is>
          <t>Light Screen</t>
        </is>
      </c>
      <c r="J132" s="46" t="n"/>
      <c r="K132" s="58" t="inlineStr">
        <is>
          <t>Sunny Day</t>
        </is>
      </c>
      <c r="L132" s="46" t="n"/>
      <c r="Q132" s="47" t="inlineStr">
        <is>
          <t>Moves</t>
        </is>
      </c>
    </row>
    <row r="133">
      <c r="E133" s="62" t="inlineStr">
        <is>
          <t>Ancient Power</t>
        </is>
      </c>
      <c r="F133" s="46" t="n"/>
      <c r="G133" s="58" t="inlineStr">
        <is>
          <t>Sunny Day</t>
        </is>
      </c>
      <c r="H133" s="46" t="n"/>
      <c r="I133" s="63" t="inlineStr">
        <is>
          <t>Psychic</t>
        </is>
      </c>
      <c r="J133" s="46" t="n"/>
      <c r="K133" s="59" t="inlineStr">
        <is>
          <t>Solar Beam</t>
        </is>
      </c>
      <c r="L133" s="46" t="n"/>
    </row>
    <row r="134">
      <c r="E134" s="63" t="inlineStr">
        <is>
          <t>Psychic</t>
        </is>
      </c>
      <c r="F134" s="46" t="n"/>
      <c r="G134" s="67" t="inlineStr">
        <is>
          <t>Confuse Ray</t>
        </is>
      </c>
      <c r="H134" s="46" t="n"/>
      <c r="I134" s="63" t="inlineStr">
        <is>
          <t>Hypnosis</t>
        </is>
      </c>
      <c r="J134" s="46" t="n"/>
      <c r="K134" s="63" t="inlineStr">
        <is>
          <t>Psychic</t>
        </is>
      </c>
      <c r="L134" s="46" t="n"/>
    </row>
    <row r="135">
      <c r="E135" s="63" t="inlineStr">
        <is>
          <t>Light Screen</t>
        </is>
      </c>
      <c r="F135" s="46" t="n"/>
      <c r="G135" s="63" t="inlineStr">
        <is>
          <t>Calm Mind</t>
        </is>
      </c>
      <c r="H135" s="46" t="n"/>
      <c r="I135" s="63" t="inlineStr">
        <is>
          <t>Calm Mind</t>
        </is>
      </c>
      <c r="J135" s="46" t="n"/>
      <c r="K135" s="58" t="inlineStr">
        <is>
          <t>Flamethrower</t>
        </is>
      </c>
      <c r="L135" s="46" t="n"/>
    </row>
    <row r="137" ht="24" customHeight="1">
      <c r="B137" s="38" t="inlineStr">
        <is>
          <t>Seafloor Cavern - Room 9   (Split 8)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Aqua Leader</t>
        </is>
      </c>
      <c r="C139" s="41" t="n"/>
      <c r="D139" s="41" t="n"/>
      <c r="E139" s="42" t="inlineStr">
        <is>
          <t>Aqua Leader Archie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IFERROR(_xlfn.IMAGE("https://play.pokemonshowdown.com/sprites/gen5/mightyena.png"),"")</f>
        <v/>
      </c>
      <c r="G140" s="43">
        <f>IFERROR(_xlfn.IMAGE("https://play.pokemonshowdown.com/sprites/gen5/crobat.png"),"")</f>
        <v/>
      </c>
      <c r="I140" s="43">
        <f>IFERROR(_xlfn.IMAGE("https://play.pokemonshowdown.com/sprites/gen5/sharpedo.png"),"")</f>
        <v/>
      </c>
      <c r="Q140" s="44" t="inlineStr">
        <is>
          <t>Items: Super Potion / Super Potion</t>
        </is>
      </c>
    </row>
    <row r="141">
      <c r="E141" s="45" t="inlineStr">
        <is>
          <t>Lv 41 Mightyena</t>
        </is>
      </c>
      <c r="F141" s="46" t="n"/>
      <c r="G141" s="45" t="inlineStr">
        <is>
          <t>Lv 41 Crobat</t>
        </is>
      </c>
      <c r="H141" s="46" t="n"/>
      <c r="I141" s="45" t="inlineStr">
        <is>
          <t>Lv 43 Sharpedo</t>
        </is>
      </c>
      <c r="J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Intimidate</t>
        </is>
      </c>
      <c r="G142" s="48" t="inlineStr">
        <is>
          <t>Hardy</t>
        </is>
      </c>
      <c r="H142" s="48" t="inlineStr">
        <is>
          <t>Inner Focus</t>
        </is>
      </c>
      <c r="I142" s="48" t="inlineStr">
        <is>
          <t>Hardy</t>
        </is>
      </c>
      <c r="J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(None)</t>
        </is>
      </c>
      <c r="J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1" t="inlineStr">
        <is>
          <t>Odor Sleuth</t>
        </is>
      </c>
      <c r="F144" s="46" t="n"/>
      <c r="G144" s="66" t="inlineStr">
        <is>
          <t>Steel Wing</t>
        </is>
      </c>
      <c r="H144" s="46" t="n"/>
      <c r="I144" s="61" t="inlineStr">
        <is>
          <t>Aqua Cutter</t>
        </is>
      </c>
      <c r="J144" s="46" t="n"/>
      <c r="Q144" s="47" t="inlineStr">
        <is>
          <t>Moves</t>
        </is>
      </c>
    </row>
    <row r="145">
      <c r="E145" s="50" t="inlineStr">
        <is>
          <t>Assurance</t>
        </is>
      </c>
      <c r="F145" s="46" t="n"/>
      <c r="G145" s="60" t="inlineStr">
        <is>
          <t>Aerial Ace</t>
        </is>
      </c>
      <c r="H145" s="46" t="n"/>
      <c r="I145" s="51" t="inlineStr">
        <is>
          <t>Hyper Fang</t>
        </is>
      </c>
      <c r="J145" s="46" t="n"/>
    </row>
    <row r="146">
      <c r="E146" s="52" t="inlineStr">
        <is>
          <t>Thunder Fang</t>
        </is>
      </c>
      <c r="F146" s="46" t="n"/>
      <c r="G146" s="51" t="inlineStr">
        <is>
          <t>Whirlwind</t>
        </is>
      </c>
      <c r="H146" s="46" t="n"/>
      <c r="I146" s="61" t="inlineStr">
        <is>
          <t>Water Pulse</t>
        </is>
      </c>
      <c r="J146" s="46" t="n"/>
    </row>
    <row r="147">
      <c r="E147" s="55" t="inlineStr">
        <is>
          <t>Poison Fang</t>
        </is>
      </c>
      <c r="F147" s="46" t="n"/>
      <c r="G147" s="67" t="inlineStr">
        <is>
          <t>Confuse Ray</t>
        </is>
      </c>
      <c r="H147" s="46" t="n"/>
      <c r="I147" s="50" t="inlineStr">
        <is>
          <t>Pursuit</t>
        </is>
      </c>
      <c r="J147" s="46" t="n"/>
    </row>
    <row r="149" ht="24" customHeight="1">
      <c r="B149" s="38" t="inlineStr">
        <is>
          <t>Sootopolis City - Gym - 1F   (Split 8)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Leader</t>
        </is>
      </c>
      <c r="C151" s="41" t="n"/>
      <c r="D151" s="41" t="n"/>
      <c r="E151" s="42" t="inlineStr">
        <is>
          <t>Leader Juan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IFERROR(_xlfn.IMAGE("https://play.pokemonshowdown.com/sprites/gen5/luvdisc.png"),"")</f>
        <v/>
      </c>
      <c r="G152" s="43">
        <f>IFERROR(_xlfn.IMAGE("https://play.pokemonshowdown.com/sprites/gen5/whiscash.png"),"")</f>
        <v/>
      </c>
      <c r="I152" s="43">
        <f>IFERROR(_xlfn.IMAGE("https://play.pokemonshowdown.com/sprites/gen5/sealeo.png"),"")</f>
        <v/>
      </c>
      <c r="K152" s="43">
        <f>IFERROR(_xlfn.IMAGE("https://play.pokemonshowdown.com/sprites/gen5/crawdaunt.png"),"")</f>
        <v/>
      </c>
      <c r="M152" s="43">
        <f>IFERROR(_xlfn.IMAGE("https://play.pokemonshowdown.com/sprites/gen5/kingdra.png"),"")</f>
        <v/>
      </c>
      <c r="Q152" s="44" t="inlineStr">
        <is>
          <t>Mandatory
Items: Hyper Potion / Hyper Potion</t>
        </is>
      </c>
    </row>
    <row r="153">
      <c r="E153" s="45" t="inlineStr">
        <is>
          <t>Lv 41 Luvdisc</t>
        </is>
      </c>
      <c r="F153" s="46" t="n"/>
      <c r="G153" s="45" t="inlineStr">
        <is>
          <t>Lv 41 Whiscash</t>
        </is>
      </c>
      <c r="H153" s="46" t="n"/>
      <c r="I153" s="45" t="inlineStr">
        <is>
          <t>Lv 43 Sealeo</t>
        </is>
      </c>
      <c r="J153" s="46" t="n"/>
      <c r="K153" s="45" t="inlineStr">
        <is>
          <t>Lv 43 Crawdaunt</t>
        </is>
      </c>
      <c r="L153" s="46" t="n"/>
      <c r="M153" s="45" t="inlineStr">
        <is>
          <t>Lv 46 Kingdra</t>
        </is>
      </c>
      <c r="N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Swift Swim</t>
        </is>
      </c>
      <c r="G154" s="48" t="inlineStr">
        <is>
          <t>Hardy</t>
        </is>
      </c>
      <c r="H154" s="48" t="inlineStr">
        <is>
          <t>Hydration</t>
        </is>
      </c>
      <c r="I154" s="48" t="inlineStr">
        <is>
          <t>Hardy</t>
        </is>
      </c>
      <c r="J154" s="48" t="inlineStr">
        <is>
          <t>Ice Body</t>
        </is>
      </c>
      <c r="K154" s="48" t="inlineStr">
        <is>
          <t>Hardy</t>
        </is>
      </c>
      <c r="L154" s="48" t="inlineStr">
        <is>
          <t>Adaptability</t>
        </is>
      </c>
      <c r="M154" s="48" t="inlineStr">
        <is>
          <t>Hardy</t>
        </is>
      </c>
      <c r="N154" s="48" t="inlineStr">
        <is>
          <t>Swift Swim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K155" s="49" t="inlineStr">
        <is>
          <t>(None)</t>
        </is>
      </c>
      <c r="L155" s="46" t="n"/>
      <c r="M155" s="49" t="inlineStr">
        <is>
          <t>Chesto Berry</t>
        </is>
      </c>
      <c r="N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1" t="inlineStr">
        <is>
          <t>Water Pulse</t>
        </is>
      </c>
      <c r="F156" s="46" t="n"/>
      <c r="G156" s="61" t="inlineStr">
        <is>
          <t>Rain Dance</t>
        </is>
      </c>
      <c r="H156" s="46" t="n"/>
      <c r="I156" s="51" t="inlineStr">
        <is>
          <t>Encore</t>
        </is>
      </c>
      <c r="J156" s="46" t="n"/>
      <c r="K156" s="61" t="inlineStr">
        <is>
          <t>Water Pulse</t>
        </is>
      </c>
      <c r="L156" s="46" t="n"/>
      <c r="M156" s="61" t="inlineStr">
        <is>
          <t>Water Pulse</t>
        </is>
      </c>
      <c r="N156" s="46" t="n"/>
      <c r="Q156" s="47" t="inlineStr">
        <is>
          <t>Moves</t>
        </is>
      </c>
    </row>
    <row r="157">
      <c r="E157" s="51" t="inlineStr">
        <is>
          <t>Attract</t>
        </is>
      </c>
      <c r="F157" s="46" t="n"/>
      <c r="G157" s="61" t="inlineStr">
        <is>
          <t>Water Pulse</t>
        </is>
      </c>
      <c r="H157" s="46" t="n"/>
      <c r="I157" s="51" t="inlineStr">
        <is>
          <t>Body Slam</t>
        </is>
      </c>
      <c r="J157" s="46" t="n"/>
      <c r="K157" s="61" t="inlineStr">
        <is>
          <t>Crabhammer</t>
        </is>
      </c>
      <c r="L157" s="46" t="n"/>
      <c r="M157" s="51" t="inlineStr">
        <is>
          <t>Double Team</t>
        </is>
      </c>
      <c r="N157" s="46" t="n"/>
    </row>
    <row r="158">
      <c r="E158" s="51" t="inlineStr">
        <is>
          <t>Sweet Kiss</t>
        </is>
      </c>
      <c r="F158" s="46" t="n"/>
      <c r="G158" s="63" t="inlineStr">
        <is>
          <t>Amnesia</t>
        </is>
      </c>
      <c r="H158" s="46" t="n"/>
      <c r="I158" s="64" t="inlineStr">
        <is>
          <t>Aurora Beam</t>
        </is>
      </c>
      <c r="J158" s="46" t="n"/>
      <c r="K158" s="50" t="inlineStr">
        <is>
          <t>Taunt</t>
        </is>
      </c>
      <c r="L158" s="46" t="n"/>
      <c r="M158" s="64" t="inlineStr">
        <is>
          <t>Ice Beam</t>
        </is>
      </c>
      <c r="N158" s="46" t="n"/>
    </row>
    <row r="159">
      <c r="E159" s="51" t="inlineStr">
        <is>
          <t>Flail</t>
        </is>
      </c>
      <c r="F159" s="46" t="n"/>
      <c r="G159" s="53" t="inlineStr">
        <is>
          <t>Earthquake</t>
        </is>
      </c>
      <c r="H159" s="46" t="n"/>
      <c r="I159" s="61" t="inlineStr">
        <is>
          <t>Water Pulse</t>
        </is>
      </c>
      <c r="J159" s="46" t="n"/>
      <c r="K159" s="51" t="inlineStr">
        <is>
          <t>Leer</t>
        </is>
      </c>
      <c r="L159" s="46" t="n"/>
      <c r="M159" s="63" t="inlineStr">
        <is>
          <t>Rest</t>
        </is>
      </c>
      <c r="N159" s="46" t="n"/>
    </row>
    <row r="161" ht="24" customHeight="1">
      <c r="B161" s="38" t="inlineStr">
        <is>
          <t>Ever Grande City - Sidneys Room   (Elite Four &amp; Champion)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Elite Four</t>
        </is>
      </c>
      <c r="C163" s="41" t="n"/>
      <c r="D163" s="41" t="n"/>
      <c r="E163" s="42" t="inlineStr">
        <is>
          <t>Elite Four Sidney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IFERROR(_xlfn.IMAGE("https://play.pokemonshowdown.com/sprites/gen5/mightyena.png"),"")</f>
        <v/>
      </c>
      <c r="G164" s="43">
        <f>IFERROR(_xlfn.IMAGE("https://play.pokemonshowdown.com/sprites/gen5/shiftry.png"),"")</f>
        <v/>
      </c>
      <c r="I164" s="43">
        <f>IFERROR(_xlfn.IMAGE("https://play.pokemonshowdown.com/sprites/gen5/cacturne.png"),"")</f>
        <v/>
      </c>
      <c r="K164" s="43">
        <f>IFERROR(_xlfn.IMAGE("https://play.pokemonshowdown.com/sprites/gen5/crawdaunt.png"),"")</f>
        <v/>
      </c>
      <c r="M164" s="43">
        <f>IFERROR(_xlfn.IMAGE("https://play.pokemonshowdown.com/sprites/gen5/absol.png"),"")</f>
        <v/>
      </c>
      <c r="Q164" s="44" t="inlineStr">
        <is>
          <t>Optional
Items: Full Restore / Full Restore</t>
        </is>
      </c>
    </row>
    <row r="165">
      <c r="E165" s="45" t="inlineStr">
        <is>
          <t>Lv 46 Mightyena</t>
        </is>
      </c>
      <c r="F165" s="46" t="n"/>
      <c r="G165" s="45" t="inlineStr">
        <is>
          <t>Lv 48 Shiftry</t>
        </is>
      </c>
      <c r="H165" s="46" t="n"/>
      <c r="I165" s="45" t="inlineStr">
        <is>
          <t>Lv 46 Cacturne</t>
        </is>
      </c>
      <c r="J165" s="46" t="n"/>
      <c r="K165" s="45" t="inlineStr">
        <is>
          <t>Lv 48 Crawdaunt</t>
        </is>
      </c>
      <c r="L165" s="46" t="n"/>
      <c r="M165" s="45" t="inlineStr">
        <is>
          <t>Lv 49 Absol</t>
        </is>
      </c>
      <c r="N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Intimidate</t>
        </is>
      </c>
      <c r="G166" s="48" t="inlineStr">
        <is>
          <t>Hardy</t>
        </is>
      </c>
      <c r="H166" s="48" t="inlineStr">
        <is>
          <t>Chlorophyll</t>
        </is>
      </c>
      <c r="I166" s="48" t="inlineStr">
        <is>
          <t>Hardy</t>
        </is>
      </c>
      <c r="J166" s="48" t="inlineStr">
        <is>
          <t>Sand Veil</t>
        </is>
      </c>
      <c r="K166" s="48" t="inlineStr">
        <is>
          <t>Hardy</t>
        </is>
      </c>
      <c r="L166" s="48" t="inlineStr">
        <is>
          <t>Adaptability</t>
        </is>
      </c>
      <c r="M166" s="48" t="inlineStr">
        <is>
          <t>Hardy</t>
        </is>
      </c>
      <c r="N166" s="48" t="inlineStr">
        <is>
          <t>Super Luck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Sitrus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1" t="inlineStr">
        <is>
          <t>Roar</t>
        </is>
      </c>
      <c r="F168" s="46" t="n"/>
      <c r="G168" s="50" t="inlineStr">
        <is>
          <t>Torment</t>
        </is>
      </c>
      <c r="H168" s="46" t="n"/>
      <c r="I168" s="59" t="inlineStr">
        <is>
          <t>Leech Seed</t>
        </is>
      </c>
      <c r="J168" s="46" t="n"/>
      <c r="K168" s="61" t="inlineStr">
        <is>
          <t>Surf</t>
        </is>
      </c>
      <c r="L168" s="46" t="n"/>
      <c r="M168" s="60" t="inlineStr">
        <is>
          <t>Aerial Ace</t>
        </is>
      </c>
      <c r="N168" s="46" t="n"/>
      <c r="Q168" s="47" t="inlineStr">
        <is>
          <t>Moves</t>
        </is>
      </c>
    </row>
    <row r="169">
      <c r="E169" s="51" t="inlineStr">
        <is>
          <t>Double Edge</t>
        </is>
      </c>
      <c r="F169" s="46" t="n"/>
      <c r="G169" s="51" t="inlineStr">
        <is>
          <t>Double Team</t>
        </is>
      </c>
      <c r="H169" s="46" t="n"/>
      <c r="I169" s="50" t="inlineStr">
        <is>
          <t>Feint Attack</t>
        </is>
      </c>
      <c r="J169" s="46" t="n"/>
      <c r="K169" s="51" t="inlineStr">
        <is>
          <t>Swords Dance</t>
        </is>
      </c>
      <c r="L169" s="46" t="n"/>
      <c r="M169" s="62" t="inlineStr">
        <is>
          <t>Rock Slide</t>
        </is>
      </c>
      <c r="N169" s="46" t="n"/>
    </row>
    <row r="170">
      <c r="E170" s="53" t="inlineStr">
        <is>
          <t>Sand Attack</t>
        </is>
      </c>
      <c r="F170" s="46" t="n"/>
      <c r="G170" s="51" t="inlineStr">
        <is>
          <t>Swagger</t>
        </is>
      </c>
      <c r="H170" s="46" t="n"/>
      <c r="I170" s="59" t="inlineStr">
        <is>
          <t>Needle Arm</t>
        </is>
      </c>
      <c r="J170" s="46" t="n"/>
      <c r="K170" s="51" t="inlineStr">
        <is>
          <t>Strength</t>
        </is>
      </c>
      <c r="L170" s="46" t="n"/>
      <c r="M170" s="51" t="inlineStr">
        <is>
          <t>Swords Dance</t>
        </is>
      </c>
      <c r="N170" s="46" t="n"/>
    </row>
    <row r="171">
      <c r="E171" s="50" t="inlineStr">
        <is>
          <t>Crunch</t>
        </is>
      </c>
      <c r="F171" s="46" t="n"/>
      <c r="G171" s="63" t="inlineStr">
        <is>
          <t>Extrasensory</t>
        </is>
      </c>
      <c r="H171" s="46" t="n"/>
      <c r="I171" s="59" t="inlineStr">
        <is>
          <t>Cotton Spore</t>
        </is>
      </c>
      <c r="J171" s="46" t="n"/>
      <c r="K171" s="51" t="inlineStr">
        <is>
          <t>Facade</t>
        </is>
      </c>
      <c r="L171" s="46" t="n"/>
      <c r="M171" s="51" t="inlineStr">
        <is>
          <t>Slash</t>
        </is>
      </c>
      <c r="N171" s="46" t="n"/>
    </row>
    <row r="173" ht="24" customHeight="1">
      <c r="B173" s="38" t="inlineStr">
        <is>
          <t>Ever Grande City - Phoebes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Phoebe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IFERROR(_xlfn.IMAGE("https://play.pokemonshowdown.com/sprites/gen5/dusclops.png"),"")</f>
        <v/>
      </c>
      <c r="G176" s="43">
        <f>IFERROR(_xlfn.IMAGE("https://play.pokemonshowdown.com/sprites/gen5/banette.png"),"")</f>
        <v/>
      </c>
      <c r="I176" s="43">
        <f>IFERROR(_xlfn.IMAGE("https://play.pokemonshowdown.com/sprites/gen5/sableye.png"),"")</f>
        <v/>
      </c>
      <c r="K176" s="43">
        <f>IFERROR(_xlfn.IMAGE("https://play.pokemonshowdown.com/sprites/gen5/banette.png"),"")</f>
        <v/>
      </c>
      <c r="M176" s="43">
        <f>IFERROR(_xlfn.IMAGE("https://play.pokemonshowdown.com/sprites/gen5/dusclops.png"),"")</f>
        <v/>
      </c>
      <c r="Q176" s="44" t="inlineStr">
        <is>
          <t>Optional
Items: Full Restore / Full Restore</t>
        </is>
      </c>
    </row>
    <row r="177">
      <c r="E177" s="45" t="inlineStr">
        <is>
          <t>Lv 48 Dusclops</t>
        </is>
      </c>
      <c r="F177" s="46" t="n"/>
      <c r="G177" s="45" t="inlineStr">
        <is>
          <t>Lv 49 Banette</t>
        </is>
      </c>
      <c r="H177" s="46" t="n"/>
      <c r="I177" s="45" t="inlineStr">
        <is>
          <t>Lv 50 Sableye</t>
        </is>
      </c>
      <c r="J177" s="46" t="n"/>
      <c r="K177" s="45" t="inlineStr">
        <is>
          <t>Lv 49 Banette</t>
        </is>
      </c>
      <c r="L177" s="46" t="n"/>
      <c r="M177" s="45" t="inlineStr">
        <is>
          <t>Lv 51 Dusclops</t>
        </is>
      </c>
      <c r="N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Pressure</t>
        </is>
      </c>
      <c r="G178" s="48" t="inlineStr">
        <is>
          <t>Hardy</t>
        </is>
      </c>
      <c r="H178" s="48" t="inlineStr">
        <is>
          <t>Clear Body</t>
        </is>
      </c>
      <c r="I178" s="48" t="inlineStr">
        <is>
          <t>Hardy</t>
        </is>
      </c>
      <c r="J178" s="48" t="inlineStr">
        <is>
          <t>Clear Body</t>
        </is>
      </c>
      <c r="K178" s="48" t="inlineStr">
        <is>
          <t>Hardy</t>
        </is>
      </c>
      <c r="L178" s="48" t="inlineStr">
        <is>
          <t>Clear Body</t>
        </is>
      </c>
      <c r="M178" s="48" t="inlineStr">
        <is>
          <t>Hardy</t>
        </is>
      </c>
      <c r="N178" s="48" t="inlineStr">
        <is>
          <t>Pressure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67" t="inlineStr">
        <is>
          <t>Shadow Punch</t>
        </is>
      </c>
      <c r="F180" s="46" t="n"/>
      <c r="G180" s="67" t="inlineStr">
        <is>
          <t>Shadow Ball</t>
        </is>
      </c>
      <c r="H180" s="46" t="n"/>
      <c r="I180" s="67" t="inlineStr">
        <is>
          <t>Shadow Ball</t>
        </is>
      </c>
      <c r="J180" s="46" t="n"/>
      <c r="K180" s="67" t="inlineStr">
        <is>
          <t>Shadow Ball</t>
        </is>
      </c>
      <c r="L180" s="46" t="n"/>
      <c r="M180" s="67" t="inlineStr">
        <is>
          <t>Shadow Ball</t>
        </is>
      </c>
      <c r="N180" s="46" t="n"/>
      <c r="Q180" s="47" t="inlineStr">
        <is>
          <t>Moves</t>
        </is>
      </c>
    </row>
    <row r="181">
      <c r="E181" s="67" t="inlineStr">
        <is>
          <t>Confuse Ray</t>
        </is>
      </c>
      <c r="F181" s="46" t="n"/>
      <c r="G181" s="67" t="inlineStr">
        <is>
          <t>Grudge</t>
        </is>
      </c>
      <c r="H181" s="46" t="n"/>
      <c r="I181" s="51" t="inlineStr">
        <is>
          <t>Double Team</t>
        </is>
      </c>
      <c r="J181" s="46" t="n"/>
      <c r="K181" s="63" t="inlineStr">
        <is>
          <t>Psychic</t>
        </is>
      </c>
      <c r="L181" s="46" t="n"/>
      <c r="M181" s="64" t="inlineStr">
        <is>
          <t>Ice Beam</t>
        </is>
      </c>
      <c r="N181" s="46" t="n"/>
    </row>
    <row r="182">
      <c r="E182" s="51" t="inlineStr">
        <is>
          <t>Curse</t>
        </is>
      </c>
      <c r="F182" s="46" t="n"/>
      <c r="G182" s="58" t="inlineStr">
        <is>
          <t>Will O Wisp</t>
        </is>
      </c>
      <c r="H182" s="46" t="n"/>
      <c r="I182" s="67" t="inlineStr">
        <is>
          <t>Night Shade</t>
        </is>
      </c>
      <c r="J182" s="46" t="n"/>
      <c r="K182" s="52" t="inlineStr">
        <is>
          <t>Thunderbolt</t>
        </is>
      </c>
      <c r="L182" s="46" t="n"/>
      <c r="M182" s="62" t="inlineStr">
        <is>
          <t>Rock Slide</t>
        </is>
      </c>
      <c r="N182" s="46" t="n"/>
    </row>
    <row r="183">
      <c r="E183" s="51" t="inlineStr">
        <is>
          <t>Protect</t>
        </is>
      </c>
      <c r="F183" s="46" t="n"/>
      <c r="G183" s="50" t="inlineStr">
        <is>
          <t>Feint Attack</t>
        </is>
      </c>
      <c r="H183" s="46" t="n"/>
      <c r="I183" s="50" t="inlineStr">
        <is>
          <t>Feint Attack</t>
        </is>
      </c>
      <c r="J183" s="46" t="n"/>
      <c r="K183" s="51" t="inlineStr">
        <is>
          <t>Facade</t>
        </is>
      </c>
      <c r="L183" s="46" t="n"/>
      <c r="M183" s="53" t="inlineStr">
        <is>
          <t>Earthquake</t>
        </is>
      </c>
      <c r="N183" s="46" t="n"/>
    </row>
    <row r="185" ht="24" customHeight="1">
      <c r="B185" s="38" t="inlineStr">
        <is>
          <t>Ever Grande City - Glacias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Glacia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IFERROR(_xlfn.IMAGE("https://play.pokemonshowdown.com/sprites/gen5/sealeo.png"),"")</f>
        <v/>
      </c>
      <c r="G188" s="43">
        <f>IFERROR(_xlfn.IMAGE("https://play.pokemonshowdown.com/sprites/gen5/glalie.png"),"")</f>
        <v/>
      </c>
      <c r="I188" s="43">
        <f>IFERROR(_xlfn.IMAGE("https://play.pokemonshowdown.com/sprites/gen5/sealeo.png"),"")</f>
        <v/>
      </c>
      <c r="K188" s="43">
        <f>IFERROR(_xlfn.IMAGE("https://play.pokemonshowdown.com/sprites/gen5/glalie.png"),"")</f>
        <v/>
      </c>
      <c r="M188" s="43">
        <f>IFERROR(_xlfn.IMAGE("https://play.pokemonshowdown.com/sprites/gen5/walrein.png"),"")</f>
        <v/>
      </c>
      <c r="Q188" s="44" t="inlineStr">
        <is>
          <t>Optional
Items: Full Restore / Full Restore</t>
        </is>
      </c>
    </row>
    <row r="189">
      <c r="E189" s="45" t="inlineStr">
        <is>
          <t>Lv 50 Sealeo</t>
        </is>
      </c>
      <c r="F189" s="46" t="n"/>
      <c r="G189" s="45" t="inlineStr">
        <is>
          <t>Lv 50 Glalie</t>
        </is>
      </c>
      <c r="H189" s="46" t="n"/>
      <c r="I189" s="45" t="inlineStr">
        <is>
          <t>Lv 52 Sealeo</t>
        </is>
      </c>
      <c r="J189" s="46" t="n"/>
      <c r="K189" s="45" t="inlineStr">
        <is>
          <t>Lv 52 Glalie</t>
        </is>
      </c>
      <c r="L189" s="46" t="n"/>
      <c r="M189" s="45" t="inlineStr">
        <is>
          <t>Lv 53 Walrein</t>
        </is>
      </c>
      <c r="N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Ice Body</t>
        </is>
      </c>
      <c r="G190" s="48" t="inlineStr">
        <is>
          <t>Hardy</t>
        </is>
      </c>
      <c r="H190" s="48" t="inlineStr">
        <is>
          <t>Solid Rock</t>
        </is>
      </c>
      <c r="I190" s="48" t="inlineStr">
        <is>
          <t>Hardy</t>
        </is>
      </c>
      <c r="J190" s="48" t="inlineStr">
        <is>
          <t>Ice Body</t>
        </is>
      </c>
      <c r="K190" s="48" t="inlineStr">
        <is>
          <t>Hardy</t>
        </is>
      </c>
      <c r="L190" s="48" t="inlineStr">
        <is>
          <t>Solid Rock</t>
        </is>
      </c>
      <c r="M190" s="48" t="inlineStr">
        <is>
          <t>Hardy</t>
        </is>
      </c>
      <c r="N190" s="48" t="inlineStr">
        <is>
          <t>Filter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1" t="inlineStr">
        <is>
          <t>Encore</t>
        </is>
      </c>
      <c r="F192" s="46" t="n"/>
      <c r="G192" s="63" t="inlineStr">
        <is>
          <t>Light Screen</t>
        </is>
      </c>
      <c r="H192" s="46" t="n"/>
      <c r="I192" s="51" t="inlineStr">
        <is>
          <t>Attract</t>
        </is>
      </c>
      <c r="J192" s="46" t="n"/>
      <c r="K192" s="67" t="inlineStr">
        <is>
          <t>Shadow Ball</t>
        </is>
      </c>
      <c r="L192" s="46" t="n"/>
      <c r="M192" s="61" t="inlineStr">
        <is>
          <t>Surf</t>
        </is>
      </c>
      <c r="N192" s="46" t="n"/>
      <c r="Q192" s="47" t="inlineStr">
        <is>
          <t>Moves</t>
        </is>
      </c>
    </row>
    <row r="193">
      <c r="E193" s="51" t="inlineStr">
        <is>
          <t>Body Slam</t>
        </is>
      </c>
      <c r="F193" s="46" t="n"/>
      <c r="G193" s="50" t="inlineStr">
        <is>
          <t>Crunch</t>
        </is>
      </c>
      <c r="H193" s="46" t="n"/>
      <c r="I193" s="51" t="inlineStr">
        <is>
          <t>Double Edge</t>
        </is>
      </c>
      <c r="J193" s="46" t="n"/>
      <c r="K193" s="51" t="inlineStr">
        <is>
          <t>Explosion</t>
        </is>
      </c>
      <c r="L193" s="46" t="n"/>
      <c r="M193" s="51" t="inlineStr">
        <is>
          <t>Body Slam</t>
        </is>
      </c>
      <c r="N193" s="46" t="n"/>
    </row>
    <row r="194">
      <c r="E194" s="64" t="inlineStr">
        <is>
          <t>Hail</t>
        </is>
      </c>
      <c r="F194" s="46" t="n"/>
      <c r="G194" s="64" t="inlineStr">
        <is>
          <t>Icy Wind</t>
        </is>
      </c>
      <c r="H194" s="46" t="n"/>
      <c r="I194" s="64" t="inlineStr">
        <is>
          <t>Hail</t>
        </is>
      </c>
      <c r="J194" s="46" t="n"/>
      <c r="K194" s="64" t="inlineStr">
        <is>
          <t>Hail</t>
        </is>
      </c>
      <c r="L194" s="46" t="n"/>
      <c r="M194" s="64" t="inlineStr">
        <is>
          <t>Ice Beam</t>
        </is>
      </c>
      <c r="N194" s="46" t="n"/>
    </row>
    <row r="195">
      <c r="E195" s="64" t="inlineStr">
        <is>
          <t>Ice Ball</t>
        </is>
      </c>
      <c r="F195" s="46" t="n"/>
      <c r="G195" s="64" t="inlineStr">
        <is>
          <t>Ice Beam</t>
        </is>
      </c>
      <c r="H195" s="46" t="n"/>
      <c r="I195" s="64" t="inlineStr">
        <is>
          <t>Blizzard</t>
        </is>
      </c>
      <c r="J195" s="46" t="n"/>
      <c r="K195" s="64" t="inlineStr">
        <is>
          <t>Ice Beam</t>
        </is>
      </c>
      <c r="L195" s="46" t="n"/>
      <c r="M195" s="64" t="inlineStr">
        <is>
          <t>Sheer Cold</t>
        </is>
      </c>
      <c r="N195" s="46" t="n"/>
    </row>
    <row r="197" ht="24" customHeight="1">
      <c r="B197" s="38" t="inlineStr">
        <is>
          <t>Ever Grande City - Drakes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Elite Four</t>
        </is>
      </c>
      <c r="C199" s="41" t="n"/>
      <c r="D199" s="41" t="n"/>
      <c r="E199" s="42" t="inlineStr">
        <is>
          <t>Elite Four Drake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IFERROR(_xlfn.IMAGE("https://play.pokemonshowdown.com/sprites/gen5/shelgon.png"),"")</f>
        <v/>
      </c>
      <c r="G200" s="43">
        <f>IFERROR(_xlfn.IMAGE("https://play.pokemonshowdown.com/sprites/gen5/altaria.png"),"")</f>
        <v/>
      </c>
      <c r="I200" s="43">
        <f>IFERROR(_xlfn.IMAGE("https://play.pokemonshowdown.com/sprites/gen5/kingdra.png"),"")</f>
        <v/>
      </c>
      <c r="K200" s="43">
        <f>IFERROR(_xlfn.IMAGE("https://play.pokemonshowdown.com/sprites/gen5/flygon.png"),"")</f>
        <v/>
      </c>
      <c r="M200" s="43">
        <f>IFERROR(_xlfn.IMAGE("https://play.pokemonshowdown.com/sprites/gen5/salamence.png"),"")</f>
        <v/>
      </c>
      <c r="Q200" s="44" t="inlineStr">
        <is>
          <t>Optional
Items: Full Restore / Full Restore</t>
        </is>
      </c>
    </row>
    <row r="201">
      <c r="E201" s="45" t="inlineStr">
        <is>
          <t>Lv 52 Shelgon</t>
        </is>
      </c>
      <c r="F201" s="46" t="n"/>
      <c r="G201" s="45" t="inlineStr">
        <is>
          <t>Lv 54 Altaria</t>
        </is>
      </c>
      <c r="H201" s="46" t="n"/>
      <c r="I201" s="45" t="inlineStr">
        <is>
          <t>Lv 53 Kingdra</t>
        </is>
      </c>
      <c r="J201" s="46" t="n"/>
      <c r="K201" s="45" t="inlineStr">
        <is>
          <t>Lv 53 Flygon</t>
        </is>
      </c>
      <c r="L201" s="46" t="n"/>
      <c r="M201" s="45" t="inlineStr">
        <is>
          <t>Lv 55 Salamence</t>
        </is>
      </c>
      <c r="N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Rock Head</t>
        </is>
      </c>
      <c r="G202" s="48" t="inlineStr">
        <is>
          <t>Hardy</t>
        </is>
      </c>
      <c r="H202" s="48" t="inlineStr">
        <is>
          <t>Serene Grace</t>
        </is>
      </c>
      <c r="I202" s="48" t="inlineStr">
        <is>
          <t>Hardy</t>
        </is>
      </c>
      <c r="J202" s="48" t="inlineStr">
        <is>
          <t>Swift Swim</t>
        </is>
      </c>
      <c r="K202" s="48" t="inlineStr">
        <is>
          <t>Hardy</t>
        </is>
      </c>
      <c r="L202" s="48" t="inlineStr">
        <is>
          <t>Levitate</t>
        </is>
      </c>
      <c r="M202" s="48" t="inlineStr">
        <is>
          <t>Hardy</t>
        </is>
      </c>
      <c r="N202" s="48" t="inlineStr">
        <is>
          <t>Intimidate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Sitrus Berry</t>
        </is>
      </c>
      <c r="N203" s="46" t="n"/>
      <c r="Q203" s="47" t="inlineStr">
        <is>
          <t>Item</t>
        </is>
      </c>
    </row>
    <row r="204">
      <c r="B204" s="44" t="inlineStr">
        <is>
          <t>Smart Trainer</t>
        </is>
      </c>
      <c r="E204" s="62" t="inlineStr">
        <is>
          <t>Rock Tomb</t>
        </is>
      </c>
      <c r="F204" s="46" t="n"/>
      <c r="G204" s="51" t="inlineStr">
        <is>
          <t>Double Edge</t>
        </is>
      </c>
      <c r="H204" s="46" t="n"/>
      <c r="I204" s="51" t="inlineStr">
        <is>
          <t>Smokescreen</t>
        </is>
      </c>
      <c r="J204" s="46" t="n"/>
      <c r="K204" s="58" t="inlineStr">
        <is>
          <t>Flamethrower</t>
        </is>
      </c>
      <c r="L204" s="46" t="n"/>
      <c r="M204" s="58" t="inlineStr">
        <is>
          <t>Flamethrower</t>
        </is>
      </c>
      <c r="N204" s="46" t="n"/>
      <c r="Q204" s="47" t="inlineStr">
        <is>
          <t>Moves</t>
        </is>
      </c>
    </row>
    <row r="205">
      <c r="E205" s="68" t="inlineStr">
        <is>
          <t>Dragon Claw</t>
        </is>
      </c>
      <c r="F205" s="46" t="n"/>
      <c r="G205" s="68" t="inlineStr">
        <is>
          <t>Dragon Breath</t>
        </is>
      </c>
      <c r="H205" s="46" t="n"/>
      <c r="I205" s="68" t="inlineStr">
        <is>
          <t>Dragon Dance</t>
        </is>
      </c>
      <c r="J205" s="46" t="n"/>
      <c r="K205" s="50" t="inlineStr">
        <is>
          <t>Crunch</t>
        </is>
      </c>
      <c r="L205" s="46" t="n"/>
      <c r="M205" s="68" t="inlineStr">
        <is>
          <t>Dragon Claw</t>
        </is>
      </c>
      <c r="N205" s="46" t="n"/>
    </row>
    <row r="206">
      <c r="E206" s="51" t="inlineStr">
        <is>
          <t>Protect</t>
        </is>
      </c>
      <c r="F206" s="46" t="n"/>
      <c r="G206" s="68" t="inlineStr">
        <is>
          <t>Dragon Dance</t>
        </is>
      </c>
      <c r="H206" s="46" t="n"/>
      <c r="I206" s="61" t="inlineStr">
        <is>
          <t>Surf</t>
        </is>
      </c>
      <c r="J206" s="46" t="n"/>
      <c r="K206" s="68" t="inlineStr">
        <is>
          <t>Dragon Breath</t>
        </is>
      </c>
      <c r="L206" s="46" t="n"/>
      <c r="M206" s="62" t="inlineStr">
        <is>
          <t>Rock Slide</t>
        </is>
      </c>
      <c r="N206" s="46" t="n"/>
    </row>
    <row r="207">
      <c r="E207" s="51" t="inlineStr">
        <is>
          <t>Double Edge</t>
        </is>
      </c>
      <c r="F207" s="46" t="n"/>
      <c r="G207" s="60" t="inlineStr">
        <is>
          <t>Aerial Ace</t>
        </is>
      </c>
      <c r="H207" s="46" t="n"/>
      <c r="I207" s="51" t="inlineStr">
        <is>
          <t>Body Slam</t>
        </is>
      </c>
      <c r="J207" s="46" t="n"/>
      <c r="K207" s="53" t="inlineStr">
        <is>
          <t>Earthquake</t>
        </is>
      </c>
      <c r="L207" s="46" t="n"/>
      <c r="M207" s="50" t="inlineStr">
        <is>
          <t>Crunch</t>
        </is>
      </c>
      <c r="N207" s="46" t="n"/>
    </row>
    <row r="209" ht="24" customHeight="1">
      <c r="B209" s="38" t="inlineStr">
        <is>
          <t>Ever Grande City - Champions Room   (Elite Four &amp; Champion)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Champion</t>
        </is>
      </c>
      <c r="C211" s="41" t="n"/>
      <c r="D211" s="41" t="n"/>
      <c r="E211" s="42" t="inlineStr">
        <is>
          <t>Champion Wallace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IFERROR(_xlfn.IMAGE("https://play.pokemonshowdown.com/sprites/gen5/wailord.png"),"")</f>
        <v/>
      </c>
      <c r="G212" s="43">
        <f>IFERROR(_xlfn.IMAGE("https://play.pokemonshowdown.com/sprites/gen5/tentacruel.png"),"")</f>
        <v/>
      </c>
      <c r="I212" s="43">
        <f>IFERROR(_xlfn.IMAGE("https://play.pokemonshowdown.com/sprites/gen5/ludicolo.png"),"")</f>
        <v/>
      </c>
      <c r="K212" s="43">
        <f>IFERROR(_xlfn.IMAGE("https://play.pokemonshowdown.com/sprites/gen5/whiscash.png"),"")</f>
        <v/>
      </c>
      <c r="M212" s="43">
        <f>IFERROR(_xlfn.IMAGE("https://play.pokemonshowdown.com/sprites/gen5/gyarados.png"),"")</f>
        <v/>
      </c>
      <c r="O212" s="43">
        <f>IFERROR(_xlfn.IMAGE("https://play.pokemonshowdown.com/sprites/gen5/milotic.png"),"")</f>
        <v/>
      </c>
      <c r="Q212" s="44" t="inlineStr">
        <is>
          <t>Items: Full Restore / Full Restore / Full Restore / Full Restore</t>
        </is>
      </c>
    </row>
    <row r="213">
      <c r="E213" s="45" t="inlineStr">
        <is>
          <t>Lv 57 Wailord</t>
        </is>
      </c>
      <c r="F213" s="46" t="n"/>
      <c r="G213" s="45" t="inlineStr">
        <is>
          <t>Lv 55 Tentacruel</t>
        </is>
      </c>
      <c r="H213" s="46" t="n"/>
      <c r="I213" s="45" t="inlineStr">
        <is>
          <t>Lv 56 Ludicolo</t>
        </is>
      </c>
      <c r="J213" s="46" t="n"/>
      <c r="K213" s="45" t="inlineStr">
        <is>
          <t>Lv 56 Whiscash</t>
        </is>
      </c>
      <c r="L213" s="46" t="n"/>
      <c r="M213" s="45" t="inlineStr">
        <is>
          <t>Lv 56 Gyarados</t>
        </is>
      </c>
      <c r="N213" s="46" t="n"/>
      <c r="O213" s="45" t="inlineStr">
        <is>
          <t>Lv 58 Milotic</t>
        </is>
      </c>
      <c r="P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Pressure</t>
        </is>
      </c>
      <c r="G214" s="48" t="inlineStr">
        <is>
          <t>Hardy</t>
        </is>
      </c>
      <c r="H214" s="48" t="inlineStr">
        <is>
          <t>Rain Dish</t>
        </is>
      </c>
      <c r="I214" s="48" t="inlineStr">
        <is>
          <t>Hardy</t>
        </is>
      </c>
      <c r="J214" s="48" t="inlineStr">
        <is>
          <t>Swift Swim</t>
        </is>
      </c>
      <c r="K214" s="48" t="inlineStr">
        <is>
          <t>Hardy</t>
        </is>
      </c>
      <c r="L214" s="48" t="inlineStr">
        <is>
          <t>Hydration</t>
        </is>
      </c>
      <c r="M214" s="48" t="inlineStr">
        <is>
          <t>Hardy</t>
        </is>
      </c>
      <c r="N214" s="48" t="inlineStr">
        <is>
          <t>Intimidate</t>
        </is>
      </c>
      <c r="O214" s="48" t="inlineStr">
        <is>
          <t>Hardy</t>
        </is>
      </c>
      <c r="P214" s="48" t="inlineStr">
        <is>
          <t>Filter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(None)</t>
        </is>
      </c>
      <c r="L215" s="46" t="n"/>
      <c r="M215" s="49" t="inlineStr">
        <is>
          <t>(None)</t>
        </is>
      </c>
      <c r="N215" s="46" t="n"/>
      <c r="O215" s="49" t="inlineStr">
        <is>
          <t>Sitrus Berry</t>
        </is>
      </c>
      <c r="P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Rain Dance</t>
        </is>
      </c>
      <c r="F216" s="46" t="n"/>
      <c r="G216" s="55" t="inlineStr">
        <is>
          <t>Toxic</t>
        </is>
      </c>
      <c r="H216" s="46" t="n"/>
      <c r="I216" s="59" t="inlineStr">
        <is>
          <t>Giga Drain</t>
        </is>
      </c>
      <c r="J216" s="46" t="n"/>
      <c r="K216" s="53" t="inlineStr">
        <is>
          <t>Earthquake</t>
        </is>
      </c>
      <c r="L216" s="46" t="n"/>
      <c r="M216" s="68" t="inlineStr">
        <is>
          <t>Dragon Dance</t>
        </is>
      </c>
      <c r="N216" s="46" t="n"/>
      <c r="O216" s="51" t="inlineStr">
        <is>
          <t>Recover</t>
        </is>
      </c>
      <c r="P216" s="46" t="n"/>
      <c r="Q216" s="47" t="inlineStr">
        <is>
          <t>Moves</t>
        </is>
      </c>
    </row>
    <row r="217">
      <c r="E217" s="61" t="inlineStr">
        <is>
          <t>Water Spout</t>
        </is>
      </c>
      <c r="F217" s="46" t="n"/>
      <c r="G217" s="61" t="inlineStr">
        <is>
          <t>Hydro Pump</t>
        </is>
      </c>
      <c r="H217" s="46" t="n"/>
      <c r="I217" s="61" t="inlineStr">
        <is>
          <t>Surf</t>
        </is>
      </c>
      <c r="J217" s="46" t="n"/>
      <c r="K217" s="61" t="inlineStr">
        <is>
          <t>Surf</t>
        </is>
      </c>
      <c r="L217" s="46" t="n"/>
      <c r="M217" s="53" t="inlineStr">
        <is>
          <t>Earthquake</t>
        </is>
      </c>
      <c r="N217" s="46" t="n"/>
      <c r="O217" s="61" t="inlineStr">
        <is>
          <t>Surf</t>
        </is>
      </c>
      <c r="P217" s="46" t="n"/>
    </row>
    <row r="218">
      <c r="E218" s="51" t="inlineStr">
        <is>
          <t>Double Edge</t>
        </is>
      </c>
      <c r="F218" s="46" t="n"/>
      <c r="G218" s="55" t="inlineStr">
        <is>
          <t>Sludge Bomb</t>
        </is>
      </c>
      <c r="H218" s="46" t="n"/>
      <c r="I218" s="59" t="inlineStr">
        <is>
          <t>Leech Seed</t>
        </is>
      </c>
      <c r="J218" s="46" t="n"/>
      <c r="K218" s="63" t="inlineStr">
        <is>
          <t>Amnesia</t>
        </is>
      </c>
      <c r="L218" s="46" t="n"/>
      <c r="M218" s="51" t="inlineStr">
        <is>
          <t>Hyper Beam</t>
        </is>
      </c>
      <c r="N218" s="46" t="n"/>
      <c r="O218" s="64" t="inlineStr">
        <is>
          <t>Ice Beam</t>
        </is>
      </c>
      <c r="P218" s="46" t="n"/>
    </row>
    <row r="219">
      <c r="E219" s="64" t="inlineStr">
        <is>
          <t>Blizzard</t>
        </is>
      </c>
      <c r="F219" s="46" t="n"/>
      <c r="G219" s="64" t="inlineStr">
        <is>
          <t>Ice Beam</t>
        </is>
      </c>
      <c r="H219" s="46" t="n"/>
      <c r="I219" s="51" t="inlineStr">
        <is>
          <t>Double Team</t>
        </is>
      </c>
      <c r="J219" s="46" t="n"/>
      <c r="K219" s="51" t="inlineStr">
        <is>
          <t>Hyper Beam</t>
        </is>
      </c>
      <c r="L219" s="46" t="n"/>
      <c r="M219" s="61" t="inlineStr">
        <is>
          <t>Surf</t>
        </is>
      </c>
      <c r="N219" s="46" t="n"/>
      <c r="O219" s="55" t="inlineStr">
        <is>
          <t>Toxic</t>
        </is>
      </c>
      <c r="P219" s="46" t="n"/>
    </row>
    <row r="221" ht="24" customHeight="1">
      <c r="B221" s="38" t="inlineStr">
        <is>
          <t>Unknown Location (no script reference)   (Unassigned)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Leader</t>
        </is>
      </c>
      <c r="C223" s="41" t="n"/>
      <c r="D223" s="41" t="n"/>
      <c r="E223" s="42" t="inlineStr">
        <is>
          <t>Leader Brawly (Rematch 1)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IFERROR(_xlfn.IMAGE("https://play.pokemonshowdown.com/sprites/gen5/machamp.png"),"")</f>
        <v/>
      </c>
      <c r="G224" s="43">
        <f>IFERROR(_xlfn.IMAGE("https://play.pokemonshowdown.com/sprites/gen5/meditite.png"),"")</f>
        <v/>
      </c>
      <c r="I224" s="43">
        <f>IFERROR(_xlfn.IMAGE("https://play.pokemonshowdown.com/sprites/gen5/hitmontop.png"),"")</f>
        <v/>
      </c>
      <c r="K224" s="43">
        <f>IFERROR(_xlfn.IMAGE("https://play.pokemonshowdown.com/sprites/gen5/hariyama.png"),"")</f>
        <v/>
      </c>
      <c r="Q224" s="44" t="inlineStr">
        <is>
          <t>DOUBLE BATTLE
Items: Full Restore / Full Restore / Full Restore</t>
        </is>
      </c>
    </row>
    <row r="225">
      <c r="E225" s="45" t="inlineStr">
        <is>
          <t>Lv 33 Machamp</t>
        </is>
      </c>
      <c r="F225" s="46" t="n"/>
      <c r="G225" s="45" t="inlineStr">
        <is>
          <t>Lv 33 Meditite</t>
        </is>
      </c>
      <c r="H225" s="46" t="n"/>
      <c r="I225" s="45" t="inlineStr">
        <is>
          <t>Lv 35 Hitmontop</t>
        </is>
      </c>
      <c r="J225" s="46" t="n"/>
      <c r="K225" s="45" t="inlineStr">
        <is>
          <t>Lv 37 Hariyama</t>
        </is>
      </c>
      <c r="L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No Guard</t>
        </is>
      </c>
      <c r="G226" s="48" t="inlineStr">
        <is>
          <t>Hardy</t>
        </is>
      </c>
      <c r="H226" s="48" t="inlineStr">
        <is>
          <t>Pure Power</t>
        </is>
      </c>
      <c r="I226" s="48" t="inlineStr">
        <is>
          <t>Hardy</t>
        </is>
      </c>
      <c r="J226" s="48" t="inlineStr">
        <is>
          <t>Technician</t>
        </is>
      </c>
      <c r="K226" s="48" t="inlineStr">
        <is>
          <t>Hardy</t>
        </is>
      </c>
      <c r="L226" s="48" t="inlineStr">
        <is>
          <t>Guts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Sitrus Berry</t>
        </is>
      </c>
      <c r="F227" s="46" t="n"/>
      <c r="G227" s="49" t="inlineStr">
        <is>
          <t>(None)</t>
        </is>
      </c>
      <c r="H227" s="46" t="n"/>
      <c r="I227" s="49" t="inlineStr">
        <is>
          <t>(None)</t>
        </is>
      </c>
      <c r="J227" s="46" t="n"/>
      <c r="K227" s="49" t="inlineStr">
        <is>
          <t>Sitrus Berry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65" t="inlineStr">
        <is>
          <t>Karate Chop</t>
        </is>
      </c>
      <c r="F228" s="46" t="n"/>
      <c r="G228" s="63" t="inlineStr">
        <is>
          <t>Psychic</t>
        </is>
      </c>
      <c r="H228" s="46" t="n"/>
      <c r="I228" s="50" t="inlineStr">
        <is>
          <t>Pursuit</t>
        </is>
      </c>
      <c r="J228" s="46" t="n"/>
      <c r="K228" s="51" t="inlineStr">
        <is>
          <t>Fake Out</t>
        </is>
      </c>
      <c r="L228" s="46" t="n"/>
      <c r="Q228" s="47" t="inlineStr">
        <is>
          <t>Moves</t>
        </is>
      </c>
    </row>
    <row r="229">
      <c r="E229" s="62" t="inlineStr">
        <is>
          <t>Rock Slide</t>
        </is>
      </c>
      <c r="F229" s="46" t="n"/>
      <c r="G229" s="63" t="inlineStr">
        <is>
          <t>Light Screen</t>
        </is>
      </c>
      <c r="H229" s="46" t="n"/>
      <c r="I229" s="65" t="inlineStr">
        <is>
          <t>Counter</t>
        </is>
      </c>
      <c r="J229" s="46" t="n"/>
      <c r="K229" s="65" t="inlineStr">
        <is>
          <t>Focus Punch</t>
        </is>
      </c>
      <c r="L229" s="46" t="n"/>
    </row>
    <row r="230">
      <c r="E230" s="65" t="inlineStr">
        <is>
          <t>Focus Punch</t>
        </is>
      </c>
      <c r="F230" s="46" t="n"/>
      <c r="G230" s="63" t="inlineStr">
        <is>
          <t>Reflect</t>
        </is>
      </c>
      <c r="H230" s="46" t="n"/>
      <c r="I230" s="51" t="inlineStr">
        <is>
          <t>Protect</t>
        </is>
      </c>
      <c r="J230" s="46" t="n"/>
      <c r="K230" s="51" t="inlineStr">
        <is>
          <t>Belly Drum</t>
        </is>
      </c>
      <c r="L230" s="46" t="n"/>
    </row>
    <row r="231">
      <c r="E231" s="65" t="inlineStr">
        <is>
          <t>Bulk Up</t>
        </is>
      </c>
      <c r="F231" s="46" t="n"/>
      <c r="G231" s="65" t="inlineStr">
        <is>
          <t>Focus Punch</t>
        </is>
      </c>
      <c r="H231" s="46" t="n"/>
      <c r="I231" s="65" t="inlineStr">
        <is>
          <t>Triple Kick</t>
        </is>
      </c>
      <c r="J231" s="46" t="n"/>
      <c r="K231" s="53" t="inlineStr">
        <is>
          <t>Earthquake</t>
        </is>
      </c>
      <c r="L231" s="46" t="n"/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Brawly (Rematch 2)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IFERROR(_xlfn.IMAGE("https://play.pokemonshowdown.com/sprites/gen5/machamp.png"),"")</f>
        <v/>
      </c>
      <c r="G234" s="43">
        <f>IFERROR(_xlfn.IMAGE("https://play.pokemonshowdown.com/sprites/gen5/medicham.png"),"")</f>
        <v/>
      </c>
      <c r="I234" s="43">
        <f>IFERROR(_xlfn.IMAGE("https://play.pokemonshowdown.com/sprites/gen5/hitmontop.png"),"")</f>
        <v/>
      </c>
      <c r="K234" s="43">
        <f>IFERROR(_xlfn.IMAGE("https://play.pokemonshowdown.com/sprites/gen5/hariyama.png"),"")</f>
        <v/>
      </c>
      <c r="Q234" s="44" t="inlineStr">
        <is>
          <t>DOUBLE BATTLE
Items: Full Restore / Full Restore / Full Restore</t>
        </is>
      </c>
    </row>
    <row r="235">
      <c r="E235" s="45" t="inlineStr">
        <is>
          <t>Lv 38 Machamp</t>
        </is>
      </c>
      <c r="F235" s="46" t="n"/>
      <c r="G235" s="45" t="inlineStr">
        <is>
          <t>Lv 38 Medicham</t>
        </is>
      </c>
      <c r="H235" s="46" t="n"/>
      <c r="I235" s="45" t="inlineStr">
        <is>
          <t>Lv 40 Hitmontop</t>
        </is>
      </c>
      <c r="J235" s="46" t="n"/>
      <c r="K235" s="45" t="inlineStr">
        <is>
          <t>Lv 42 Hariyama</t>
        </is>
      </c>
      <c r="L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No Guard</t>
        </is>
      </c>
      <c r="G236" s="48" t="inlineStr">
        <is>
          <t>Hardy</t>
        </is>
      </c>
      <c r="H236" s="48" t="inlineStr">
        <is>
          <t>Pure Power</t>
        </is>
      </c>
      <c r="I236" s="48" t="inlineStr">
        <is>
          <t>Hardy</t>
        </is>
      </c>
      <c r="J236" s="48" t="inlineStr">
        <is>
          <t>Technician</t>
        </is>
      </c>
      <c r="K236" s="48" t="inlineStr">
        <is>
          <t>Hardy</t>
        </is>
      </c>
      <c r="L236" s="48" t="inlineStr">
        <is>
          <t>Guts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Sitrus Berry</t>
        </is>
      </c>
      <c r="F237" s="46" t="n"/>
      <c r="G237" s="49" t="inlineStr">
        <is>
          <t>(None)</t>
        </is>
      </c>
      <c r="H237" s="46" t="n"/>
      <c r="I237" s="49" t="inlineStr">
        <is>
          <t>(None)</t>
        </is>
      </c>
      <c r="J237" s="46" t="n"/>
      <c r="K237" s="49" t="inlineStr">
        <is>
          <t>Sitrus Berry</t>
        </is>
      </c>
      <c r="L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5" t="inlineStr">
        <is>
          <t>Karate Chop</t>
        </is>
      </c>
      <c r="F238" s="46" t="n"/>
      <c r="G238" s="63" t="inlineStr">
        <is>
          <t>Psychic</t>
        </is>
      </c>
      <c r="H238" s="46" t="n"/>
      <c r="I238" s="50" t="inlineStr">
        <is>
          <t>Pursuit</t>
        </is>
      </c>
      <c r="J238" s="46" t="n"/>
      <c r="K238" s="51" t="inlineStr">
        <is>
          <t>Fake Out</t>
        </is>
      </c>
      <c r="L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3" t="inlineStr">
        <is>
          <t>Light Screen</t>
        </is>
      </c>
      <c r="H239" s="46" t="n"/>
      <c r="I239" s="65" t="inlineStr">
        <is>
          <t>Counter</t>
        </is>
      </c>
      <c r="J239" s="46" t="n"/>
      <c r="K239" s="65" t="inlineStr">
        <is>
          <t>Focus Punch</t>
        </is>
      </c>
      <c r="L239" s="46" t="n"/>
    </row>
    <row r="240">
      <c r="E240" s="65" t="inlineStr">
        <is>
          <t>Focus Punch</t>
        </is>
      </c>
      <c r="F240" s="46" t="n"/>
      <c r="G240" s="63" t="inlineStr">
        <is>
          <t>Reflect</t>
        </is>
      </c>
      <c r="H240" s="46" t="n"/>
      <c r="I240" s="51" t="inlineStr">
        <is>
          <t>Protect</t>
        </is>
      </c>
      <c r="J240" s="46" t="n"/>
      <c r="K240" s="51" t="inlineStr">
        <is>
          <t>Belly Drum</t>
        </is>
      </c>
      <c r="L240" s="46" t="n"/>
    </row>
    <row r="241">
      <c r="E241" s="65" t="inlineStr">
        <is>
          <t>Bulk Up</t>
        </is>
      </c>
      <c r="F241" s="46" t="n"/>
      <c r="G241" s="65" t="inlineStr">
        <is>
          <t>Focus Punch</t>
        </is>
      </c>
      <c r="H241" s="46" t="n"/>
      <c r="I241" s="65" t="inlineStr">
        <is>
          <t>Triple Kick</t>
        </is>
      </c>
      <c r="J241" s="46" t="n"/>
      <c r="K241" s="53" t="inlineStr">
        <is>
          <t>Earthquake</t>
        </is>
      </c>
      <c r="L241" s="46" t="n"/>
    </row>
    <row r="243" ht="20" customHeight="1">
      <c r="B243" s="40" t="inlineStr">
        <is>
          <t>Leader</t>
        </is>
      </c>
      <c r="C243" s="41" t="n"/>
      <c r="D243" s="41" t="n"/>
      <c r="E243" s="42" t="inlineStr">
        <is>
          <t>Leader Brawly (Rematch 3)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IFERROR(_xlfn.IMAGE("https://play.pokemonshowdown.com/sprites/gen5/hitmonchan.png"),"")</f>
        <v/>
      </c>
      <c r="G244" s="43">
        <f>IFERROR(_xlfn.IMAGE("https://play.pokemonshowdown.com/sprites/gen5/machamp.png"),"")</f>
        <v/>
      </c>
      <c r="I244" s="43">
        <f>IFERROR(_xlfn.IMAGE("https://play.pokemonshowdown.com/sprites/gen5/medicham.png"),"")</f>
        <v/>
      </c>
      <c r="K244" s="43">
        <f>IFERROR(_xlfn.IMAGE("https://play.pokemonshowdown.com/sprites/gen5/hitmontop.png"),"")</f>
        <v/>
      </c>
      <c r="M244" s="43">
        <f>IFERROR(_xlfn.IMAGE("https://play.pokemonshowdown.com/sprites/gen5/hariyama.png"),"")</f>
        <v/>
      </c>
      <c r="Q244" s="44" t="inlineStr">
        <is>
          <t>DOUBLE BATTLE
Items: Full Restore / Full Restore / Full Restore</t>
        </is>
      </c>
    </row>
    <row r="245">
      <c r="E245" s="45" t="inlineStr">
        <is>
          <t>Lv 40 Hitmonchan</t>
        </is>
      </c>
      <c r="F245" s="46" t="n"/>
      <c r="G245" s="45" t="inlineStr">
        <is>
          <t>Lv 43 Machamp</t>
        </is>
      </c>
      <c r="H245" s="46" t="n"/>
      <c r="I245" s="45" t="inlineStr">
        <is>
          <t>Lv 43 Medicham</t>
        </is>
      </c>
      <c r="J245" s="46" t="n"/>
      <c r="K245" s="45" t="inlineStr">
        <is>
          <t>Lv 45 Hitmontop</t>
        </is>
      </c>
      <c r="L245" s="46" t="n"/>
      <c r="M245" s="45" t="inlineStr">
        <is>
          <t>Lv 47 Hariyama</t>
        </is>
      </c>
      <c r="N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Scrappy</t>
        </is>
      </c>
      <c r="G246" s="48" t="inlineStr">
        <is>
          <t>Hardy</t>
        </is>
      </c>
      <c r="H246" s="48" t="inlineStr">
        <is>
          <t>No Guard</t>
        </is>
      </c>
      <c r="I246" s="48" t="inlineStr">
        <is>
          <t>Hardy</t>
        </is>
      </c>
      <c r="J246" s="48" t="inlineStr">
        <is>
          <t>Pure Power</t>
        </is>
      </c>
      <c r="K246" s="48" t="inlineStr">
        <is>
          <t>Hardy</t>
        </is>
      </c>
      <c r="L246" s="48" t="inlineStr">
        <is>
          <t>Technician</t>
        </is>
      </c>
      <c r="M246" s="48" t="inlineStr">
        <is>
          <t>Hardy</t>
        </is>
      </c>
      <c r="N246" s="48" t="inlineStr">
        <is>
          <t>Guts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Sitrus Berry</t>
        </is>
      </c>
      <c r="H247" s="46" t="n"/>
      <c r="I247" s="49" t="inlineStr">
        <is>
          <t>(None)</t>
        </is>
      </c>
      <c r="J247" s="46" t="n"/>
      <c r="K247" s="49" t="inlineStr">
        <is>
          <t>(None)</t>
        </is>
      </c>
      <c r="L247" s="46" t="n"/>
      <c r="M247" s="49" t="inlineStr">
        <is>
          <t>Sitrus Berry</t>
        </is>
      </c>
      <c r="N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5" t="inlineStr">
        <is>
          <t>Sky Uppercut</t>
        </is>
      </c>
      <c r="F248" s="46" t="n"/>
      <c r="G248" s="65" t="inlineStr">
        <is>
          <t>Karate Chop</t>
        </is>
      </c>
      <c r="H248" s="46" t="n"/>
      <c r="I248" s="65" t="inlineStr">
        <is>
          <t>Focus Punch</t>
        </is>
      </c>
      <c r="J248" s="46" t="n"/>
      <c r="K248" s="50" t="inlineStr">
        <is>
          <t>Pursuit</t>
        </is>
      </c>
      <c r="L248" s="46" t="n"/>
      <c r="M248" s="51" t="inlineStr">
        <is>
          <t>Fake Out</t>
        </is>
      </c>
      <c r="N248" s="46" t="n"/>
      <c r="Q248" s="47" t="inlineStr">
        <is>
          <t>Moves</t>
        </is>
      </c>
    </row>
    <row r="249">
      <c r="E249" s="51" t="inlineStr">
        <is>
          <t>Protect</t>
        </is>
      </c>
      <c r="F249" s="46" t="n"/>
      <c r="G249" s="62" t="inlineStr">
        <is>
          <t>Rock Slide</t>
        </is>
      </c>
      <c r="H249" s="46" t="n"/>
      <c r="I249" s="63" t="inlineStr">
        <is>
          <t>Light Screen</t>
        </is>
      </c>
      <c r="J249" s="46" t="n"/>
      <c r="K249" s="65" t="inlineStr">
        <is>
          <t>Counter</t>
        </is>
      </c>
      <c r="L249" s="46" t="n"/>
      <c r="M249" s="65" t="inlineStr">
        <is>
          <t>Focus Punch</t>
        </is>
      </c>
      <c r="N249" s="46" t="n"/>
    </row>
    <row r="250">
      <c r="E250" s="58" t="inlineStr">
        <is>
          <t>Fire Punch</t>
        </is>
      </c>
      <c r="F250" s="46" t="n"/>
      <c r="G250" s="65" t="inlineStr">
        <is>
          <t>Focus Punch</t>
        </is>
      </c>
      <c r="H250" s="46" t="n"/>
      <c r="I250" s="63" t="inlineStr">
        <is>
          <t>Reflect</t>
        </is>
      </c>
      <c r="J250" s="46" t="n"/>
      <c r="K250" s="51" t="inlineStr">
        <is>
          <t>Protect</t>
        </is>
      </c>
      <c r="L250" s="46" t="n"/>
      <c r="M250" s="51" t="inlineStr">
        <is>
          <t>Belly Drum</t>
        </is>
      </c>
      <c r="N250" s="46" t="n"/>
    </row>
    <row r="251">
      <c r="E251" s="64" t="inlineStr">
        <is>
          <t>Ice Punch</t>
        </is>
      </c>
      <c r="F251" s="46" t="n"/>
      <c r="G251" s="65" t="inlineStr">
        <is>
          <t>Bulk Up</t>
        </is>
      </c>
      <c r="H251" s="46" t="n"/>
      <c r="I251" s="63" t="inlineStr">
        <is>
          <t>Psychic</t>
        </is>
      </c>
      <c r="J251" s="46" t="n"/>
      <c r="K251" s="65" t="inlineStr">
        <is>
          <t>Triple Kick</t>
        </is>
      </c>
      <c r="L251" s="46" t="n"/>
      <c r="M251" s="53" t="inlineStr">
        <is>
          <t>Earthquake</t>
        </is>
      </c>
      <c r="N251" s="46" t="n"/>
    </row>
    <row r="253" ht="20" customHeight="1">
      <c r="B253" s="40" t="inlineStr">
        <is>
          <t>Leader</t>
        </is>
      </c>
      <c r="C253" s="41" t="n"/>
      <c r="D253" s="41" t="n"/>
      <c r="E253" s="42" t="inlineStr">
        <is>
          <t>Leader Brawly (Rematch 4)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IFERROR(_xlfn.IMAGE("https://play.pokemonshowdown.com/sprites/gen5/hitmonlee.png"),"")</f>
        <v/>
      </c>
      <c r="G254" s="43">
        <f>IFERROR(_xlfn.IMAGE("https://play.pokemonshowdown.com/sprites/gen5/hitmonchan.png"),"")</f>
        <v/>
      </c>
      <c r="I254" s="43">
        <f>IFERROR(_xlfn.IMAGE("https://play.pokemonshowdown.com/sprites/gen5/machamp.png"),"")</f>
        <v/>
      </c>
      <c r="K254" s="43">
        <f>IFERROR(_xlfn.IMAGE("https://play.pokemonshowdown.com/sprites/gen5/medicham.png"),"")</f>
        <v/>
      </c>
      <c r="M254" s="43">
        <f>IFERROR(_xlfn.IMAGE("https://play.pokemonshowdown.com/sprites/gen5/hitmontop.png"),"")</f>
        <v/>
      </c>
      <c r="O254" s="43">
        <f>IFERROR(_xlfn.IMAGE("https://play.pokemonshowdown.com/sprites/gen5/hariyama.png"),"")</f>
        <v/>
      </c>
      <c r="Q254" s="44" t="inlineStr">
        <is>
          <t>DOUBLE BATTLE
Items: Full Restore / Full Restore / Full Restore</t>
        </is>
      </c>
    </row>
    <row r="255">
      <c r="E255" s="45" t="inlineStr">
        <is>
          <t>Lv 46 Hitmonlee</t>
        </is>
      </c>
      <c r="F255" s="46" t="n"/>
      <c r="G255" s="45" t="inlineStr">
        <is>
          <t>Lv 46 Hitmonchan</t>
        </is>
      </c>
      <c r="H255" s="46" t="n"/>
      <c r="I255" s="45" t="inlineStr">
        <is>
          <t>Lv 48 Machamp</t>
        </is>
      </c>
      <c r="J255" s="46" t="n"/>
      <c r="K255" s="45" t="inlineStr">
        <is>
          <t>Lv 48 Medicham</t>
        </is>
      </c>
      <c r="L255" s="46" t="n"/>
      <c r="M255" s="45" t="inlineStr">
        <is>
          <t>Lv 50 Hitmontop</t>
        </is>
      </c>
      <c r="N255" s="46" t="n"/>
      <c r="O255" s="45" t="inlineStr">
        <is>
          <t>Lv 52 Hariyama</t>
        </is>
      </c>
      <c r="P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Quick Feet</t>
        </is>
      </c>
      <c r="G256" s="48" t="inlineStr">
        <is>
          <t>Hardy</t>
        </is>
      </c>
      <c r="H256" s="48" t="inlineStr">
        <is>
          <t>Scrappy</t>
        </is>
      </c>
      <c r="I256" s="48" t="inlineStr">
        <is>
          <t>Hardy</t>
        </is>
      </c>
      <c r="J256" s="48" t="inlineStr">
        <is>
          <t>No Guard</t>
        </is>
      </c>
      <c r="K256" s="48" t="inlineStr">
        <is>
          <t>Hardy</t>
        </is>
      </c>
      <c r="L256" s="48" t="inlineStr">
        <is>
          <t>Pure Power</t>
        </is>
      </c>
      <c r="M256" s="48" t="inlineStr">
        <is>
          <t>Hardy</t>
        </is>
      </c>
      <c r="N256" s="48" t="inlineStr">
        <is>
          <t>Technician</t>
        </is>
      </c>
      <c r="O256" s="48" t="inlineStr">
        <is>
          <t>Hardy</t>
        </is>
      </c>
      <c r="P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I257" s="49" t="inlineStr">
        <is>
          <t>Sitrus Berry</t>
        </is>
      </c>
      <c r="J257" s="46" t="n"/>
      <c r="K257" s="49" t="inlineStr">
        <is>
          <t>(None)</t>
        </is>
      </c>
      <c r="L257" s="46" t="n"/>
      <c r="M257" s="49" t="inlineStr">
        <is>
          <t>(None)</t>
        </is>
      </c>
      <c r="N257" s="46" t="n"/>
      <c r="O257" s="49" t="inlineStr">
        <is>
          <t>Sitrus Berry</t>
        </is>
      </c>
      <c r="P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Mega Kick</t>
        </is>
      </c>
      <c r="F258" s="46" t="n"/>
      <c r="G258" s="65" t="inlineStr">
        <is>
          <t>Sky Uppercut</t>
        </is>
      </c>
      <c r="H258" s="46" t="n"/>
      <c r="I258" s="65" t="inlineStr">
        <is>
          <t>Cross Chop</t>
        </is>
      </c>
      <c r="J258" s="46" t="n"/>
      <c r="K258" s="65" t="inlineStr">
        <is>
          <t>Focus Punch</t>
        </is>
      </c>
      <c r="L258" s="46" t="n"/>
      <c r="M258" s="50" t="inlineStr">
        <is>
          <t>Pursuit</t>
        </is>
      </c>
      <c r="N258" s="46" t="n"/>
      <c r="O258" s="51" t="inlineStr">
        <is>
          <t>Fake Out</t>
        </is>
      </c>
      <c r="P258" s="46" t="n"/>
      <c r="Q258" s="47" t="inlineStr">
        <is>
          <t>Moves</t>
        </is>
      </c>
    </row>
    <row r="259">
      <c r="E259" s="65" t="inlineStr">
        <is>
          <t>Focus Punch</t>
        </is>
      </c>
      <c r="F259" s="46" t="n"/>
      <c r="G259" s="51" t="inlineStr">
        <is>
          <t>Protect</t>
        </is>
      </c>
      <c r="H259" s="46" t="n"/>
      <c r="I259" s="62" t="inlineStr">
        <is>
          <t>Rock Slide</t>
        </is>
      </c>
      <c r="J259" s="46" t="n"/>
      <c r="K259" s="63" t="inlineStr">
        <is>
          <t>Light Screen</t>
        </is>
      </c>
      <c r="L259" s="46" t="n"/>
      <c r="M259" s="65" t="inlineStr">
        <is>
          <t>Counter</t>
        </is>
      </c>
      <c r="N259" s="46" t="n"/>
      <c r="O259" s="65" t="inlineStr">
        <is>
          <t>Focus Punch</t>
        </is>
      </c>
      <c r="P259" s="46" t="n"/>
    </row>
    <row r="260">
      <c r="E260" s="53" t="inlineStr">
        <is>
          <t>Earthquake</t>
        </is>
      </c>
      <c r="F260" s="46" t="n"/>
      <c r="G260" s="58" t="inlineStr">
        <is>
          <t>Fire Punch</t>
        </is>
      </c>
      <c r="H260" s="46" t="n"/>
      <c r="I260" s="65" t="inlineStr">
        <is>
          <t>Focus Punch</t>
        </is>
      </c>
      <c r="J260" s="46" t="n"/>
      <c r="K260" s="63" t="inlineStr">
        <is>
          <t>Reflect</t>
        </is>
      </c>
      <c r="L260" s="46" t="n"/>
      <c r="M260" s="51" t="inlineStr">
        <is>
          <t>Protect</t>
        </is>
      </c>
      <c r="N260" s="46" t="n"/>
      <c r="O260" s="51" t="inlineStr">
        <is>
          <t>Belly Drum</t>
        </is>
      </c>
      <c r="P260" s="46" t="n"/>
    </row>
    <row r="261">
      <c r="E261" s="65" t="inlineStr">
        <is>
          <t>Bulk Up</t>
        </is>
      </c>
      <c r="F261" s="46" t="n"/>
      <c r="G261" s="64" t="inlineStr">
        <is>
          <t>Ice Punch</t>
        </is>
      </c>
      <c r="H261" s="46" t="n"/>
      <c r="I261" s="65" t="inlineStr">
        <is>
          <t>Bulk Up</t>
        </is>
      </c>
      <c r="J261" s="46" t="n"/>
      <c r="K261" s="63" t="inlineStr">
        <is>
          <t>Psychic</t>
        </is>
      </c>
      <c r="L261" s="46" t="n"/>
      <c r="M261" s="65" t="inlineStr">
        <is>
          <t>Triple Kick</t>
        </is>
      </c>
      <c r="N261" s="46" t="n"/>
      <c r="O261" s="53" t="inlineStr">
        <is>
          <t>Earthquake</t>
        </is>
      </c>
      <c r="P261" s="46" t="n"/>
    </row>
    <row r="263" ht="20" customHeight="1">
      <c r="B263" s="40" t="inlineStr">
        <is>
          <t>Leader</t>
        </is>
      </c>
      <c r="C263" s="41" t="n"/>
      <c r="D263" s="41" t="n"/>
      <c r="E263" s="42" t="inlineStr">
        <is>
          <t>Leader Flannery (Rematch 1)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IFERROR(_xlfn.IMAGE("https://play.pokemonshowdown.com/sprites/gen5/magcargo.png"),"")</f>
        <v/>
      </c>
      <c r="G264" s="43">
        <f>IFERROR(_xlfn.IMAGE("https://play.pokemonshowdown.com/sprites/gen5/ponyta.png"),"")</f>
        <v/>
      </c>
      <c r="I264" s="43">
        <f>IFERROR(_xlfn.IMAGE("https://play.pokemonshowdown.com/sprites/gen5/camerupt.png"),"")</f>
        <v/>
      </c>
      <c r="K264" s="43">
        <f>IFERROR(_xlfn.IMAGE("https://play.pokemonshowdown.com/sprites/gen5/torkoal.png"),"")</f>
        <v/>
      </c>
      <c r="Q264" s="44" t="inlineStr">
        <is>
          <t>DOUBLE BATTLE
Items: Full Restore / Full Restore / Full Restore</t>
        </is>
      </c>
    </row>
    <row r="265">
      <c r="E265" s="45" t="inlineStr">
        <is>
          <t>Lv 38 Magcargo</t>
        </is>
      </c>
      <c r="F265" s="46" t="n"/>
      <c r="G265" s="45" t="inlineStr">
        <is>
          <t>Lv 36 Ponyta</t>
        </is>
      </c>
      <c r="H265" s="46" t="n"/>
      <c r="I265" s="45" t="inlineStr">
        <is>
          <t>Lv 38 Camerupt</t>
        </is>
      </c>
      <c r="J265" s="46" t="n"/>
      <c r="K265" s="45" t="inlineStr">
        <is>
          <t>Lv 40 Torkoal</t>
        </is>
      </c>
      <c r="L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Reckless</t>
        </is>
      </c>
      <c r="I266" s="48" t="inlineStr">
        <is>
          <t>Hardy</t>
        </is>
      </c>
      <c r="J266" s="48" t="inlineStr">
        <is>
          <t>Magma Armor</t>
        </is>
      </c>
      <c r="K266" s="48" t="inlineStr">
        <is>
          <t>Hardy</t>
        </is>
      </c>
      <c r="L266" s="48" t="inlineStr">
        <is>
          <t>White Smoke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White Herb</t>
        </is>
      </c>
      <c r="F267" s="46" t="n"/>
      <c r="G267" s="49" t="inlineStr">
        <is>
          <t>(None)</t>
        </is>
      </c>
      <c r="H267" s="46" t="n"/>
      <c r="I267" s="49" t="inlineStr">
        <is>
          <t>White Herb</t>
        </is>
      </c>
      <c r="J267" s="46" t="n"/>
      <c r="K267" s="49" t="inlineStr">
        <is>
          <t>White Herb</t>
        </is>
      </c>
      <c r="L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Overheat</t>
        </is>
      </c>
      <c r="F268" s="46" t="n"/>
      <c r="G268" s="58" t="inlineStr">
        <is>
          <t>Flamethrower</t>
        </is>
      </c>
      <c r="H268" s="46" t="n"/>
      <c r="I268" s="58" t="inlineStr">
        <is>
          <t>Overheat</t>
        </is>
      </c>
      <c r="J268" s="46" t="n"/>
      <c r="K268" s="58" t="inlineStr">
        <is>
          <t>Overheat</t>
        </is>
      </c>
      <c r="L268" s="46" t="n"/>
      <c r="Q268" s="47" t="inlineStr">
        <is>
          <t>Moves</t>
        </is>
      </c>
    </row>
    <row r="269">
      <c r="E269" s="51" t="inlineStr">
        <is>
          <t>Attract</t>
        </is>
      </c>
      <c r="F269" s="46" t="n"/>
      <c r="G269" s="51" t="inlineStr">
        <is>
          <t>Attract</t>
        </is>
      </c>
      <c r="H269" s="46" t="n"/>
      <c r="I269" s="58" t="inlineStr">
        <is>
          <t>Sunny Day</t>
        </is>
      </c>
      <c r="J269" s="46" t="n"/>
      <c r="K269" s="58" t="inlineStr">
        <is>
          <t>Sunny Day</t>
        </is>
      </c>
      <c r="L269" s="46" t="n"/>
    </row>
    <row r="270">
      <c r="E270" s="63" t="inlineStr">
        <is>
          <t>Light Screen</t>
        </is>
      </c>
      <c r="F270" s="46" t="n"/>
      <c r="G270" s="59" t="inlineStr">
        <is>
          <t>Solar Beam</t>
        </is>
      </c>
      <c r="H270" s="46" t="n"/>
      <c r="I270" s="53" t="inlineStr">
        <is>
          <t>Earthquake</t>
        </is>
      </c>
      <c r="J270" s="46" t="n"/>
      <c r="K270" s="51" t="inlineStr">
        <is>
          <t>Explosion</t>
        </is>
      </c>
      <c r="L270" s="46" t="n"/>
    </row>
    <row r="271">
      <c r="E271" s="62" t="inlineStr">
        <is>
          <t>Rock Slide</t>
        </is>
      </c>
      <c r="F271" s="46" t="n"/>
      <c r="G271" s="60" t="inlineStr">
        <is>
          <t>Bounce</t>
        </is>
      </c>
      <c r="H271" s="46" t="n"/>
      <c r="I271" s="51" t="inlineStr">
        <is>
          <t>Attract</t>
        </is>
      </c>
      <c r="J271" s="46" t="n"/>
      <c r="K271" s="51" t="inlineStr">
        <is>
          <t>Attract</t>
        </is>
      </c>
      <c r="L271" s="46" t="n"/>
    </row>
    <row r="273" ht="20" customHeight="1">
      <c r="B273" s="40" t="inlineStr">
        <is>
          <t>Leader</t>
        </is>
      </c>
      <c r="C273" s="41" t="n"/>
      <c r="D273" s="41" t="n"/>
      <c r="E273" s="42" t="inlineStr">
        <is>
          <t>Leader Flannery (Rematch 2)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IFERROR(_xlfn.IMAGE("https://play.pokemonshowdown.com/sprites/gen5/growlithe.png"),"")</f>
        <v/>
      </c>
      <c r="G274" s="43">
        <f>IFERROR(_xlfn.IMAGE("https://play.pokemonshowdown.com/sprites/gen5/magcargo.png"),"")</f>
        <v/>
      </c>
      <c r="I274" s="43">
        <f>IFERROR(_xlfn.IMAGE("https://play.pokemonshowdown.com/sprites/gen5/ponyta.png"),"")</f>
        <v/>
      </c>
      <c r="K274" s="43">
        <f>IFERROR(_xlfn.IMAGE("https://play.pokemonshowdown.com/sprites/gen5/camerupt.png"),"")</f>
        <v/>
      </c>
      <c r="M274" s="43">
        <f>IFERROR(_xlfn.IMAGE("https://play.pokemonshowdown.com/sprites/gen5/torkoal.png"),"")</f>
        <v/>
      </c>
      <c r="Q274" s="44" t="inlineStr">
        <is>
          <t>DOUBLE BATTLE
Items: Full Restore / Full Restore / Full Restore</t>
        </is>
      </c>
    </row>
    <row r="275">
      <c r="E275" s="45" t="inlineStr">
        <is>
          <t>Lv 41 Growlithe</t>
        </is>
      </c>
      <c r="F275" s="46" t="n"/>
      <c r="G275" s="45" t="inlineStr">
        <is>
          <t>Lv 43 Magcargo</t>
        </is>
      </c>
      <c r="H275" s="46" t="n"/>
      <c r="I275" s="45" t="inlineStr">
        <is>
          <t>Lv 41 Ponyta</t>
        </is>
      </c>
      <c r="J275" s="46" t="n"/>
      <c r="K275" s="45" t="inlineStr">
        <is>
          <t>Lv 43 Camerupt</t>
        </is>
      </c>
      <c r="L275" s="46" t="n"/>
      <c r="M275" s="45" t="inlineStr">
        <is>
          <t>Lv 45 Torkoal</t>
        </is>
      </c>
      <c r="N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Intimidate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Reckless</t>
        </is>
      </c>
      <c r="K276" s="48" t="inlineStr">
        <is>
          <t>Hardy</t>
        </is>
      </c>
      <c r="L276" s="48" t="inlineStr">
        <is>
          <t>Magma Armor</t>
        </is>
      </c>
      <c r="M276" s="48" t="inlineStr">
        <is>
          <t>Hardy</t>
        </is>
      </c>
      <c r="N276" s="48" t="inlineStr">
        <is>
          <t>White Smoke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White Herb</t>
        </is>
      </c>
      <c r="H277" s="46" t="n"/>
      <c r="I277" s="49" t="inlineStr">
        <is>
          <t>(None)</t>
        </is>
      </c>
      <c r="J277" s="46" t="n"/>
      <c r="K277" s="49" t="inlineStr">
        <is>
          <t>White Herb</t>
        </is>
      </c>
      <c r="L277" s="46" t="n"/>
      <c r="M277" s="49" t="inlineStr">
        <is>
          <t>White Herb</t>
        </is>
      </c>
      <c r="N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1" t="inlineStr">
        <is>
          <t>Helping Hand</t>
        </is>
      </c>
      <c r="F278" s="46" t="n"/>
      <c r="G278" s="58" t="inlineStr">
        <is>
          <t>Overheat</t>
        </is>
      </c>
      <c r="H278" s="46" t="n"/>
      <c r="I278" s="58" t="inlineStr">
        <is>
          <t>Flamethrower</t>
        </is>
      </c>
      <c r="J278" s="46" t="n"/>
      <c r="K278" s="58" t="inlineStr">
        <is>
          <t>Overheat</t>
        </is>
      </c>
      <c r="L278" s="46" t="n"/>
      <c r="M278" s="58" t="inlineStr">
        <is>
          <t>Overheat</t>
        </is>
      </c>
      <c r="N278" s="46" t="n"/>
      <c r="Q278" s="47" t="inlineStr">
        <is>
          <t>Moves</t>
        </is>
      </c>
    </row>
    <row r="279">
      <c r="E279" s="58" t="inlineStr">
        <is>
          <t>Flamethrower</t>
        </is>
      </c>
      <c r="F279" s="46" t="n"/>
      <c r="G279" s="51" t="inlineStr">
        <is>
          <t>Attract</t>
        </is>
      </c>
      <c r="H279" s="46" t="n"/>
      <c r="I279" s="51" t="inlineStr">
        <is>
          <t>Attract</t>
        </is>
      </c>
      <c r="J279" s="46" t="n"/>
      <c r="K279" s="58" t="inlineStr">
        <is>
          <t>Sunny Day</t>
        </is>
      </c>
      <c r="L279" s="46" t="n"/>
      <c r="M279" s="58" t="inlineStr">
        <is>
          <t>Sunny Day</t>
        </is>
      </c>
      <c r="N279" s="46" t="n"/>
    </row>
    <row r="280">
      <c r="E280" s="51" t="inlineStr">
        <is>
          <t>Roar</t>
        </is>
      </c>
      <c r="F280" s="46" t="n"/>
      <c r="G280" s="63" t="inlineStr">
        <is>
          <t>Light Screen</t>
        </is>
      </c>
      <c r="H280" s="46" t="n"/>
      <c r="I280" s="59" t="inlineStr">
        <is>
          <t>Solar Beam</t>
        </is>
      </c>
      <c r="J280" s="46" t="n"/>
      <c r="K280" s="53" t="inlineStr">
        <is>
          <t>Earthquake</t>
        </is>
      </c>
      <c r="L280" s="46" t="n"/>
      <c r="M280" s="51" t="inlineStr">
        <is>
          <t>Explosion</t>
        </is>
      </c>
      <c r="N280" s="46" t="n"/>
    </row>
    <row r="281">
      <c r="E281" s="58" t="inlineStr">
        <is>
          <t>Sunny Day</t>
        </is>
      </c>
      <c r="F281" s="46" t="n"/>
      <c r="G281" s="62" t="inlineStr">
        <is>
          <t>Rock Slide</t>
        </is>
      </c>
      <c r="H281" s="46" t="n"/>
      <c r="I281" s="60" t="inlineStr">
        <is>
          <t>Bounce</t>
        </is>
      </c>
      <c r="J281" s="46" t="n"/>
      <c r="K281" s="51" t="inlineStr">
        <is>
          <t>Attract</t>
        </is>
      </c>
      <c r="L281" s="46" t="n"/>
      <c r="M281" s="51" t="inlineStr">
        <is>
          <t>Attract</t>
        </is>
      </c>
      <c r="N281" s="46" t="n"/>
    </row>
    <row r="283" ht="20" customHeight="1">
      <c r="B283" s="40" t="inlineStr">
        <is>
          <t>Leader</t>
        </is>
      </c>
      <c r="C283" s="41" t="n"/>
      <c r="D283" s="41" t="n"/>
      <c r="E283" s="42" t="inlineStr">
        <is>
          <t>Leader Flannery (Rematch 3)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IFERROR(_xlfn.IMAGE("https://play.pokemonshowdown.com/sprites/gen5/houndour.png"),"")</f>
        <v/>
      </c>
      <c r="G284" s="43">
        <f>IFERROR(_xlfn.IMAGE("https://play.pokemonshowdown.com/sprites/gen5/growlithe.png"),"")</f>
        <v/>
      </c>
      <c r="I284" s="43">
        <f>IFERROR(_xlfn.IMAGE("https://play.pokemonshowdown.com/sprites/gen5/magcargo.png"),"")</f>
        <v/>
      </c>
      <c r="K284" s="43">
        <f>IFERROR(_xlfn.IMAGE("https://play.pokemonshowdown.com/sprites/gen5/rapidash.png"),"")</f>
        <v/>
      </c>
      <c r="M284" s="43">
        <f>IFERROR(_xlfn.IMAGE("https://play.pokemonshowdown.com/sprites/gen5/camerupt.png"),"")</f>
        <v/>
      </c>
      <c r="O284" s="43">
        <f>IFERROR(_xlfn.IMAGE("https://play.pokemonshowdown.com/sprites/gen5/torkoal.png"),"")</f>
        <v/>
      </c>
      <c r="Q284" s="44" t="inlineStr">
        <is>
          <t>DOUBLE BATTLE
Items: Full Restore / Full Restore / Full Restore</t>
        </is>
      </c>
    </row>
    <row r="285">
      <c r="E285" s="45" t="inlineStr">
        <is>
          <t>Lv 46 Houndour</t>
        </is>
      </c>
      <c r="F285" s="46" t="n"/>
      <c r="G285" s="45" t="inlineStr">
        <is>
          <t>Lv 46 Growlithe</t>
        </is>
      </c>
      <c r="H285" s="46" t="n"/>
      <c r="I285" s="45" t="inlineStr">
        <is>
          <t>Lv 48 Magcargo</t>
        </is>
      </c>
      <c r="J285" s="46" t="n"/>
      <c r="K285" s="45" t="inlineStr">
        <is>
          <t>Lv 46 Rapidash</t>
        </is>
      </c>
      <c r="L285" s="46" t="n"/>
      <c r="M285" s="45" t="inlineStr">
        <is>
          <t>Lv 48 Camerupt</t>
        </is>
      </c>
      <c r="N285" s="46" t="n"/>
      <c r="O285" s="45" t="inlineStr">
        <is>
          <t>Lv 50 Torkoal</t>
        </is>
      </c>
      <c r="P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Solar Power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Magma Armor</t>
        </is>
      </c>
      <c r="K286" s="48" t="inlineStr">
        <is>
          <t>Hardy</t>
        </is>
      </c>
      <c r="L286" s="48" t="inlineStr">
        <is>
          <t>Reckless</t>
        </is>
      </c>
      <c r="M286" s="48" t="inlineStr">
        <is>
          <t>Hardy</t>
        </is>
      </c>
      <c r="N286" s="48" t="inlineStr">
        <is>
          <t>Magma Armor</t>
        </is>
      </c>
      <c r="O286" s="48" t="inlineStr">
        <is>
          <t>Hardy</t>
        </is>
      </c>
      <c r="P286" s="48" t="inlineStr">
        <is>
          <t>White Smoke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White Herb</t>
        </is>
      </c>
      <c r="J287" s="46" t="n"/>
      <c r="K287" s="49" t="inlineStr">
        <is>
          <t>(None)</t>
        </is>
      </c>
      <c r="L287" s="46" t="n"/>
      <c r="M287" s="49" t="inlineStr">
        <is>
          <t>White Herb</t>
        </is>
      </c>
      <c r="N287" s="46" t="n"/>
      <c r="O287" s="49" t="inlineStr">
        <is>
          <t>White Herb</t>
        </is>
      </c>
      <c r="P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1" t="inlineStr">
        <is>
          <t>Roar</t>
        </is>
      </c>
      <c r="F288" s="46" t="n"/>
      <c r="G288" s="51" t="inlineStr">
        <is>
          <t>Helping Hand</t>
        </is>
      </c>
      <c r="H288" s="46" t="n"/>
      <c r="I288" s="58" t="inlineStr">
        <is>
          <t>Overheat</t>
        </is>
      </c>
      <c r="J288" s="46" t="n"/>
      <c r="K288" s="58" t="inlineStr">
        <is>
          <t>Flamethrower</t>
        </is>
      </c>
      <c r="L288" s="46" t="n"/>
      <c r="M288" s="58" t="inlineStr">
        <is>
          <t>Overheat</t>
        </is>
      </c>
      <c r="N288" s="46" t="n"/>
      <c r="O288" s="58" t="inlineStr">
        <is>
          <t>Overheat</t>
        </is>
      </c>
      <c r="P288" s="46" t="n"/>
      <c r="Q288" s="47" t="inlineStr">
        <is>
          <t>Moves</t>
        </is>
      </c>
    </row>
    <row r="289">
      <c r="E289" s="59" t="inlineStr">
        <is>
          <t>Solar Beam</t>
        </is>
      </c>
      <c r="F289" s="46" t="n"/>
      <c r="G289" s="58" t="inlineStr">
        <is>
          <t>Flamethrower</t>
        </is>
      </c>
      <c r="H289" s="46" t="n"/>
      <c r="I289" s="51" t="inlineStr">
        <is>
          <t>Attract</t>
        </is>
      </c>
      <c r="J289" s="46" t="n"/>
      <c r="K289" s="51" t="inlineStr">
        <is>
          <t>Attract</t>
        </is>
      </c>
      <c r="L289" s="46" t="n"/>
      <c r="M289" s="58" t="inlineStr">
        <is>
          <t>Sunny Day</t>
        </is>
      </c>
      <c r="N289" s="46" t="n"/>
      <c r="O289" s="58" t="inlineStr">
        <is>
          <t>Sunny Day</t>
        </is>
      </c>
      <c r="P289" s="46" t="n"/>
    </row>
    <row r="290">
      <c r="E290" s="50" t="inlineStr">
        <is>
          <t>Taunt</t>
        </is>
      </c>
      <c r="F290" s="46" t="n"/>
      <c r="G290" s="58" t="inlineStr">
        <is>
          <t>Sunny Day</t>
        </is>
      </c>
      <c r="H290" s="46" t="n"/>
      <c r="I290" s="63" t="inlineStr">
        <is>
          <t>Light Screen</t>
        </is>
      </c>
      <c r="J290" s="46" t="n"/>
      <c r="K290" s="59" t="inlineStr">
        <is>
          <t>Solar Beam</t>
        </is>
      </c>
      <c r="L290" s="46" t="n"/>
      <c r="M290" s="53" t="inlineStr">
        <is>
          <t>Earthquake</t>
        </is>
      </c>
      <c r="N290" s="46" t="n"/>
      <c r="O290" s="51" t="inlineStr">
        <is>
          <t>Explosion</t>
        </is>
      </c>
      <c r="P290" s="46" t="n"/>
    </row>
    <row r="291">
      <c r="E291" s="58" t="inlineStr">
        <is>
          <t>Sunny Day</t>
        </is>
      </c>
      <c r="F291" s="46" t="n"/>
      <c r="G291" s="51" t="inlineStr">
        <is>
          <t>Roar</t>
        </is>
      </c>
      <c r="H291" s="46" t="n"/>
      <c r="I291" s="62" t="inlineStr">
        <is>
          <t>Rock Slide</t>
        </is>
      </c>
      <c r="J291" s="46" t="n"/>
      <c r="K291" s="60" t="inlineStr">
        <is>
          <t>Bounce</t>
        </is>
      </c>
      <c r="L291" s="46" t="n"/>
      <c r="M291" s="51" t="inlineStr">
        <is>
          <t>Attract</t>
        </is>
      </c>
      <c r="N291" s="46" t="n"/>
      <c r="O291" s="51" t="inlineStr">
        <is>
          <t>Attract</t>
        </is>
      </c>
      <c r="P291" s="46" t="n"/>
    </row>
    <row r="293" ht="20" customHeight="1">
      <c r="B293" s="40" t="inlineStr">
        <is>
          <t>Leader</t>
        </is>
      </c>
      <c r="C293" s="41" t="n"/>
      <c r="D293" s="41" t="n"/>
      <c r="E293" s="42" t="inlineStr">
        <is>
          <t>Leader Flannery (Rematch 4)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IFERROR(_xlfn.IMAGE("https://play.pokemonshowdown.com/sprites/gen5/arcanine.png"),"")</f>
        <v/>
      </c>
      <c r="G294" s="43">
        <f>IFERROR(_xlfn.IMAGE("https://play.pokemonshowdown.com/sprites/gen5/magcargo.png"),"")</f>
        <v/>
      </c>
      <c r="I294" s="43">
        <f>IFERROR(_xlfn.IMAGE("https://play.pokemonshowdown.com/sprites/gen5/houndoom.png"),"")</f>
        <v/>
      </c>
      <c r="K294" s="43">
        <f>IFERROR(_xlfn.IMAGE("https://play.pokemonshowdown.com/sprites/gen5/rapidash.png"),"")</f>
        <v/>
      </c>
      <c r="M294" s="43">
        <f>IFERROR(_xlfn.IMAGE("https://play.pokemonshowdown.com/sprites/gen5/camerupt.png"),"")</f>
        <v/>
      </c>
      <c r="O294" s="43">
        <f>IFERROR(_xlfn.IMAGE("https://play.pokemonshowdown.com/sprites/gen5/torkoal.png"),"")</f>
        <v/>
      </c>
      <c r="Q294" s="44" t="inlineStr">
        <is>
          <t>DOUBLE BATTLE
Items: Full Restore / Full Restore / Full Restore</t>
        </is>
      </c>
    </row>
    <row r="295">
      <c r="E295" s="45" t="inlineStr">
        <is>
          <t>Lv 51 Arcanine</t>
        </is>
      </c>
      <c r="F295" s="46" t="n"/>
      <c r="G295" s="45" t="inlineStr">
        <is>
          <t>Lv 53 Magcargo</t>
        </is>
      </c>
      <c r="H295" s="46" t="n"/>
      <c r="I295" s="45" t="inlineStr">
        <is>
          <t>Lv 51 Houndoom</t>
        </is>
      </c>
      <c r="J295" s="46" t="n"/>
      <c r="K295" s="45" t="inlineStr">
        <is>
          <t>Lv 51 Rapidash</t>
        </is>
      </c>
      <c r="L295" s="46" t="n"/>
      <c r="M295" s="45" t="inlineStr">
        <is>
          <t>Lv 53 Camerupt</t>
        </is>
      </c>
      <c r="N295" s="46" t="n"/>
      <c r="O295" s="45" t="inlineStr">
        <is>
          <t>Lv 55 Torkoal</t>
        </is>
      </c>
      <c r="P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Intimidate</t>
        </is>
      </c>
      <c r="G296" s="48" t="inlineStr">
        <is>
          <t>Hardy</t>
        </is>
      </c>
      <c r="H296" s="48" t="inlineStr">
        <is>
          <t>Magma Armor</t>
        </is>
      </c>
      <c r="I296" s="48" t="inlineStr">
        <is>
          <t>Hardy</t>
        </is>
      </c>
      <c r="J296" s="48" t="inlineStr">
        <is>
          <t>Solar Power</t>
        </is>
      </c>
      <c r="K296" s="48" t="inlineStr">
        <is>
          <t>Hardy</t>
        </is>
      </c>
      <c r="L296" s="48" t="inlineStr">
        <is>
          <t>Reckless</t>
        </is>
      </c>
      <c r="M296" s="48" t="inlineStr">
        <is>
          <t>Hardy</t>
        </is>
      </c>
      <c r="N296" s="48" t="inlineStr">
        <is>
          <t>Magma Armor</t>
        </is>
      </c>
      <c r="O296" s="48" t="inlineStr">
        <is>
          <t>Hardy</t>
        </is>
      </c>
      <c r="P296" s="48" t="inlineStr">
        <is>
          <t>White Smoke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White Herb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M297" s="49" t="inlineStr">
        <is>
          <t>White Herb</t>
        </is>
      </c>
      <c r="N297" s="46" t="n"/>
      <c r="O297" s="49" t="inlineStr">
        <is>
          <t>White Herb</t>
        </is>
      </c>
      <c r="P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1" t="inlineStr">
        <is>
          <t>Helping Hand</t>
        </is>
      </c>
      <c r="F298" s="46" t="n"/>
      <c r="G298" s="58" t="inlineStr">
        <is>
          <t>Overheat</t>
        </is>
      </c>
      <c r="H298" s="46" t="n"/>
      <c r="I298" s="51" t="inlineStr">
        <is>
          <t>Roar</t>
        </is>
      </c>
      <c r="J298" s="46" t="n"/>
      <c r="K298" s="58" t="inlineStr">
        <is>
          <t>Flamethrower</t>
        </is>
      </c>
      <c r="L298" s="46" t="n"/>
      <c r="M298" s="58" t="inlineStr">
        <is>
          <t>Overheat</t>
        </is>
      </c>
      <c r="N298" s="46" t="n"/>
      <c r="O298" s="58" t="inlineStr">
        <is>
          <t>Overheat</t>
        </is>
      </c>
      <c r="P298" s="46" t="n"/>
      <c r="Q298" s="47" t="inlineStr">
        <is>
          <t>Moves</t>
        </is>
      </c>
    </row>
    <row r="299">
      <c r="E299" s="58" t="inlineStr">
        <is>
          <t>Flamethrower</t>
        </is>
      </c>
      <c r="F299" s="46" t="n"/>
      <c r="G299" s="51" t="inlineStr">
        <is>
          <t>Attract</t>
        </is>
      </c>
      <c r="H299" s="46" t="n"/>
      <c r="I299" s="59" t="inlineStr">
        <is>
          <t>Solar Beam</t>
        </is>
      </c>
      <c r="J299" s="46" t="n"/>
      <c r="K299" s="51" t="inlineStr">
        <is>
          <t>Attract</t>
        </is>
      </c>
      <c r="L299" s="46" t="n"/>
      <c r="M299" s="58" t="inlineStr">
        <is>
          <t>Sunny Day</t>
        </is>
      </c>
      <c r="N299" s="46" t="n"/>
      <c r="O299" s="58" t="inlineStr">
        <is>
          <t>Sunny Day</t>
        </is>
      </c>
      <c r="P299" s="46" t="n"/>
    </row>
    <row r="300">
      <c r="E300" s="58" t="inlineStr">
        <is>
          <t>Sunny Day</t>
        </is>
      </c>
      <c r="F300" s="46" t="n"/>
      <c r="G300" s="63" t="inlineStr">
        <is>
          <t>Light Screen</t>
        </is>
      </c>
      <c r="H300" s="46" t="n"/>
      <c r="I300" s="50" t="inlineStr">
        <is>
          <t>Taunt</t>
        </is>
      </c>
      <c r="J300" s="46" t="n"/>
      <c r="K300" s="59" t="inlineStr">
        <is>
          <t>Solar Beam</t>
        </is>
      </c>
      <c r="L300" s="46" t="n"/>
      <c r="M300" s="53" t="inlineStr">
        <is>
          <t>Earthquake</t>
        </is>
      </c>
      <c r="N300" s="46" t="n"/>
      <c r="O300" s="51" t="inlineStr">
        <is>
          <t>Explosion</t>
        </is>
      </c>
      <c r="P300" s="46" t="n"/>
    </row>
    <row r="301">
      <c r="E301" s="51" t="inlineStr">
        <is>
          <t>Roar</t>
        </is>
      </c>
      <c r="F301" s="46" t="n"/>
      <c r="G301" s="62" t="inlineStr">
        <is>
          <t>Rock Slide</t>
        </is>
      </c>
      <c r="H301" s="46" t="n"/>
      <c r="I301" s="58" t="inlineStr">
        <is>
          <t>Sunny Day</t>
        </is>
      </c>
      <c r="J301" s="46" t="n"/>
      <c r="K301" s="60" t="inlineStr">
        <is>
          <t>Bounce</t>
        </is>
      </c>
      <c r="L301" s="46" t="n"/>
      <c r="M301" s="51" t="inlineStr">
        <is>
          <t>Attract</t>
        </is>
      </c>
      <c r="N301" s="46" t="n"/>
      <c r="O301" s="51" t="inlineStr">
        <is>
          <t>Attract</t>
        </is>
      </c>
      <c r="P301" s="46" t="n"/>
    </row>
    <row r="303" ht="20" customHeight="1">
      <c r="B303" s="40" t="inlineStr">
        <is>
          <t>Leader</t>
        </is>
      </c>
      <c r="C303" s="41" t="n"/>
      <c r="D303" s="41" t="n"/>
      <c r="E303" s="42" t="inlineStr">
        <is>
          <t>Leader Juan (Rematch 1)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IFERROR(_xlfn.IMAGE("https://play.pokemonshowdown.com/sprites/gen5/poliwag.png"),"")</f>
        <v/>
      </c>
      <c r="G304" s="43">
        <f>IFERROR(_xlfn.IMAGE("https://play.pokemonshowdown.com/sprites/gen5/whiscash.png"),"")</f>
        <v/>
      </c>
      <c r="I304" s="43">
        <f>IFERROR(_xlfn.IMAGE("https://play.pokemonshowdown.com/sprites/gen5/walrein.png"),"")</f>
        <v/>
      </c>
      <c r="K304" s="43">
        <f>IFERROR(_xlfn.IMAGE("https://play.pokemonshowdown.com/sprites/gen5/crawdaunt.png"),"")</f>
        <v/>
      </c>
      <c r="M304" s="43">
        <f>IFERROR(_xlfn.IMAGE("https://play.pokemonshowdown.com/sprites/gen5/kingdra.png"),"")</f>
        <v/>
      </c>
      <c r="Q304" s="44" t="inlineStr">
        <is>
          <t>DOUBLE BATTLE
Items: Full Restore / Full Restore / Full Restore</t>
        </is>
      </c>
    </row>
    <row r="305">
      <c r="E305" s="45" t="inlineStr">
        <is>
          <t>Lv 46 Poliwag</t>
        </is>
      </c>
      <c r="F305" s="46" t="n"/>
      <c r="G305" s="45" t="inlineStr">
        <is>
          <t>Lv 46 Whiscash</t>
        </is>
      </c>
      <c r="H305" s="46" t="n"/>
      <c r="I305" s="45" t="inlineStr">
        <is>
          <t>Lv 48 Walrein</t>
        </is>
      </c>
      <c r="J305" s="46" t="n"/>
      <c r="K305" s="45" t="inlineStr">
        <is>
          <t>Lv 48 Crawdaunt</t>
        </is>
      </c>
      <c r="L305" s="46" t="n"/>
      <c r="M305" s="45" t="inlineStr">
        <is>
          <t>Lv 51 Kingdra</t>
        </is>
      </c>
      <c r="N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Swift Swim</t>
        </is>
      </c>
      <c r="G306" s="48" t="inlineStr">
        <is>
          <t>Hardy</t>
        </is>
      </c>
      <c r="H306" s="48" t="inlineStr">
        <is>
          <t>Hydration</t>
        </is>
      </c>
      <c r="I306" s="48" t="inlineStr">
        <is>
          <t>Hardy</t>
        </is>
      </c>
      <c r="J306" s="48" t="inlineStr">
        <is>
          <t>Filter</t>
        </is>
      </c>
      <c r="K306" s="48" t="inlineStr">
        <is>
          <t>Hardy</t>
        </is>
      </c>
      <c r="L306" s="48" t="inlineStr">
        <is>
          <t>Adaptability</t>
        </is>
      </c>
      <c r="M306" s="48" t="inlineStr">
        <is>
          <t>Hardy</t>
        </is>
      </c>
      <c r="N306" s="48" t="inlineStr">
        <is>
          <t>Swift Swim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I307" s="49" t="inlineStr">
        <is>
          <t>(None)</t>
        </is>
      </c>
      <c r="J307" s="46" t="n"/>
      <c r="K307" s="49" t="inlineStr">
        <is>
          <t>Chesto Berry</t>
        </is>
      </c>
      <c r="L307" s="46" t="n"/>
      <c r="M307" s="49" t="inlineStr">
        <is>
          <t>Chesto Berry</t>
        </is>
      </c>
      <c r="N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3" t="inlineStr">
        <is>
          <t>Hypnosis</t>
        </is>
      </c>
      <c r="F308" s="46" t="n"/>
      <c r="G308" s="61" t="inlineStr">
        <is>
          <t>Rain Dance</t>
        </is>
      </c>
      <c r="H308" s="46" t="n"/>
      <c r="I308" s="61" t="inlineStr">
        <is>
          <t>Water Pulse</t>
        </is>
      </c>
      <c r="J308" s="46" t="n"/>
      <c r="K308" s="63" t="inlineStr">
        <is>
          <t>Rest</t>
        </is>
      </c>
      <c r="L308" s="46" t="n"/>
      <c r="M308" s="61" t="inlineStr">
        <is>
          <t>Water Pulse</t>
        </is>
      </c>
      <c r="N308" s="46" t="n"/>
      <c r="Q308" s="47" t="inlineStr">
        <is>
          <t>Moves</t>
        </is>
      </c>
    </row>
    <row r="309">
      <c r="E309" s="61" t="inlineStr">
        <is>
          <t>Rain Dance</t>
        </is>
      </c>
      <c r="F309" s="46" t="n"/>
      <c r="G309" s="61" t="inlineStr">
        <is>
          <t>Water Pulse</t>
        </is>
      </c>
      <c r="H309" s="46" t="n"/>
      <c r="I309" s="51" t="inlineStr">
        <is>
          <t>Body Slam</t>
        </is>
      </c>
      <c r="J309" s="46" t="n"/>
      <c r="K309" s="61" t="inlineStr">
        <is>
          <t>Crabhammer</t>
        </is>
      </c>
      <c r="L309" s="46" t="n"/>
      <c r="M309" s="51" t="inlineStr">
        <is>
          <t>Double Team</t>
        </is>
      </c>
      <c r="N309" s="46" t="n"/>
    </row>
    <row r="310">
      <c r="E310" s="51" t="inlineStr">
        <is>
          <t>Protect</t>
        </is>
      </c>
      <c r="F310" s="46" t="n"/>
      <c r="G310" s="51" t="inlineStr">
        <is>
          <t>Double Team</t>
        </is>
      </c>
      <c r="H310" s="46" t="n"/>
      <c r="I310" s="51" t="inlineStr">
        <is>
          <t>Protect</t>
        </is>
      </c>
      <c r="J310" s="46" t="n"/>
      <c r="K310" s="50" t="inlineStr">
        <is>
          <t>Taunt</t>
        </is>
      </c>
      <c r="L310" s="46" t="n"/>
      <c r="M310" s="64" t="inlineStr">
        <is>
          <t>Ice Beam</t>
        </is>
      </c>
      <c r="N310" s="46" t="n"/>
    </row>
    <row r="311">
      <c r="E311" s="61" t="inlineStr">
        <is>
          <t>Hydro Pump</t>
        </is>
      </c>
      <c r="F311" s="46" t="n"/>
      <c r="G311" s="53" t="inlineStr">
        <is>
          <t>Fissure</t>
        </is>
      </c>
      <c r="H311" s="46" t="n"/>
      <c r="I311" s="64" t="inlineStr">
        <is>
          <t>Ice Beam</t>
        </is>
      </c>
      <c r="J311" s="46" t="n"/>
      <c r="K311" s="51" t="inlineStr">
        <is>
          <t>Double Team</t>
        </is>
      </c>
      <c r="L311" s="46" t="n"/>
      <c r="M311" s="63" t="inlineStr">
        <is>
          <t>Rest</t>
        </is>
      </c>
      <c r="N311" s="46" t="n"/>
    </row>
    <row r="313" ht="20" customHeight="1">
      <c r="B313" s="40" t="inlineStr">
        <is>
          <t>Leader</t>
        </is>
      </c>
      <c r="C313" s="41" t="n"/>
      <c r="D313" s="41" t="n"/>
      <c r="E313" s="42" t="inlineStr">
        <is>
          <t>Leader Juan (Rematch 2)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IFERROR(_xlfn.IMAGE("https://play.pokemonshowdown.com/sprites/gen5/poliwhirl.png"),"")</f>
        <v/>
      </c>
      <c r="G314" s="43">
        <f>IFERROR(_xlfn.IMAGE("https://play.pokemonshowdown.com/sprites/gen5/whiscash.png"),"")</f>
        <v/>
      </c>
      <c r="I314" s="43">
        <f>IFERROR(_xlfn.IMAGE("https://play.pokemonshowdown.com/sprites/gen5/walrein.png"),"")</f>
        <v/>
      </c>
      <c r="K314" s="43">
        <f>IFERROR(_xlfn.IMAGE("https://play.pokemonshowdown.com/sprites/gen5/crawdaunt.png"),"")</f>
        <v/>
      </c>
      <c r="M314" s="43">
        <f>IFERROR(_xlfn.IMAGE("https://play.pokemonshowdown.com/sprites/gen5/kingdra.png"),"")</f>
        <v/>
      </c>
      <c r="Q314" s="44" t="inlineStr">
        <is>
          <t>DOUBLE BATTLE
Items: Full Restore / Full Restore / Full Restore</t>
        </is>
      </c>
    </row>
    <row r="315">
      <c r="E315" s="45" t="inlineStr">
        <is>
          <t>Lv 50 Poliwhirl</t>
        </is>
      </c>
      <c r="F315" s="46" t="n"/>
      <c r="G315" s="45" t="inlineStr">
        <is>
          <t>Lv 51 Whiscash</t>
        </is>
      </c>
      <c r="H315" s="46" t="n"/>
      <c r="I315" s="45" t="inlineStr">
        <is>
          <t>Lv 53 Walrein</t>
        </is>
      </c>
      <c r="J315" s="46" t="n"/>
      <c r="K315" s="45" t="inlineStr">
        <is>
          <t>Lv 53 Crawdaunt</t>
        </is>
      </c>
      <c r="L315" s="46" t="n"/>
      <c r="M315" s="45" t="inlineStr">
        <is>
          <t>Lv 56 Kingdra</t>
        </is>
      </c>
      <c r="N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Hydration</t>
        </is>
      </c>
      <c r="I316" s="48" t="inlineStr">
        <is>
          <t>Hardy</t>
        </is>
      </c>
      <c r="J316" s="48" t="inlineStr">
        <is>
          <t>Filter</t>
        </is>
      </c>
      <c r="K316" s="48" t="inlineStr">
        <is>
          <t>Hardy</t>
        </is>
      </c>
      <c r="L316" s="48" t="inlineStr">
        <is>
          <t>Adaptability</t>
        </is>
      </c>
      <c r="M316" s="48" t="inlineStr">
        <is>
          <t>Hardy</t>
        </is>
      </c>
      <c r="N316" s="48" t="inlineStr">
        <is>
          <t>Swift Swim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K317" s="49" t="inlineStr">
        <is>
          <t>Chesto Berry</t>
        </is>
      </c>
      <c r="L317" s="46" t="n"/>
      <c r="M317" s="49" t="inlineStr">
        <is>
          <t>Chesto Berry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3" t="inlineStr">
        <is>
          <t>Hypnosis</t>
        </is>
      </c>
      <c r="F318" s="46" t="n"/>
      <c r="G318" s="61" t="inlineStr">
        <is>
          <t>Rain Dance</t>
        </is>
      </c>
      <c r="H318" s="46" t="n"/>
      <c r="I318" s="61" t="inlineStr">
        <is>
          <t>Water Pulse</t>
        </is>
      </c>
      <c r="J318" s="46" t="n"/>
      <c r="K318" s="63" t="inlineStr">
        <is>
          <t>Rest</t>
        </is>
      </c>
      <c r="L318" s="46" t="n"/>
      <c r="M318" s="61" t="inlineStr">
        <is>
          <t>Water Pulse</t>
        </is>
      </c>
      <c r="N318" s="46" t="n"/>
      <c r="Q318" s="47" t="inlineStr">
        <is>
          <t>Moves</t>
        </is>
      </c>
    </row>
    <row r="319">
      <c r="E319" s="61" t="inlineStr">
        <is>
          <t>Rain Dance</t>
        </is>
      </c>
      <c r="F319" s="46" t="n"/>
      <c r="G319" s="61" t="inlineStr">
        <is>
          <t>Water Pulse</t>
        </is>
      </c>
      <c r="H319" s="46" t="n"/>
      <c r="I319" s="51" t="inlineStr">
        <is>
          <t>Body Slam</t>
        </is>
      </c>
      <c r="J319" s="46" t="n"/>
      <c r="K319" s="51" t="inlineStr">
        <is>
          <t>Guillotine</t>
        </is>
      </c>
      <c r="L319" s="46" t="n"/>
      <c r="M319" s="51" t="inlineStr">
        <is>
          <t>Double Team</t>
        </is>
      </c>
      <c r="N319" s="46" t="n"/>
    </row>
    <row r="320">
      <c r="E320" s="51" t="inlineStr">
        <is>
          <t>Protect</t>
        </is>
      </c>
      <c r="F320" s="46" t="n"/>
      <c r="G320" s="51" t="inlineStr">
        <is>
          <t>Double Team</t>
        </is>
      </c>
      <c r="H320" s="46" t="n"/>
      <c r="I320" s="51" t="inlineStr">
        <is>
          <t>Protect</t>
        </is>
      </c>
      <c r="J320" s="46" t="n"/>
      <c r="K320" s="50" t="inlineStr">
        <is>
          <t>Taunt</t>
        </is>
      </c>
      <c r="L320" s="46" t="n"/>
      <c r="M320" s="64" t="inlineStr">
        <is>
          <t>Ice Beam</t>
        </is>
      </c>
      <c r="N320" s="46" t="n"/>
    </row>
    <row r="321">
      <c r="E321" s="61" t="inlineStr">
        <is>
          <t>Hydro Pump</t>
        </is>
      </c>
      <c r="F321" s="46" t="n"/>
      <c r="G321" s="53" t="inlineStr">
        <is>
          <t>Fissure</t>
        </is>
      </c>
      <c r="H321" s="46" t="n"/>
      <c r="I321" s="64" t="inlineStr">
        <is>
          <t>Ice Beam</t>
        </is>
      </c>
      <c r="J321" s="46" t="n"/>
      <c r="K321" s="51" t="inlineStr">
        <is>
          <t>Double Team</t>
        </is>
      </c>
      <c r="L321" s="46" t="n"/>
      <c r="M321" s="63" t="inlineStr">
        <is>
          <t>Rest</t>
        </is>
      </c>
      <c r="N321" s="46" t="n"/>
    </row>
    <row r="323" ht="20" customHeight="1">
      <c r="B323" s="40" t="inlineStr">
        <is>
          <t>Leader</t>
        </is>
      </c>
      <c r="C323" s="41" t="n"/>
      <c r="D323" s="41" t="n"/>
      <c r="E323" s="42" t="inlineStr">
        <is>
          <t>Leader Juan (Rematch 3)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IFERROR(_xlfn.IMAGE("https://play.pokemonshowdown.com/sprites/gen5/lapras.png"),"")</f>
        <v/>
      </c>
      <c r="G324" s="43">
        <f>IFERROR(_xlfn.IMAGE("https://play.pokemonshowdown.com/sprites/gen5/whiscash.png"),"")</f>
        <v/>
      </c>
      <c r="I324" s="43">
        <f>IFERROR(_xlfn.IMAGE("https://play.pokemonshowdown.com/sprites/gen5/poliwhirl.png"),"")</f>
        <v/>
      </c>
      <c r="K324" s="43">
        <f>IFERROR(_xlfn.IMAGE("https://play.pokemonshowdown.com/sprites/gen5/walrein.png"),"")</f>
        <v/>
      </c>
      <c r="M324" s="43">
        <f>IFERROR(_xlfn.IMAGE("https://play.pokemonshowdown.com/sprites/gen5/crawdaunt.png"),"")</f>
        <v/>
      </c>
      <c r="O324" s="43">
        <f>IFERROR(_xlfn.IMAGE("https://play.pokemonshowdown.com/sprites/gen5/kingdra.png"),"")</f>
        <v/>
      </c>
      <c r="Q324" s="44" t="inlineStr">
        <is>
          <t>DOUBLE BATTLE
Items: Full Restore / Full Restore / Full Restore</t>
        </is>
      </c>
    </row>
    <row r="325">
      <c r="E325" s="45" t="inlineStr">
        <is>
          <t>Lv 56 Lapras</t>
        </is>
      </c>
      <c r="F325" s="46" t="n"/>
      <c r="G325" s="45" t="inlineStr">
        <is>
          <t>Lv 58 Whiscash</t>
        </is>
      </c>
      <c r="H325" s="46" t="n"/>
      <c r="I325" s="45" t="inlineStr">
        <is>
          <t>Lv 56 Poliwhirl</t>
        </is>
      </c>
      <c r="J325" s="46" t="n"/>
      <c r="K325" s="45" t="inlineStr">
        <is>
          <t>Lv 58 Walrein</t>
        </is>
      </c>
      <c r="L325" s="46" t="n"/>
      <c r="M325" s="45" t="inlineStr">
        <is>
          <t>Lv 58 Crawdaunt</t>
        </is>
      </c>
      <c r="N325" s="46" t="n"/>
      <c r="O325" s="45" t="inlineStr">
        <is>
          <t>Lv 61 Kingdra</t>
        </is>
      </c>
      <c r="P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Serene Grace</t>
        </is>
      </c>
      <c r="G326" s="48" t="inlineStr">
        <is>
          <t>Hardy</t>
        </is>
      </c>
      <c r="H326" s="48" t="inlineStr">
        <is>
          <t>Hydration</t>
        </is>
      </c>
      <c r="I326" s="48" t="inlineStr">
        <is>
          <t>Hardy</t>
        </is>
      </c>
      <c r="J326" s="48" t="inlineStr">
        <is>
          <t>Swift Swim</t>
        </is>
      </c>
      <c r="K326" s="48" t="inlineStr">
        <is>
          <t>Hardy</t>
        </is>
      </c>
      <c r="L326" s="48" t="inlineStr">
        <is>
          <t>Filter</t>
        </is>
      </c>
      <c r="M326" s="48" t="inlineStr">
        <is>
          <t>Hardy</t>
        </is>
      </c>
      <c r="N326" s="48" t="inlineStr">
        <is>
          <t>Adaptability</t>
        </is>
      </c>
      <c r="O326" s="48" t="inlineStr">
        <is>
          <t>Hardy</t>
        </is>
      </c>
      <c r="P326" s="48" t="inlineStr">
        <is>
          <t>Swift Swim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I327" s="49" t="inlineStr">
        <is>
          <t>(None)</t>
        </is>
      </c>
      <c r="J327" s="46" t="n"/>
      <c r="K327" s="49" t="inlineStr">
        <is>
          <t>(None)</t>
        </is>
      </c>
      <c r="L327" s="46" t="n"/>
      <c r="M327" s="49" t="inlineStr">
        <is>
          <t>Chesto Berry</t>
        </is>
      </c>
      <c r="N327" s="46" t="n"/>
      <c r="O327" s="49" t="inlineStr">
        <is>
          <t>Chesto Berry</t>
        </is>
      </c>
      <c r="P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Hydro Pump</t>
        </is>
      </c>
      <c r="F328" s="46" t="n"/>
      <c r="G328" s="61" t="inlineStr">
        <is>
          <t>Rain Dance</t>
        </is>
      </c>
      <c r="H328" s="46" t="n"/>
      <c r="I328" s="63" t="inlineStr">
        <is>
          <t>Hypnosis</t>
        </is>
      </c>
      <c r="J328" s="46" t="n"/>
      <c r="K328" s="61" t="inlineStr">
        <is>
          <t>Water Pulse</t>
        </is>
      </c>
      <c r="L328" s="46" t="n"/>
      <c r="M328" s="63" t="inlineStr">
        <is>
          <t>Rest</t>
        </is>
      </c>
      <c r="N328" s="46" t="n"/>
      <c r="O328" s="61" t="inlineStr">
        <is>
          <t>Water Pulse</t>
        </is>
      </c>
      <c r="P328" s="46" t="n"/>
      <c r="Q328" s="47" t="inlineStr">
        <is>
          <t>Moves</t>
        </is>
      </c>
    </row>
    <row r="329">
      <c r="E329" s="51" t="inlineStr">
        <is>
          <t>Perish Song</t>
        </is>
      </c>
      <c r="F329" s="46" t="n"/>
      <c r="G329" s="61" t="inlineStr">
        <is>
          <t>Water Pulse</t>
        </is>
      </c>
      <c r="H329" s="46" t="n"/>
      <c r="I329" s="61" t="inlineStr">
        <is>
          <t>Rain Dance</t>
        </is>
      </c>
      <c r="J329" s="46" t="n"/>
      <c r="K329" s="51" t="inlineStr">
        <is>
          <t>Body Slam</t>
        </is>
      </c>
      <c r="L329" s="46" t="n"/>
      <c r="M329" s="51" t="inlineStr">
        <is>
          <t>Guillotine</t>
        </is>
      </c>
      <c r="N329" s="46" t="n"/>
      <c r="O329" s="51" t="inlineStr">
        <is>
          <t>Double Team</t>
        </is>
      </c>
      <c r="P329" s="46" t="n"/>
    </row>
    <row r="330">
      <c r="E330" s="64" t="inlineStr">
        <is>
          <t>Ice Beam</t>
        </is>
      </c>
      <c r="F330" s="46" t="n"/>
      <c r="G330" s="51" t="inlineStr">
        <is>
          <t>Double Team</t>
        </is>
      </c>
      <c r="H330" s="46" t="n"/>
      <c r="I330" s="51" t="inlineStr">
        <is>
          <t>Protect</t>
        </is>
      </c>
      <c r="J330" s="46" t="n"/>
      <c r="K330" s="51" t="inlineStr">
        <is>
          <t>Protect</t>
        </is>
      </c>
      <c r="L330" s="46" t="n"/>
      <c r="M330" s="50" t="inlineStr">
        <is>
          <t>Taunt</t>
        </is>
      </c>
      <c r="N330" s="46" t="n"/>
      <c r="O330" s="64" t="inlineStr">
        <is>
          <t>Ice Beam</t>
        </is>
      </c>
      <c r="P330" s="46" t="n"/>
    </row>
    <row r="331">
      <c r="E331" s="67" t="inlineStr">
        <is>
          <t>Confuse Ray</t>
        </is>
      </c>
      <c r="F331" s="46" t="n"/>
      <c r="G331" s="53" t="inlineStr">
        <is>
          <t>Fissure</t>
        </is>
      </c>
      <c r="H331" s="46" t="n"/>
      <c r="I331" s="61" t="inlineStr">
        <is>
          <t>Hydro Pump</t>
        </is>
      </c>
      <c r="J331" s="46" t="n"/>
      <c r="K331" s="64" t="inlineStr">
        <is>
          <t>Ice Beam</t>
        </is>
      </c>
      <c r="L331" s="46" t="n"/>
      <c r="M331" s="51" t="inlineStr">
        <is>
          <t>Double Team</t>
        </is>
      </c>
      <c r="N331" s="46" t="n"/>
      <c r="O331" s="63" t="inlineStr">
        <is>
          <t>Rest</t>
        </is>
      </c>
      <c r="P331" s="46" t="n"/>
    </row>
    <row r="333" ht="20" customHeight="1">
      <c r="B333" s="40" t="inlineStr">
        <is>
          <t>Leader</t>
        </is>
      </c>
      <c r="C333" s="41" t="n"/>
      <c r="D333" s="41" t="n"/>
      <c r="E333" s="42" t="inlineStr">
        <is>
          <t>Leader Juan (Rematch 4)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IFERROR(_xlfn.IMAGE("https://play.pokemonshowdown.com/sprites/gen5/lapras.png"),"")</f>
        <v/>
      </c>
      <c r="G334" s="43">
        <f>IFERROR(_xlfn.IMAGE("https://play.pokemonshowdown.com/sprites/gen5/whiscash.png"),"")</f>
        <v/>
      </c>
      <c r="I334" s="43">
        <f>IFERROR(_xlfn.IMAGE("https://play.pokemonshowdown.com/sprites/gen5/politoed.png"),"")</f>
        <v/>
      </c>
      <c r="K334" s="43">
        <f>IFERROR(_xlfn.IMAGE("https://play.pokemonshowdown.com/sprites/gen5/walrein.png"),"")</f>
        <v/>
      </c>
      <c r="M334" s="43">
        <f>IFERROR(_xlfn.IMAGE("https://play.pokemonshowdown.com/sprites/gen5/crawdaunt.png"),"")</f>
        <v/>
      </c>
      <c r="O334" s="43">
        <f>IFERROR(_xlfn.IMAGE("https://play.pokemonshowdown.com/sprites/gen5/kingdra.png"),"")</f>
        <v/>
      </c>
      <c r="Q334" s="44" t="inlineStr">
        <is>
          <t>DOUBLE BATTLE
Items: Full Restore / Full Restore / Full Restore</t>
        </is>
      </c>
    </row>
    <row r="335">
      <c r="E335" s="45" t="inlineStr">
        <is>
          <t>Lv 61 Lapras</t>
        </is>
      </c>
      <c r="F335" s="46" t="n"/>
      <c r="G335" s="45" t="inlineStr">
        <is>
          <t>Lv 63 Whiscash</t>
        </is>
      </c>
      <c r="H335" s="46" t="n"/>
      <c r="I335" s="45" t="inlineStr">
        <is>
          <t>Lv 61 Politoed</t>
        </is>
      </c>
      <c r="J335" s="46" t="n"/>
      <c r="K335" s="45" t="inlineStr">
        <is>
          <t>Lv 63 Walrein</t>
        </is>
      </c>
      <c r="L335" s="46" t="n"/>
      <c r="M335" s="45" t="inlineStr">
        <is>
          <t>Lv 63 Crawdaunt</t>
        </is>
      </c>
      <c r="N335" s="46" t="n"/>
      <c r="O335" s="45" t="inlineStr">
        <is>
          <t>Lv 66 Kingdra</t>
        </is>
      </c>
      <c r="P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Serene Grace</t>
        </is>
      </c>
      <c r="G336" s="48" t="inlineStr">
        <is>
          <t>Hardy</t>
        </is>
      </c>
      <c r="H336" s="48" t="inlineStr">
        <is>
          <t>Hydration</t>
        </is>
      </c>
      <c r="I336" s="48" t="inlineStr">
        <is>
          <t>Hardy</t>
        </is>
      </c>
      <c r="J336" s="48" t="inlineStr">
        <is>
          <t>Swift Swim</t>
        </is>
      </c>
      <c r="K336" s="48" t="inlineStr">
        <is>
          <t>Hardy</t>
        </is>
      </c>
      <c r="L336" s="48" t="inlineStr">
        <is>
          <t>Filter</t>
        </is>
      </c>
      <c r="M336" s="48" t="inlineStr">
        <is>
          <t>Hardy</t>
        </is>
      </c>
      <c r="N336" s="48" t="inlineStr">
        <is>
          <t>Adaptability</t>
        </is>
      </c>
      <c r="O336" s="48" t="inlineStr">
        <is>
          <t>Hardy</t>
        </is>
      </c>
      <c r="P336" s="48" t="inlineStr">
        <is>
          <t>Swift Swim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I337" s="49" t="inlineStr">
        <is>
          <t>(None)</t>
        </is>
      </c>
      <c r="J337" s="46" t="n"/>
      <c r="K337" s="49" t="inlineStr">
        <is>
          <t>(None)</t>
        </is>
      </c>
      <c r="L337" s="46" t="n"/>
      <c r="M337" s="49" t="inlineStr">
        <is>
          <t>Chesto Berry</t>
        </is>
      </c>
      <c r="N337" s="46" t="n"/>
      <c r="O337" s="49" t="inlineStr">
        <is>
          <t>Chesto Berry</t>
        </is>
      </c>
      <c r="P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Hydro Pump</t>
        </is>
      </c>
      <c r="F338" s="46" t="n"/>
      <c r="G338" s="61" t="inlineStr">
        <is>
          <t>Rain Dance</t>
        </is>
      </c>
      <c r="H338" s="46" t="n"/>
      <c r="I338" s="63" t="inlineStr">
        <is>
          <t>Hypnosis</t>
        </is>
      </c>
      <c r="J338" s="46" t="n"/>
      <c r="K338" s="61" t="inlineStr">
        <is>
          <t>Water Pulse</t>
        </is>
      </c>
      <c r="L338" s="46" t="n"/>
      <c r="M338" s="63" t="inlineStr">
        <is>
          <t>Rest</t>
        </is>
      </c>
      <c r="N338" s="46" t="n"/>
      <c r="O338" s="61" t="inlineStr">
        <is>
          <t>Water Pulse</t>
        </is>
      </c>
      <c r="P338" s="46" t="n"/>
      <c r="Q338" s="47" t="inlineStr">
        <is>
          <t>Moves</t>
        </is>
      </c>
    </row>
    <row r="339">
      <c r="E339" s="51" t="inlineStr">
        <is>
          <t>Perish Song</t>
        </is>
      </c>
      <c r="F339" s="46" t="n"/>
      <c r="G339" s="61" t="inlineStr">
        <is>
          <t>Water Pulse</t>
        </is>
      </c>
      <c r="H339" s="46" t="n"/>
      <c r="I339" s="61" t="inlineStr">
        <is>
          <t>Rain Dance</t>
        </is>
      </c>
      <c r="J339" s="46" t="n"/>
      <c r="K339" s="51" t="inlineStr">
        <is>
          <t>Body Slam</t>
        </is>
      </c>
      <c r="L339" s="46" t="n"/>
      <c r="M339" s="51" t="inlineStr">
        <is>
          <t>Guillotine</t>
        </is>
      </c>
      <c r="N339" s="46" t="n"/>
      <c r="O339" s="51" t="inlineStr">
        <is>
          <t>Double Team</t>
        </is>
      </c>
      <c r="P339" s="46" t="n"/>
    </row>
    <row r="340">
      <c r="E340" s="64" t="inlineStr">
        <is>
          <t>Ice Beam</t>
        </is>
      </c>
      <c r="F340" s="46" t="n"/>
      <c r="G340" s="51" t="inlineStr">
        <is>
          <t>Double Team</t>
        </is>
      </c>
      <c r="H340" s="46" t="n"/>
      <c r="I340" s="61" t="inlineStr">
        <is>
          <t>Hydro Pump</t>
        </is>
      </c>
      <c r="J340" s="46" t="n"/>
      <c r="K340" s="51" t="inlineStr">
        <is>
          <t>Protect</t>
        </is>
      </c>
      <c r="L340" s="46" t="n"/>
      <c r="M340" s="50" t="inlineStr">
        <is>
          <t>Taunt</t>
        </is>
      </c>
      <c r="N340" s="46" t="n"/>
      <c r="O340" s="64" t="inlineStr">
        <is>
          <t>Ice Beam</t>
        </is>
      </c>
      <c r="P340" s="46" t="n"/>
    </row>
    <row r="341">
      <c r="E341" s="67" t="inlineStr">
        <is>
          <t>Confuse Ray</t>
        </is>
      </c>
      <c r="F341" s="46" t="n"/>
      <c r="G341" s="53" t="inlineStr">
        <is>
          <t>Fissure</t>
        </is>
      </c>
      <c r="H341" s="46" t="n"/>
      <c r="I341" s="51" t="inlineStr">
        <is>
          <t>Perish Song</t>
        </is>
      </c>
      <c r="J341" s="46" t="n"/>
      <c r="K341" s="64" t="inlineStr">
        <is>
          <t>Sheer Cold</t>
        </is>
      </c>
      <c r="L341" s="46" t="n"/>
      <c r="M341" s="51" t="inlineStr">
        <is>
          <t>Double Team</t>
        </is>
      </c>
      <c r="N341" s="46" t="n"/>
      <c r="O341" s="63" t="inlineStr">
        <is>
          <t>Rest</t>
        </is>
      </c>
      <c r="P341" s="46" t="n"/>
    </row>
    <row r="343" ht="20" customHeight="1">
      <c r="B343" s="40" t="inlineStr">
        <is>
          <t>Leader</t>
        </is>
      </c>
      <c r="C343" s="41" t="n"/>
      <c r="D343" s="41" t="n"/>
      <c r="E343" s="42" t="inlineStr">
        <is>
          <t>Leader Norman (Rematch 1)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IFERROR(_xlfn.IMAGE("https://play.pokemonshowdown.com/sprites/gen5/chansey.png"),"")</f>
        <v/>
      </c>
      <c r="G344" s="43">
        <f>IFERROR(_xlfn.IMAGE("https://play.pokemonshowdown.com/sprites/gen5/slaking.png"),"")</f>
        <v/>
      </c>
      <c r="I344" s="43">
        <f>IFERROR(_xlfn.IMAGE("https://play.pokemonshowdown.com/sprites/gen5/spinda.png"),"")</f>
        <v/>
      </c>
      <c r="K344" s="43">
        <f>IFERROR(_xlfn.IMAGE("https://play.pokemonshowdown.com/sprites/gen5/slaking.png"),"")</f>
        <v/>
      </c>
      <c r="Q344" s="44" t="inlineStr">
        <is>
          <t>DOUBLE BATTLE
Items: Full Restore / Full Restore / Full Restore</t>
        </is>
      </c>
    </row>
    <row r="345">
      <c r="E345" s="45" t="inlineStr">
        <is>
          <t>Lv 42 Chansey</t>
        </is>
      </c>
      <c r="F345" s="46" t="n"/>
      <c r="G345" s="45" t="inlineStr">
        <is>
          <t>Lv 42 Slaking</t>
        </is>
      </c>
      <c r="H345" s="46" t="n"/>
      <c r="I345" s="45" t="inlineStr">
        <is>
          <t>Lv 43 Spinda</t>
        </is>
      </c>
      <c r="J345" s="46" t="n"/>
      <c r="K345" s="45" t="inlineStr">
        <is>
          <t>Lv 45 Slaking</t>
        </is>
      </c>
      <c r="L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Natural Cure</t>
        </is>
      </c>
      <c r="G346" s="48" t="inlineStr">
        <is>
          <t>Hardy</t>
        </is>
      </c>
      <c r="H346" s="48" t="inlineStr">
        <is>
          <t>Truant</t>
        </is>
      </c>
      <c r="I346" s="48" t="inlineStr">
        <is>
          <t>Hardy</t>
        </is>
      </c>
      <c r="J346" s="48" t="inlineStr">
        <is>
          <t>Tangled Feet</t>
        </is>
      </c>
      <c r="K346" s="48" t="inlineStr">
        <is>
          <t>Hardy</t>
        </is>
      </c>
      <c r="L346" s="48" t="inlineStr">
        <is>
          <t>Truant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Sitrus Berry</t>
        </is>
      </c>
      <c r="H347" s="46" t="n"/>
      <c r="I347" s="49" t="inlineStr">
        <is>
          <t>(None)</t>
        </is>
      </c>
      <c r="J347" s="46" t="n"/>
      <c r="K347" s="49" t="inlineStr">
        <is>
          <t>Sitrus Berry</t>
        </is>
      </c>
      <c r="L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Light Screen</t>
        </is>
      </c>
      <c r="F348" s="46" t="n"/>
      <c r="G348" s="64" t="inlineStr">
        <is>
          <t>Blizzard</t>
        </is>
      </c>
      <c r="H348" s="46" t="n"/>
      <c r="I348" s="51" t="inlineStr">
        <is>
          <t>Teeter Dance</t>
        </is>
      </c>
      <c r="J348" s="46" t="n"/>
      <c r="K348" s="51" t="inlineStr">
        <is>
          <t>Hyper Beam</t>
        </is>
      </c>
      <c r="L348" s="46" t="n"/>
      <c r="Q348" s="47" t="inlineStr">
        <is>
          <t>Moves</t>
        </is>
      </c>
    </row>
    <row r="349">
      <c r="E349" s="51" t="inlineStr">
        <is>
          <t>Sing</t>
        </is>
      </c>
      <c r="F349" s="46" t="n"/>
      <c r="G349" s="67" t="inlineStr">
        <is>
          <t>Shadow Ball</t>
        </is>
      </c>
      <c r="H349" s="46" t="n"/>
      <c r="I349" s="63" t="inlineStr">
        <is>
          <t>Skill Swap</t>
        </is>
      </c>
      <c r="J349" s="46" t="n"/>
      <c r="K349" s="58" t="inlineStr">
        <is>
          <t>Flamethrower</t>
        </is>
      </c>
      <c r="L349" s="46" t="n"/>
    </row>
    <row r="350">
      <c r="E350" s="63" t="inlineStr">
        <is>
          <t>Skill Swap</t>
        </is>
      </c>
      <c r="F350" s="46" t="n"/>
      <c r="G350" s="51" t="inlineStr">
        <is>
          <t>Double Edge</t>
        </is>
      </c>
      <c r="H350" s="46" t="n"/>
      <c r="I350" s="51" t="inlineStr">
        <is>
          <t>Facade</t>
        </is>
      </c>
      <c r="J350" s="46" t="n"/>
      <c r="K350" s="52" t="inlineStr">
        <is>
          <t>Thunderbolt</t>
        </is>
      </c>
      <c r="L350" s="46" t="n"/>
    </row>
    <row r="351">
      <c r="E351" s="65" t="inlineStr">
        <is>
          <t>Focus Punch</t>
        </is>
      </c>
      <c r="F351" s="46" t="n"/>
      <c r="G351" s="58" t="inlineStr">
        <is>
          <t>Fire Blast</t>
        </is>
      </c>
      <c r="H351" s="46" t="n"/>
      <c r="I351" s="63" t="inlineStr">
        <is>
          <t>Hypnosis</t>
        </is>
      </c>
      <c r="J351" s="46" t="n"/>
      <c r="K351" s="67" t="inlineStr">
        <is>
          <t>Shadow Ball</t>
        </is>
      </c>
      <c r="L351" s="46" t="n"/>
    </row>
    <row r="353" ht="20" customHeight="1">
      <c r="B353" s="40" t="inlineStr">
        <is>
          <t>Leader</t>
        </is>
      </c>
      <c r="C353" s="41" t="n"/>
      <c r="D353" s="41" t="n"/>
      <c r="E353" s="42" t="inlineStr">
        <is>
          <t>Leader Norman (Rematch 2)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IFERROR(_xlfn.IMAGE("https://play.pokemonshowdown.com/sprites/gen5/slaking.png"),"")</f>
        <v/>
      </c>
      <c r="G354" s="43">
        <f>IFERROR(_xlfn.IMAGE("https://play.pokemonshowdown.com/sprites/gen5/chansey.png"),"")</f>
        <v/>
      </c>
      <c r="I354" s="43">
        <f>IFERROR(_xlfn.IMAGE("https://play.pokemonshowdown.com/sprites/gen5/kangaskhan.png"),"")</f>
        <v/>
      </c>
      <c r="K354" s="43">
        <f>IFERROR(_xlfn.IMAGE("https://play.pokemonshowdown.com/sprites/gen5/spinda.png"),"")</f>
        <v/>
      </c>
      <c r="M354" s="43">
        <f>IFERROR(_xlfn.IMAGE("https://play.pokemonshowdown.com/sprites/gen5/slaking.png"),"")</f>
        <v/>
      </c>
      <c r="Q354" s="44" t="inlineStr">
        <is>
          <t>DOUBLE BATTLE
Items: Full Restore / Full Restore / Full Restore</t>
        </is>
      </c>
    </row>
    <row r="355">
      <c r="E355" s="45" t="inlineStr">
        <is>
          <t>Lv 47 Slaking</t>
        </is>
      </c>
      <c r="F355" s="46" t="n"/>
      <c r="G355" s="45" t="inlineStr">
        <is>
          <t>Lv 47 Chansey</t>
        </is>
      </c>
      <c r="H355" s="46" t="n"/>
      <c r="I355" s="45" t="inlineStr">
        <is>
          <t>Lv 45 Kangaskhan</t>
        </is>
      </c>
      <c r="J355" s="46" t="n"/>
      <c r="K355" s="45" t="inlineStr">
        <is>
          <t>Lv 48 Spinda</t>
        </is>
      </c>
      <c r="L355" s="46" t="n"/>
      <c r="M355" s="45" t="inlineStr">
        <is>
          <t>Lv 50 Slaking</t>
        </is>
      </c>
      <c r="N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Truant</t>
        </is>
      </c>
      <c r="G356" s="48" t="inlineStr">
        <is>
          <t>Hardy</t>
        </is>
      </c>
      <c r="H356" s="48" t="inlineStr">
        <is>
          <t>Natural Cure</t>
        </is>
      </c>
      <c r="I356" s="48" t="inlineStr">
        <is>
          <t>Hardy</t>
        </is>
      </c>
      <c r="J356" s="48" t="inlineStr">
        <is>
          <t>Scrappy</t>
        </is>
      </c>
      <c r="K356" s="48" t="inlineStr">
        <is>
          <t>Hardy</t>
        </is>
      </c>
      <c r="L356" s="48" t="inlineStr">
        <is>
          <t>Tangled Feet</t>
        </is>
      </c>
      <c r="M356" s="48" t="inlineStr">
        <is>
          <t>Hardy</t>
        </is>
      </c>
      <c r="N356" s="48" t="inlineStr">
        <is>
          <t>Truant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Sitrus Berry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K357" s="49" t="inlineStr">
        <is>
          <t>(None)</t>
        </is>
      </c>
      <c r="L357" s="46" t="n"/>
      <c r="M357" s="49" t="inlineStr">
        <is>
          <t>Sitrus Berry</t>
        </is>
      </c>
      <c r="N357" s="46" t="n"/>
      <c r="Q357" s="47" t="inlineStr">
        <is>
          <t>Item</t>
        </is>
      </c>
    </row>
    <row r="358">
      <c r="B358" s="44" t="inlineStr">
        <is>
          <t>Smart Trainer</t>
        </is>
      </c>
      <c r="E358" s="64" t="inlineStr">
        <is>
          <t>Blizzard</t>
        </is>
      </c>
      <c r="F358" s="46" t="n"/>
      <c r="G358" s="63" t="inlineStr">
        <is>
          <t>Light Screen</t>
        </is>
      </c>
      <c r="H358" s="46" t="n"/>
      <c r="I358" s="51" t="inlineStr">
        <is>
          <t>Fake Out</t>
        </is>
      </c>
      <c r="J358" s="46" t="n"/>
      <c r="K358" s="51" t="inlineStr">
        <is>
          <t>Teeter Dance</t>
        </is>
      </c>
      <c r="L358" s="46" t="n"/>
      <c r="M358" s="51" t="inlineStr">
        <is>
          <t>Hyper Beam</t>
        </is>
      </c>
      <c r="N358" s="46" t="n"/>
      <c r="Q358" s="47" t="inlineStr">
        <is>
          <t>Moves</t>
        </is>
      </c>
    </row>
    <row r="359">
      <c r="E359" s="67" t="inlineStr">
        <is>
          <t>Shadow Ball</t>
        </is>
      </c>
      <c r="F359" s="46" t="n"/>
      <c r="G359" s="51" t="inlineStr">
        <is>
          <t>Sing</t>
        </is>
      </c>
      <c r="H359" s="46" t="n"/>
      <c r="I359" s="51" t="inlineStr">
        <is>
          <t>Dizzy Punch</t>
        </is>
      </c>
      <c r="J359" s="46" t="n"/>
      <c r="K359" s="63" t="inlineStr">
        <is>
          <t>Skill Swap</t>
        </is>
      </c>
      <c r="L359" s="46" t="n"/>
      <c r="M359" s="58" t="inlineStr">
        <is>
          <t>Flamethrower</t>
        </is>
      </c>
      <c r="N359" s="46" t="n"/>
    </row>
    <row r="360">
      <c r="E360" s="51" t="inlineStr">
        <is>
          <t>Double Edge</t>
        </is>
      </c>
      <c r="F360" s="46" t="n"/>
      <c r="G360" s="63" t="inlineStr">
        <is>
          <t>Skill Swap</t>
        </is>
      </c>
      <c r="H360" s="46" t="n"/>
      <c r="I360" s="51" t="inlineStr">
        <is>
          <t>Endure</t>
        </is>
      </c>
      <c r="J360" s="46" t="n"/>
      <c r="K360" s="51" t="inlineStr">
        <is>
          <t>Facade</t>
        </is>
      </c>
      <c r="L360" s="46" t="n"/>
      <c r="M360" s="52" t="inlineStr">
        <is>
          <t>Thunderbolt</t>
        </is>
      </c>
      <c r="N360" s="46" t="n"/>
    </row>
    <row r="361">
      <c r="E361" s="58" t="inlineStr">
        <is>
          <t>Fire Blast</t>
        </is>
      </c>
      <c r="F361" s="46" t="n"/>
      <c r="G361" s="65" t="inlineStr">
        <is>
          <t>Focus Punch</t>
        </is>
      </c>
      <c r="H361" s="46" t="n"/>
      <c r="I361" s="65" t="inlineStr">
        <is>
          <t>Reversal</t>
        </is>
      </c>
      <c r="J361" s="46" t="n"/>
      <c r="K361" s="63" t="inlineStr">
        <is>
          <t>Hypnosis</t>
        </is>
      </c>
      <c r="L361" s="46" t="n"/>
      <c r="M361" s="67" t="inlineStr">
        <is>
          <t>Shadow Ball</t>
        </is>
      </c>
      <c r="N361" s="46" t="n"/>
    </row>
    <row r="363" ht="20" customHeight="1">
      <c r="B363" s="40" t="inlineStr">
        <is>
          <t>Leader</t>
        </is>
      </c>
      <c r="C363" s="41" t="n"/>
      <c r="D363" s="41" t="n"/>
      <c r="E363" s="42" t="inlineStr">
        <is>
          <t>Leader Norman (Rematch 3)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IFERROR(_xlfn.IMAGE("https://play.pokemonshowdown.com/sprites/gen5/slaking.png"),"")</f>
        <v/>
      </c>
      <c r="G364" s="43">
        <f>IFERROR(_xlfn.IMAGE("https://play.pokemonshowdown.com/sprites/gen5/blissey.png"),"")</f>
        <v/>
      </c>
      <c r="I364" s="43">
        <f>IFERROR(_xlfn.IMAGE("https://play.pokemonshowdown.com/sprites/gen5/kangaskhan.png"),"")</f>
        <v/>
      </c>
      <c r="K364" s="43">
        <f>IFERROR(_xlfn.IMAGE("https://play.pokemonshowdown.com/sprites/gen5/spinda.png"),"")</f>
        <v/>
      </c>
      <c r="M364" s="43">
        <f>IFERROR(_xlfn.IMAGE("https://play.pokemonshowdown.com/sprites/gen5/slaking.png"),"")</f>
        <v/>
      </c>
      <c r="Q364" s="44" t="inlineStr">
        <is>
          <t>DOUBLE BATTLE
Items: Full Restore / Full Restore / Full Restore</t>
        </is>
      </c>
    </row>
    <row r="365">
      <c r="E365" s="45" t="inlineStr">
        <is>
          <t>Lv 52 Slaking</t>
        </is>
      </c>
      <c r="F365" s="46" t="n"/>
      <c r="G365" s="45" t="inlineStr">
        <is>
          <t>Lv 52 Blissey</t>
        </is>
      </c>
      <c r="H365" s="46" t="n"/>
      <c r="I365" s="45" t="inlineStr">
        <is>
          <t>Lv 50 Kangaskhan</t>
        </is>
      </c>
      <c r="J365" s="46" t="n"/>
      <c r="K365" s="45" t="inlineStr">
        <is>
          <t>Lv 53 Spinda</t>
        </is>
      </c>
      <c r="L365" s="46" t="n"/>
      <c r="M365" s="45" t="inlineStr">
        <is>
          <t>Lv 55 Slaking</t>
        </is>
      </c>
      <c r="N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Truant</t>
        </is>
      </c>
      <c r="G366" s="48" t="inlineStr">
        <is>
          <t>Hardy</t>
        </is>
      </c>
      <c r="H366" s="48" t="inlineStr">
        <is>
          <t>Serene Grace</t>
        </is>
      </c>
      <c r="I366" s="48" t="inlineStr">
        <is>
          <t>Hardy</t>
        </is>
      </c>
      <c r="J366" s="48" t="inlineStr">
        <is>
          <t>Scrappy</t>
        </is>
      </c>
      <c r="K366" s="48" t="inlineStr">
        <is>
          <t>Hardy</t>
        </is>
      </c>
      <c r="L366" s="48" t="inlineStr">
        <is>
          <t>Tangled Feet</t>
        </is>
      </c>
      <c r="M366" s="48" t="inlineStr">
        <is>
          <t>Hardy</t>
        </is>
      </c>
      <c r="N366" s="48" t="inlineStr">
        <is>
          <t>Truant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Sitrus Berry</t>
        </is>
      </c>
      <c r="F367" s="46" t="n"/>
      <c r="G367" s="49" t="inlineStr">
        <is>
          <t>(None)</t>
        </is>
      </c>
      <c r="H367" s="46" t="n"/>
      <c r="I367" s="49" t="inlineStr">
        <is>
          <t>(None)</t>
        </is>
      </c>
      <c r="J367" s="46" t="n"/>
      <c r="K367" s="49" t="inlineStr">
        <is>
          <t>(None)</t>
        </is>
      </c>
      <c r="L367" s="46" t="n"/>
      <c r="M367" s="49" t="inlineStr">
        <is>
          <t>Sitrus Berry</t>
        </is>
      </c>
      <c r="N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4" t="inlineStr">
        <is>
          <t>Blizzard</t>
        </is>
      </c>
      <c r="F368" s="46" t="n"/>
      <c r="G368" s="63" t="inlineStr">
        <is>
          <t>Light Screen</t>
        </is>
      </c>
      <c r="H368" s="46" t="n"/>
      <c r="I368" s="51" t="inlineStr">
        <is>
          <t>Fake Out</t>
        </is>
      </c>
      <c r="J368" s="46" t="n"/>
      <c r="K368" s="51" t="inlineStr">
        <is>
          <t>Teeter Dance</t>
        </is>
      </c>
      <c r="L368" s="46" t="n"/>
      <c r="M368" s="51" t="inlineStr">
        <is>
          <t>Hyper Beam</t>
        </is>
      </c>
      <c r="N368" s="46" t="n"/>
      <c r="Q368" s="47" t="inlineStr">
        <is>
          <t>Moves</t>
        </is>
      </c>
    </row>
    <row r="369">
      <c r="E369" s="67" t="inlineStr">
        <is>
          <t>Shadow Ball</t>
        </is>
      </c>
      <c r="F369" s="46" t="n"/>
      <c r="G369" s="51" t="inlineStr">
        <is>
          <t>Sing</t>
        </is>
      </c>
      <c r="H369" s="46" t="n"/>
      <c r="I369" s="51" t="inlineStr">
        <is>
          <t>Dizzy Punch</t>
        </is>
      </c>
      <c r="J369" s="46" t="n"/>
      <c r="K369" s="63" t="inlineStr">
        <is>
          <t>Skill Swap</t>
        </is>
      </c>
      <c r="L369" s="46" t="n"/>
      <c r="M369" s="58" t="inlineStr">
        <is>
          <t>Flamethrower</t>
        </is>
      </c>
      <c r="N369" s="46" t="n"/>
    </row>
    <row r="370">
      <c r="E370" s="51" t="inlineStr">
        <is>
          <t>Double Edge</t>
        </is>
      </c>
      <c r="F370" s="46" t="n"/>
      <c r="G370" s="63" t="inlineStr">
        <is>
          <t>Skill Swap</t>
        </is>
      </c>
      <c r="H370" s="46" t="n"/>
      <c r="I370" s="51" t="inlineStr">
        <is>
          <t>Endure</t>
        </is>
      </c>
      <c r="J370" s="46" t="n"/>
      <c r="K370" s="51" t="inlineStr">
        <is>
          <t>Facade</t>
        </is>
      </c>
      <c r="L370" s="46" t="n"/>
      <c r="M370" s="52" t="inlineStr">
        <is>
          <t>Thunderbolt</t>
        </is>
      </c>
      <c r="N370" s="46" t="n"/>
    </row>
    <row r="371">
      <c r="E371" s="58" t="inlineStr">
        <is>
          <t>Fire Blast</t>
        </is>
      </c>
      <c r="F371" s="46" t="n"/>
      <c r="G371" s="65" t="inlineStr">
        <is>
          <t>Focus Punch</t>
        </is>
      </c>
      <c r="H371" s="46" t="n"/>
      <c r="I371" s="65" t="inlineStr">
        <is>
          <t>Reversal</t>
        </is>
      </c>
      <c r="J371" s="46" t="n"/>
      <c r="K371" s="63" t="inlineStr">
        <is>
          <t>Hypnosis</t>
        </is>
      </c>
      <c r="L371" s="46" t="n"/>
      <c r="M371" s="67" t="inlineStr">
        <is>
          <t>Shadow Ball</t>
        </is>
      </c>
      <c r="N371" s="46" t="n"/>
    </row>
    <row r="373" ht="20" customHeight="1">
      <c r="B373" s="40" t="inlineStr">
        <is>
          <t>Leader</t>
        </is>
      </c>
      <c r="C373" s="41" t="n"/>
      <c r="D373" s="41" t="n"/>
      <c r="E373" s="42" t="inlineStr">
        <is>
          <t>Leader Norman (Rematch 4)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IFERROR(_xlfn.IMAGE("https://play.pokemonshowdown.com/sprites/gen5/slaking.png"),"")</f>
        <v/>
      </c>
      <c r="G374" s="43">
        <f>IFERROR(_xlfn.IMAGE("https://play.pokemonshowdown.com/sprites/gen5/blissey.png"),"")</f>
        <v/>
      </c>
      <c r="I374" s="43">
        <f>IFERROR(_xlfn.IMAGE("https://play.pokemonshowdown.com/sprites/gen5/kangaskhan.png"),"")</f>
        <v/>
      </c>
      <c r="K374" s="43">
        <f>IFERROR(_xlfn.IMAGE("https://play.pokemonshowdown.com/sprites/gen5/tauros.png"),"")</f>
        <v/>
      </c>
      <c r="M374" s="43">
        <f>IFERROR(_xlfn.IMAGE("https://play.pokemonshowdown.com/sprites/gen5/spinda.png"),"")</f>
        <v/>
      </c>
      <c r="O374" s="43">
        <f>IFERROR(_xlfn.IMAGE("https://play.pokemonshowdown.com/sprites/gen5/slaking.png"),"")</f>
        <v/>
      </c>
      <c r="Q374" s="44" t="inlineStr">
        <is>
          <t>DOUBLE BATTLE
Items: Full Restore / Full Restore / Full Restore</t>
        </is>
      </c>
    </row>
    <row r="375">
      <c r="E375" s="45" t="inlineStr">
        <is>
          <t>Lv 57 Slaking</t>
        </is>
      </c>
      <c r="F375" s="46" t="n"/>
      <c r="G375" s="45" t="inlineStr">
        <is>
          <t>Lv 57 Blissey</t>
        </is>
      </c>
      <c r="H375" s="46" t="n"/>
      <c r="I375" s="45" t="inlineStr">
        <is>
          <t>Lv 55 Kangaskhan</t>
        </is>
      </c>
      <c r="J375" s="46" t="n"/>
      <c r="K375" s="45" t="inlineStr">
        <is>
          <t>Lv 57 Tauros</t>
        </is>
      </c>
      <c r="L375" s="46" t="n"/>
      <c r="M375" s="45" t="inlineStr">
        <is>
          <t>Lv 58 Spinda</t>
        </is>
      </c>
      <c r="N375" s="46" t="n"/>
      <c r="O375" s="45" t="inlineStr">
        <is>
          <t>Lv 60 Slaking</t>
        </is>
      </c>
      <c r="P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Truant</t>
        </is>
      </c>
      <c r="G376" s="48" t="inlineStr">
        <is>
          <t>Hardy</t>
        </is>
      </c>
      <c r="H376" s="48" t="inlineStr">
        <is>
          <t>Serene Grace</t>
        </is>
      </c>
      <c r="I376" s="48" t="inlineStr">
        <is>
          <t>Hardy</t>
        </is>
      </c>
      <c r="J376" s="48" t="inlineStr">
        <is>
          <t>Scrappy</t>
        </is>
      </c>
      <c r="K376" s="48" t="inlineStr">
        <is>
          <t>Hardy</t>
        </is>
      </c>
      <c r="L376" s="48" t="inlineStr">
        <is>
          <t>Intimidate</t>
        </is>
      </c>
      <c r="M376" s="48" t="inlineStr">
        <is>
          <t>Hardy</t>
        </is>
      </c>
      <c r="N376" s="48" t="inlineStr">
        <is>
          <t>Tangled Feet</t>
        </is>
      </c>
      <c r="O376" s="48" t="inlineStr">
        <is>
          <t>Hardy</t>
        </is>
      </c>
      <c r="P376" s="48" t="inlineStr">
        <is>
          <t>Truant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Sitrus Berry</t>
        </is>
      </c>
      <c r="F377" s="46" t="n"/>
      <c r="G377" s="49" t="inlineStr">
        <is>
          <t>(None)</t>
        </is>
      </c>
      <c r="H377" s="46" t="n"/>
      <c r="I377" s="49" t="inlineStr">
        <is>
          <t>(None)</t>
        </is>
      </c>
      <c r="J377" s="46" t="n"/>
      <c r="K377" s="49" t="inlineStr">
        <is>
          <t>(None)</t>
        </is>
      </c>
      <c r="L377" s="46" t="n"/>
      <c r="M377" s="49" t="inlineStr">
        <is>
          <t>(None)</t>
        </is>
      </c>
      <c r="N377" s="46" t="n"/>
      <c r="O377" s="49" t="inlineStr">
        <is>
          <t>Sitrus Berry</t>
        </is>
      </c>
      <c r="P377" s="46" t="n"/>
      <c r="Q377" s="47" t="inlineStr">
        <is>
          <t>Item</t>
        </is>
      </c>
    </row>
    <row r="378">
      <c r="B378" s="44" t="inlineStr">
        <is>
          <t>Smart Trainer</t>
        </is>
      </c>
      <c r="E378" s="64" t="inlineStr">
        <is>
          <t>Blizzard</t>
        </is>
      </c>
      <c r="F378" s="46" t="n"/>
      <c r="G378" s="51" t="inlineStr">
        <is>
          <t>Protect</t>
        </is>
      </c>
      <c r="H378" s="46" t="n"/>
      <c r="I378" s="51" t="inlineStr">
        <is>
          <t>Fake Out</t>
        </is>
      </c>
      <c r="J378" s="46" t="n"/>
      <c r="K378" s="51" t="inlineStr">
        <is>
          <t>Take Down</t>
        </is>
      </c>
      <c r="L378" s="46" t="n"/>
      <c r="M378" s="51" t="inlineStr">
        <is>
          <t>Teeter Dance</t>
        </is>
      </c>
      <c r="N378" s="46" t="n"/>
      <c r="O378" s="51" t="inlineStr">
        <is>
          <t>Hyper Beam</t>
        </is>
      </c>
      <c r="P378" s="46" t="n"/>
      <c r="Q378" s="47" t="inlineStr">
        <is>
          <t>Moves</t>
        </is>
      </c>
    </row>
    <row r="379">
      <c r="E379" s="67" t="inlineStr">
        <is>
          <t>Shadow Ball</t>
        </is>
      </c>
      <c r="F379" s="46" t="n"/>
      <c r="G379" s="51" t="inlineStr">
        <is>
          <t>Sing</t>
        </is>
      </c>
      <c r="H379" s="46" t="n"/>
      <c r="I379" s="51" t="inlineStr">
        <is>
          <t>Dizzy Punch</t>
        </is>
      </c>
      <c r="J379" s="46" t="n"/>
      <c r="K379" s="51" t="inlineStr">
        <is>
          <t>Protect</t>
        </is>
      </c>
      <c r="L379" s="46" t="n"/>
      <c r="M379" s="63" t="inlineStr">
        <is>
          <t>Skill Swap</t>
        </is>
      </c>
      <c r="N379" s="46" t="n"/>
      <c r="O379" s="58" t="inlineStr">
        <is>
          <t>Flamethrower</t>
        </is>
      </c>
      <c r="P379" s="46" t="n"/>
    </row>
    <row r="380">
      <c r="E380" s="51" t="inlineStr">
        <is>
          <t>Double Edge</t>
        </is>
      </c>
      <c r="F380" s="46" t="n"/>
      <c r="G380" s="63" t="inlineStr">
        <is>
          <t>Skill Swap</t>
        </is>
      </c>
      <c r="H380" s="46" t="n"/>
      <c r="I380" s="51" t="inlineStr">
        <is>
          <t>Endure</t>
        </is>
      </c>
      <c r="J380" s="46" t="n"/>
      <c r="K380" s="58" t="inlineStr">
        <is>
          <t>Fire Blast</t>
        </is>
      </c>
      <c r="L380" s="46" t="n"/>
      <c r="M380" s="51" t="inlineStr">
        <is>
          <t>Facade</t>
        </is>
      </c>
      <c r="N380" s="46" t="n"/>
      <c r="O380" s="52" t="inlineStr">
        <is>
          <t>Thunderbolt</t>
        </is>
      </c>
      <c r="P380" s="46" t="n"/>
    </row>
    <row r="381">
      <c r="E381" s="58" t="inlineStr">
        <is>
          <t>Fire Blast</t>
        </is>
      </c>
      <c r="F381" s="46" t="n"/>
      <c r="G381" s="65" t="inlineStr">
        <is>
          <t>Focus Punch</t>
        </is>
      </c>
      <c r="H381" s="46" t="n"/>
      <c r="I381" s="65" t="inlineStr">
        <is>
          <t>Reversal</t>
        </is>
      </c>
      <c r="J381" s="46" t="n"/>
      <c r="K381" s="53" t="inlineStr">
        <is>
          <t>Earthquake</t>
        </is>
      </c>
      <c r="L381" s="46" t="n"/>
      <c r="M381" s="63" t="inlineStr">
        <is>
          <t>Hypnosis</t>
        </is>
      </c>
      <c r="N381" s="46" t="n"/>
      <c r="O381" s="67" t="inlineStr">
        <is>
          <t>Shadow Ball</t>
        </is>
      </c>
      <c r="P381" s="46" t="n"/>
    </row>
    <row r="383" ht="20" customHeight="1">
      <c r="B383" s="40" t="inlineStr">
        <is>
          <t>Leader</t>
        </is>
      </c>
      <c r="C383" s="41" t="n"/>
      <c r="D383" s="41" t="n"/>
      <c r="E383" s="42" t="inlineStr">
        <is>
          <t>Leader Roxanne (Rematch 1)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IFERROR(_xlfn.IMAGE("https://play.pokemonshowdown.com/sprites/gen5/golem.png"),"")</f>
        <v/>
      </c>
      <c r="G384" s="43">
        <f>IFERROR(_xlfn.IMAGE("https://play.pokemonshowdown.com/sprites/gen5/kabuto.png"),"")</f>
        <v/>
      </c>
      <c r="I384" s="43">
        <f>IFERROR(_xlfn.IMAGE("https://play.pokemonshowdown.com/sprites/gen5/onix.png"),"")</f>
        <v/>
      </c>
      <c r="K384" s="43">
        <f>IFERROR(_xlfn.IMAGE("https://play.pokemonshowdown.com/sprites/gen5/nosepass.png"),"")</f>
        <v/>
      </c>
      <c r="Q384" s="44" t="inlineStr">
        <is>
          <t>DOUBLE BATTLE
Items: Full Restore / Full Restore / Full Restore</t>
        </is>
      </c>
    </row>
    <row r="385">
      <c r="E385" s="45" t="inlineStr">
        <is>
          <t>Lv 32 Golem</t>
        </is>
      </c>
      <c r="F385" s="46" t="n"/>
      <c r="G385" s="45" t="inlineStr">
        <is>
          <t>Lv 35 Kabuto</t>
        </is>
      </c>
      <c r="H385" s="46" t="n"/>
      <c r="I385" s="45" t="inlineStr">
        <is>
          <t>Lv 35 Onix</t>
        </is>
      </c>
      <c r="J385" s="46" t="n"/>
      <c r="K385" s="45" t="inlineStr">
        <is>
          <t>Lv 37 Nosepass</t>
        </is>
      </c>
      <c r="L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Shell Armor</t>
        </is>
      </c>
      <c r="G386" s="48" t="inlineStr">
        <is>
          <t>Hardy</t>
        </is>
      </c>
      <c r="H386" s="48" t="inlineStr">
        <is>
          <t>Swift Swim</t>
        </is>
      </c>
      <c r="I386" s="48" t="inlineStr">
        <is>
          <t>Hardy</t>
        </is>
      </c>
      <c r="J386" s="48" t="inlineStr">
        <is>
          <t>Rock Head</t>
        </is>
      </c>
      <c r="K386" s="48" t="inlineStr">
        <is>
          <t>Hardy</t>
        </is>
      </c>
      <c r="L386" s="48" t="inlineStr">
        <is>
          <t>Solid Rock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Sitrus Berry</t>
        </is>
      </c>
      <c r="H387" s="46" t="n"/>
      <c r="I387" s="49" t="inlineStr">
        <is>
          <t>(None)</t>
        </is>
      </c>
      <c r="J387" s="46" t="n"/>
      <c r="K387" s="49" t="inlineStr">
        <is>
          <t>Sitrus Berry</t>
        </is>
      </c>
      <c r="L387" s="46" t="n"/>
      <c r="Q387" s="47" t="inlineStr">
        <is>
          <t>Item</t>
        </is>
      </c>
    </row>
    <row r="388">
      <c r="B388" s="44" t="inlineStr">
        <is>
          <t>Smart Trainer</t>
        </is>
      </c>
      <c r="E388" s="51" t="inlineStr">
        <is>
          <t>Protect</t>
        </is>
      </c>
      <c r="F388" s="46" t="n"/>
      <c r="G388" s="51" t="inlineStr">
        <is>
          <t>Swords Dance</t>
        </is>
      </c>
      <c r="H388" s="46" t="n"/>
      <c r="I388" s="66" t="inlineStr">
        <is>
          <t>Iron Tail</t>
        </is>
      </c>
      <c r="J388" s="46" t="n"/>
      <c r="K388" s="51" t="inlineStr">
        <is>
          <t>Double Team</t>
        </is>
      </c>
      <c r="L388" s="46" t="n"/>
      <c r="Q388" s="47" t="inlineStr">
        <is>
          <t>Moves</t>
        </is>
      </c>
    </row>
    <row r="389">
      <c r="E389" s="62" t="inlineStr">
        <is>
          <t>Rollout</t>
        </is>
      </c>
      <c r="F389" s="46" t="n"/>
      <c r="G389" s="64" t="inlineStr">
        <is>
          <t>Ice Beam</t>
        </is>
      </c>
      <c r="H389" s="46" t="n"/>
      <c r="I389" s="51" t="inlineStr">
        <is>
          <t>Explosion</t>
        </is>
      </c>
      <c r="J389" s="46" t="n"/>
      <c r="K389" s="51" t="inlineStr">
        <is>
          <t>Explosion</t>
        </is>
      </c>
      <c r="L389" s="46" t="n"/>
    </row>
    <row r="390">
      <c r="E390" s="53" t="inlineStr">
        <is>
          <t>Magnitude</t>
        </is>
      </c>
      <c r="F390" s="46" t="n"/>
      <c r="G390" s="61" t="inlineStr">
        <is>
          <t>Surf</t>
        </is>
      </c>
      <c r="H390" s="46" t="n"/>
      <c r="I390" s="51" t="inlineStr">
        <is>
          <t>Roar</t>
        </is>
      </c>
      <c r="J390" s="46" t="n"/>
      <c r="K390" s="51" t="inlineStr">
        <is>
          <t>Protect</t>
        </is>
      </c>
      <c r="L390" s="46" t="n"/>
    </row>
    <row r="391">
      <c r="E391" s="51" t="inlineStr">
        <is>
          <t>Explosion</t>
        </is>
      </c>
      <c r="F391" s="46" t="n"/>
      <c r="G391" s="62" t="inlineStr">
        <is>
          <t>Rock Slide</t>
        </is>
      </c>
      <c r="H391" s="46" t="n"/>
      <c r="I391" s="62" t="inlineStr">
        <is>
          <t>Rock Slide</t>
        </is>
      </c>
      <c r="J391" s="46" t="n"/>
      <c r="K391" s="62" t="inlineStr">
        <is>
          <t>Rock Slide</t>
        </is>
      </c>
      <c r="L391" s="46" t="n"/>
    </row>
    <row r="393" ht="20" customHeight="1">
      <c r="B393" s="40" t="inlineStr">
        <is>
          <t>Leader</t>
        </is>
      </c>
      <c r="C393" s="41" t="n"/>
      <c r="D393" s="41" t="n"/>
      <c r="E393" s="42" t="inlineStr">
        <is>
          <t>Leader Roxanne (Rematch 2)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IFERROR(_xlfn.IMAGE("https://play.pokemonshowdown.com/sprites/gen5/omanyte.png"),"")</f>
        <v/>
      </c>
      <c r="G394" s="43">
        <f>IFERROR(_xlfn.IMAGE("https://play.pokemonshowdown.com/sprites/gen5/golem.png"),"")</f>
        <v/>
      </c>
      <c r="I394" s="43">
        <f>IFERROR(_xlfn.IMAGE("https://play.pokemonshowdown.com/sprites/gen5/kabutops.png"),"")</f>
        <v/>
      </c>
      <c r="K394" s="43">
        <f>IFERROR(_xlfn.IMAGE("https://play.pokemonshowdown.com/sprites/gen5/onix.png"),"")</f>
        <v/>
      </c>
      <c r="M394" s="43">
        <f>IFERROR(_xlfn.IMAGE("https://play.pokemonshowdown.com/sprites/gen5/nosepass.png"),"")</f>
        <v/>
      </c>
      <c r="Q394" s="44" t="inlineStr">
        <is>
          <t>DOUBLE BATTLE
Items: Full Restore / Full Restore / Full Restore</t>
        </is>
      </c>
    </row>
    <row r="395">
      <c r="E395" s="45" t="inlineStr">
        <is>
          <t>Lv 37 Omanyte</t>
        </is>
      </c>
      <c r="F395" s="46" t="n"/>
      <c r="G395" s="45" t="inlineStr">
        <is>
          <t>Lv 37 Golem</t>
        </is>
      </c>
      <c r="H395" s="46" t="n"/>
      <c r="I395" s="45" t="inlineStr">
        <is>
          <t>Lv 40 Kabutops</t>
        </is>
      </c>
      <c r="J395" s="46" t="n"/>
      <c r="K395" s="45" t="inlineStr">
        <is>
          <t>Lv 40 Onix</t>
        </is>
      </c>
      <c r="L395" s="46" t="n"/>
      <c r="M395" s="45" t="inlineStr">
        <is>
          <t>Lv 42 Nosepass</t>
        </is>
      </c>
      <c r="N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Shell Armor</t>
        </is>
      </c>
      <c r="I396" s="48" t="inlineStr">
        <is>
          <t>Hardy</t>
        </is>
      </c>
      <c r="J396" s="48" t="inlineStr">
        <is>
          <t>Swift Swim</t>
        </is>
      </c>
      <c r="K396" s="48" t="inlineStr">
        <is>
          <t>Hardy</t>
        </is>
      </c>
      <c r="L396" s="48" t="inlineStr">
        <is>
          <t>Rock Head</t>
        </is>
      </c>
      <c r="M396" s="48" t="inlineStr">
        <is>
          <t>Hardy</t>
        </is>
      </c>
      <c r="N396" s="48" t="inlineStr">
        <is>
          <t>Solid Rock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Sitrus Berry</t>
        </is>
      </c>
      <c r="J397" s="46" t="n"/>
      <c r="K397" s="49" t="inlineStr">
        <is>
          <t>(None)</t>
        </is>
      </c>
      <c r="L397" s="46" t="n"/>
      <c r="M397" s="49" t="inlineStr">
        <is>
          <t>Sitrus Berry</t>
        </is>
      </c>
      <c r="N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1" t="inlineStr">
        <is>
          <t>Protect</t>
        </is>
      </c>
      <c r="F398" s="46" t="n"/>
      <c r="G398" s="51" t="inlineStr">
        <is>
          <t>Protect</t>
        </is>
      </c>
      <c r="H398" s="46" t="n"/>
      <c r="I398" s="51" t="inlineStr">
        <is>
          <t>Swords Dance</t>
        </is>
      </c>
      <c r="J398" s="46" t="n"/>
      <c r="K398" s="66" t="inlineStr">
        <is>
          <t>Iron Tail</t>
        </is>
      </c>
      <c r="L398" s="46" t="n"/>
      <c r="M398" s="51" t="inlineStr">
        <is>
          <t>Double Team</t>
        </is>
      </c>
      <c r="N398" s="46" t="n"/>
      <c r="Q398" s="47" t="inlineStr">
        <is>
          <t>Moves</t>
        </is>
      </c>
    </row>
    <row r="399">
      <c r="E399" s="64" t="inlineStr">
        <is>
          <t>Ice Beam</t>
        </is>
      </c>
      <c r="F399" s="46" t="n"/>
      <c r="G399" s="62" t="inlineStr">
        <is>
          <t>Rollout</t>
        </is>
      </c>
      <c r="H399" s="46" t="n"/>
      <c r="I399" s="64" t="inlineStr">
        <is>
          <t>Ice Beam</t>
        </is>
      </c>
      <c r="J399" s="46" t="n"/>
      <c r="K399" s="51" t="inlineStr">
        <is>
          <t>Explosion</t>
        </is>
      </c>
      <c r="L399" s="46" t="n"/>
      <c r="M399" s="51" t="inlineStr">
        <is>
          <t>Explosion</t>
        </is>
      </c>
      <c r="N399" s="46" t="n"/>
    </row>
    <row r="400">
      <c r="E400" s="62" t="inlineStr">
        <is>
          <t>Rock Slide</t>
        </is>
      </c>
      <c r="F400" s="46" t="n"/>
      <c r="G400" s="53" t="inlineStr">
        <is>
          <t>Magnitude</t>
        </is>
      </c>
      <c r="H400" s="46" t="n"/>
      <c r="I400" s="61" t="inlineStr">
        <is>
          <t>Surf</t>
        </is>
      </c>
      <c r="J400" s="46" t="n"/>
      <c r="K400" s="51" t="inlineStr">
        <is>
          <t>Roar</t>
        </is>
      </c>
      <c r="L400" s="46" t="n"/>
      <c r="M400" s="51" t="inlineStr">
        <is>
          <t>Protect</t>
        </is>
      </c>
      <c r="N400" s="46" t="n"/>
    </row>
    <row r="401">
      <c r="E401" s="61" t="inlineStr">
        <is>
          <t>Surf</t>
        </is>
      </c>
      <c r="F401" s="46" t="n"/>
      <c r="G401" s="51" t="inlineStr">
        <is>
          <t>Explosion</t>
        </is>
      </c>
      <c r="H401" s="46" t="n"/>
      <c r="I401" s="62" t="inlineStr">
        <is>
          <t>Rock Slide</t>
        </is>
      </c>
      <c r="J401" s="46" t="n"/>
      <c r="K401" s="62" t="inlineStr">
        <is>
          <t>Rock Slide</t>
        </is>
      </c>
      <c r="L401" s="46" t="n"/>
      <c r="M401" s="62" t="inlineStr">
        <is>
          <t>Rock Slide</t>
        </is>
      </c>
      <c r="N401" s="46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Roxanne (Rematch 3)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IFERROR(_xlfn.IMAGE("https://play.pokemonshowdown.com/sprites/gen5/omastar.png"),"")</f>
        <v/>
      </c>
      <c r="G404" s="43">
        <f>IFERROR(_xlfn.IMAGE("https://play.pokemonshowdown.com/sprites/gen5/golem.png"),"")</f>
        <v/>
      </c>
      <c r="I404" s="43">
        <f>IFERROR(_xlfn.IMAGE("https://play.pokemonshowdown.com/sprites/gen5/kabutops.png"),"")</f>
        <v/>
      </c>
      <c r="K404" s="43">
        <f>IFERROR(_xlfn.IMAGE("https://play.pokemonshowdown.com/sprites/gen5/onix.png"),"")</f>
        <v/>
      </c>
      <c r="M404" s="43">
        <f>IFERROR(_xlfn.IMAGE("https://play.pokemonshowdown.com/sprites/gen5/nosepass.png"),"")</f>
        <v/>
      </c>
      <c r="Q404" s="44" t="inlineStr">
        <is>
          <t>DOUBLE BATTLE
Items: Full Restore / Full Restore / Full Restore</t>
        </is>
      </c>
    </row>
    <row r="405">
      <c r="E405" s="45" t="inlineStr">
        <is>
          <t>Lv 42 Omastar</t>
        </is>
      </c>
      <c r="F405" s="46" t="n"/>
      <c r="G405" s="45" t="inlineStr">
        <is>
          <t>Lv 42 Golem</t>
        </is>
      </c>
      <c r="H405" s="46" t="n"/>
      <c r="I405" s="45" t="inlineStr">
        <is>
          <t>Lv 45 Kabutops</t>
        </is>
      </c>
      <c r="J405" s="46" t="n"/>
      <c r="K405" s="45" t="inlineStr">
        <is>
          <t>Lv 45 Onix</t>
        </is>
      </c>
      <c r="L405" s="46" t="n"/>
      <c r="M405" s="45" t="inlineStr">
        <is>
          <t>Lv 47 Nosepass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Shell Armor</t>
        </is>
      </c>
      <c r="I406" s="48" t="inlineStr">
        <is>
          <t>Hardy</t>
        </is>
      </c>
      <c r="J406" s="48" t="inlineStr">
        <is>
          <t>Swift Swim</t>
        </is>
      </c>
      <c r="K406" s="48" t="inlineStr">
        <is>
          <t>Hardy</t>
        </is>
      </c>
      <c r="L406" s="48" t="inlineStr">
        <is>
          <t>Rock Head</t>
        </is>
      </c>
      <c r="M406" s="48" t="inlineStr">
        <is>
          <t>Hardy</t>
        </is>
      </c>
      <c r="N406" s="48" t="inlineStr">
        <is>
          <t>Solid Rock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Sitrus Berry</t>
        </is>
      </c>
      <c r="J407" s="46" t="n"/>
      <c r="K407" s="49" t="inlineStr">
        <is>
          <t>(None)</t>
        </is>
      </c>
      <c r="L407" s="46" t="n"/>
      <c r="M407" s="49" t="inlineStr">
        <is>
          <t>Sitrus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1" t="inlineStr">
        <is>
          <t>Protect</t>
        </is>
      </c>
      <c r="F408" s="46" t="n"/>
      <c r="G408" s="51" t="inlineStr">
        <is>
          <t>Protect</t>
        </is>
      </c>
      <c r="H408" s="46" t="n"/>
      <c r="I408" s="51" t="inlineStr">
        <is>
          <t>Swords Dance</t>
        </is>
      </c>
      <c r="J408" s="46" t="n"/>
      <c r="K408" s="66" t="inlineStr">
        <is>
          <t>Iron Tail</t>
        </is>
      </c>
      <c r="L408" s="46" t="n"/>
      <c r="M408" s="51" t="inlineStr">
        <is>
          <t>Double Team</t>
        </is>
      </c>
      <c r="N408" s="46" t="n"/>
      <c r="Q408" s="47" t="inlineStr">
        <is>
          <t>Moves</t>
        </is>
      </c>
    </row>
    <row r="409">
      <c r="E409" s="64" t="inlineStr">
        <is>
          <t>Ice Beam</t>
        </is>
      </c>
      <c r="F409" s="46" t="n"/>
      <c r="G409" s="62" t="inlineStr">
        <is>
          <t>Rollout</t>
        </is>
      </c>
      <c r="H409" s="46" t="n"/>
      <c r="I409" s="64" t="inlineStr">
        <is>
          <t>Ice Beam</t>
        </is>
      </c>
      <c r="J409" s="46" t="n"/>
      <c r="K409" s="51" t="inlineStr">
        <is>
          <t>Explosion</t>
        </is>
      </c>
      <c r="L409" s="46" t="n"/>
      <c r="M409" s="51" t="inlineStr">
        <is>
          <t>Explosion</t>
        </is>
      </c>
      <c r="N409" s="46" t="n"/>
    </row>
    <row r="410">
      <c r="E410" s="62" t="inlineStr">
        <is>
          <t>Rock Slide</t>
        </is>
      </c>
      <c r="F410" s="46" t="n"/>
      <c r="G410" s="53" t="inlineStr">
        <is>
          <t>Earthquake</t>
        </is>
      </c>
      <c r="H410" s="46" t="n"/>
      <c r="I410" s="61" t="inlineStr">
        <is>
          <t>Surf</t>
        </is>
      </c>
      <c r="J410" s="46" t="n"/>
      <c r="K410" s="51" t="inlineStr">
        <is>
          <t>Roar</t>
        </is>
      </c>
      <c r="L410" s="46" t="n"/>
      <c r="M410" s="51" t="inlineStr">
        <is>
          <t>Protect</t>
        </is>
      </c>
      <c r="N410" s="46" t="n"/>
    </row>
    <row r="411">
      <c r="E411" s="61" t="inlineStr">
        <is>
          <t>Surf</t>
        </is>
      </c>
      <c r="F411" s="46" t="n"/>
      <c r="G411" s="51" t="inlineStr">
        <is>
          <t>Explosion</t>
        </is>
      </c>
      <c r="H411" s="46" t="n"/>
      <c r="I411" s="62" t="inlineStr">
        <is>
          <t>Rock Slide</t>
        </is>
      </c>
      <c r="J411" s="46" t="n"/>
      <c r="K411" s="62" t="inlineStr">
        <is>
          <t>Rock Slide</t>
        </is>
      </c>
      <c r="L411" s="46" t="n"/>
      <c r="M411" s="62" t="inlineStr">
        <is>
          <t>Rock Slide</t>
        </is>
      </c>
      <c r="N411" s="46" t="n"/>
    </row>
    <row r="413" ht="20" customHeight="1">
      <c r="B413" s="40" t="inlineStr">
        <is>
          <t>Leader</t>
        </is>
      </c>
      <c r="C413" s="41" t="n"/>
      <c r="D413" s="41" t="n"/>
      <c r="E413" s="42" t="inlineStr">
        <is>
          <t>Leader Roxanne (Rematch 4)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IFERROR(_xlfn.IMAGE("https://play.pokemonshowdown.com/sprites/gen5/aerodactyl.png"),"")</f>
        <v/>
      </c>
      <c r="G414" s="43">
        <f>IFERROR(_xlfn.IMAGE("https://play.pokemonshowdown.com/sprites/gen5/golem.png"),"")</f>
        <v/>
      </c>
      <c r="I414" s="43">
        <f>IFERROR(_xlfn.IMAGE("https://play.pokemonshowdown.com/sprites/gen5/omastar.png"),"")</f>
        <v/>
      </c>
      <c r="K414" s="43">
        <f>IFERROR(_xlfn.IMAGE("https://play.pokemonshowdown.com/sprites/gen5/kabutops.png"),"")</f>
        <v/>
      </c>
      <c r="M414" s="43">
        <f>IFERROR(_xlfn.IMAGE("https://play.pokemonshowdown.com/sprites/gen5/steelix.png"),"")</f>
        <v/>
      </c>
      <c r="O414" s="43">
        <f>IFERROR(_xlfn.IMAGE("https://play.pokemonshowdown.com/sprites/gen5/nosepass.png"),"")</f>
        <v/>
      </c>
      <c r="Q414" s="44" t="inlineStr">
        <is>
          <t>DOUBLE BATTLE
Items: Full Restore / Full Restore / Full Restore</t>
        </is>
      </c>
    </row>
    <row r="415">
      <c r="E415" s="45" t="inlineStr">
        <is>
          <t>Lv 47 Aerodactyl</t>
        </is>
      </c>
      <c r="F415" s="46" t="n"/>
      <c r="G415" s="45" t="inlineStr">
        <is>
          <t>Lv 47 Golem</t>
        </is>
      </c>
      <c r="H415" s="46" t="n"/>
      <c r="I415" s="45" t="inlineStr">
        <is>
          <t>Lv 47 Omastar</t>
        </is>
      </c>
      <c r="J415" s="46" t="n"/>
      <c r="K415" s="45" t="inlineStr">
        <is>
          <t>Lv 50 Kabutops</t>
        </is>
      </c>
      <c r="L415" s="46" t="n"/>
      <c r="M415" s="45" t="inlineStr">
        <is>
          <t>Lv 50 Steelix</t>
        </is>
      </c>
      <c r="N415" s="46" t="n"/>
      <c r="O415" s="45" t="inlineStr">
        <is>
          <t>Lv 52 Nosepass</t>
        </is>
      </c>
      <c r="P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Shell Armor</t>
        </is>
      </c>
      <c r="I416" s="48" t="inlineStr">
        <is>
          <t>Hardy</t>
        </is>
      </c>
      <c r="J416" s="48" t="inlineStr">
        <is>
          <t>Swift Swim</t>
        </is>
      </c>
      <c r="K416" s="48" t="inlineStr">
        <is>
          <t>Hardy</t>
        </is>
      </c>
      <c r="L416" s="48" t="inlineStr">
        <is>
          <t>Swift Swim</t>
        </is>
      </c>
      <c r="M416" s="48" t="inlineStr">
        <is>
          <t>Hardy</t>
        </is>
      </c>
      <c r="N416" s="48" t="inlineStr">
        <is>
          <t>Solid Rock</t>
        </is>
      </c>
      <c r="O416" s="48" t="inlineStr">
        <is>
          <t>Hardy</t>
        </is>
      </c>
      <c r="P416" s="48" t="inlineStr">
        <is>
          <t>Solid Rock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K417" s="49" t="inlineStr">
        <is>
          <t>Sitrus Berry</t>
        </is>
      </c>
      <c r="L417" s="46" t="n"/>
      <c r="M417" s="49" t="inlineStr">
        <is>
          <t>(None)</t>
        </is>
      </c>
      <c r="N417" s="46" t="n"/>
      <c r="O417" s="49" t="inlineStr">
        <is>
          <t>Sitrus Berry</t>
        </is>
      </c>
      <c r="P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Slide</t>
        </is>
      </c>
      <c r="F418" s="46" t="n"/>
      <c r="G418" s="65" t="inlineStr">
        <is>
          <t>Focus Punch</t>
        </is>
      </c>
      <c r="H418" s="46" t="n"/>
      <c r="I418" s="51" t="inlineStr">
        <is>
          <t>Protect</t>
        </is>
      </c>
      <c r="J418" s="46" t="n"/>
      <c r="K418" s="51" t="inlineStr">
        <is>
          <t>Swords Dance</t>
        </is>
      </c>
      <c r="L418" s="46" t="n"/>
      <c r="M418" s="66" t="inlineStr">
        <is>
          <t>Iron Tail</t>
        </is>
      </c>
      <c r="N418" s="46" t="n"/>
      <c r="O418" s="51" t="inlineStr">
        <is>
          <t>Double Team</t>
        </is>
      </c>
      <c r="P418" s="46" t="n"/>
      <c r="Q418" s="47" t="inlineStr">
        <is>
          <t>Moves</t>
        </is>
      </c>
    </row>
    <row r="419">
      <c r="E419" s="51" t="inlineStr">
        <is>
          <t>Hyper Beam</t>
        </is>
      </c>
      <c r="F419" s="46" t="n"/>
      <c r="G419" s="62" t="inlineStr">
        <is>
          <t>Rollout</t>
        </is>
      </c>
      <c r="H419" s="46" t="n"/>
      <c r="I419" s="64" t="inlineStr">
        <is>
          <t>Ice Beam</t>
        </is>
      </c>
      <c r="J419" s="46" t="n"/>
      <c r="K419" s="64" t="inlineStr">
        <is>
          <t>Ice Beam</t>
        </is>
      </c>
      <c r="L419" s="46" t="n"/>
      <c r="M419" s="51" t="inlineStr">
        <is>
          <t>Explosion</t>
        </is>
      </c>
      <c r="N419" s="46" t="n"/>
      <c r="O419" s="51" t="inlineStr">
        <is>
          <t>Explosion</t>
        </is>
      </c>
      <c r="P419" s="46" t="n"/>
    </row>
    <row r="420">
      <c r="E420" s="51" t="inlineStr">
        <is>
          <t>Supersonic</t>
        </is>
      </c>
      <c r="F420" s="46" t="n"/>
      <c r="G420" s="53" t="inlineStr">
        <is>
          <t>Earthquake</t>
        </is>
      </c>
      <c r="H420" s="46" t="n"/>
      <c r="I420" s="62" t="inlineStr">
        <is>
          <t>Rock Slide</t>
        </is>
      </c>
      <c r="J420" s="46" t="n"/>
      <c r="K420" s="61" t="inlineStr">
        <is>
          <t>Surf</t>
        </is>
      </c>
      <c r="L420" s="46" t="n"/>
      <c r="M420" s="51" t="inlineStr">
        <is>
          <t>Roar</t>
        </is>
      </c>
      <c r="N420" s="46" t="n"/>
      <c r="O420" s="51" t="inlineStr">
        <is>
          <t>Protect</t>
        </is>
      </c>
      <c r="P420" s="46" t="n"/>
    </row>
    <row r="421">
      <c r="E421" s="51" t="inlineStr">
        <is>
          <t>Protect</t>
        </is>
      </c>
      <c r="F421" s="46" t="n"/>
      <c r="G421" s="51" t="inlineStr">
        <is>
          <t>Explosion</t>
        </is>
      </c>
      <c r="H421" s="46" t="n"/>
      <c r="I421" s="61" t="inlineStr">
        <is>
          <t>Surf</t>
        </is>
      </c>
      <c r="J421" s="46" t="n"/>
      <c r="K421" s="62" t="inlineStr">
        <is>
          <t>Rock Slide</t>
        </is>
      </c>
      <c r="L421" s="46" t="n"/>
      <c r="M421" s="62" t="inlineStr">
        <is>
          <t>Rock Slide</t>
        </is>
      </c>
      <c r="N421" s="46" t="n"/>
      <c r="O421" s="62" t="inlineStr">
        <is>
          <t>Rock Slide</t>
        </is>
      </c>
      <c r="P421" s="46" t="n"/>
    </row>
    <row r="423" ht="20" customHeight="1">
      <c r="B423" s="40" t="inlineStr">
        <is>
          <t>Leader</t>
        </is>
      </c>
      <c r="C423" s="41" t="n"/>
      <c r="D423" s="41" t="n"/>
      <c r="E423" s="42" t="inlineStr">
        <is>
          <t>Leader Tate&amp;Liza (Rematch 1)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IFERROR(_xlfn.IMAGE("https://play.pokemonshowdown.com/sprites/gen5/slowpoke.png"),"")</f>
        <v/>
      </c>
      <c r="G424" s="43">
        <f>IFERROR(_xlfn.IMAGE("https://play.pokemonshowdown.com/sprites/gen5/claydol.png"),"")</f>
        <v/>
      </c>
      <c r="I424" s="43">
        <f>IFERROR(_xlfn.IMAGE("https://play.pokemonshowdown.com/sprites/gen5/xatu.png"),"")</f>
        <v/>
      </c>
      <c r="K424" s="43">
        <f>IFERROR(_xlfn.IMAGE("https://play.pokemonshowdown.com/sprites/gen5/lunatone.png"),"")</f>
        <v/>
      </c>
      <c r="M424" s="43">
        <f>IFERROR(_xlfn.IMAGE("https://play.pokemonshowdown.com/sprites/gen5/solrock.png"),"")</f>
        <v/>
      </c>
      <c r="Q424" s="44" t="inlineStr">
        <is>
          <t>DOUBLE BATTLE
Items: Full Restore / Full Restore / Full Restore</t>
        </is>
      </c>
    </row>
    <row r="425">
      <c r="E425" s="45" t="inlineStr">
        <is>
          <t>Lv 48 Slowpoke</t>
        </is>
      </c>
      <c r="F425" s="46" t="n"/>
      <c r="G425" s="45" t="inlineStr">
        <is>
          <t>Lv 49 Claydol</t>
        </is>
      </c>
      <c r="H425" s="46" t="n"/>
      <c r="I425" s="45" t="inlineStr">
        <is>
          <t>Lv 49 Xatu</t>
        </is>
      </c>
      <c r="J425" s="46" t="n"/>
      <c r="K425" s="45" t="inlineStr">
        <is>
          <t>Lv 50 Lunatone</t>
        </is>
      </c>
      <c r="L425" s="46" t="n"/>
      <c r="M425" s="45" t="inlineStr">
        <is>
          <t>Lv 50 Solrock</t>
        </is>
      </c>
      <c r="N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Simple</t>
        </is>
      </c>
      <c r="G426" s="48" t="inlineStr">
        <is>
          <t>Hardy</t>
        </is>
      </c>
      <c r="H426" s="48" t="inlineStr">
        <is>
          <t>Levitate</t>
        </is>
      </c>
      <c r="I426" s="48" t="inlineStr">
        <is>
          <t>Hardy</t>
        </is>
      </c>
      <c r="J426" s="48" t="inlineStr">
        <is>
          <t>Magic Guard</t>
        </is>
      </c>
      <c r="K426" s="48" t="inlineStr">
        <is>
          <t>Hardy</t>
        </is>
      </c>
      <c r="L426" s="48" t="inlineStr">
        <is>
          <t>Levitate</t>
        </is>
      </c>
      <c r="M426" s="48" t="inlineStr">
        <is>
          <t>Hardy</t>
        </is>
      </c>
      <c r="N426" s="48" t="inlineStr">
        <is>
          <t>Levitate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G427" s="49" t="inlineStr">
        <is>
          <t>(None)</t>
        </is>
      </c>
      <c r="H427" s="46" t="n"/>
      <c r="I427" s="49" t="inlineStr">
        <is>
          <t>Chesto Berry</t>
        </is>
      </c>
      <c r="J427" s="46" t="n"/>
      <c r="K427" s="49" t="inlineStr">
        <is>
          <t>Chesto Berry</t>
        </is>
      </c>
      <c r="L427" s="46" t="n"/>
      <c r="M427" s="49" t="inlineStr">
        <is>
          <t>Sitrus Berry</t>
        </is>
      </c>
      <c r="N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Yawn</t>
        </is>
      </c>
      <c r="F428" s="46" t="n"/>
      <c r="G428" s="53" t="inlineStr">
        <is>
          <t>Earthquake</t>
        </is>
      </c>
      <c r="H428" s="46" t="n"/>
      <c r="I428" s="63" t="inlineStr">
        <is>
          <t>Psychic</t>
        </is>
      </c>
      <c r="J428" s="46" t="n"/>
      <c r="K428" s="53" t="inlineStr">
        <is>
          <t>Earthquake</t>
        </is>
      </c>
      <c r="L428" s="46" t="n"/>
      <c r="M428" s="58" t="inlineStr">
        <is>
          <t>Sunny Day</t>
        </is>
      </c>
      <c r="N428" s="46" t="n"/>
      <c r="Q428" s="47" t="inlineStr">
        <is>
          <t>Moves</t>
        </is>
      </c>
    </row>
    <row r="429">
      <c r="E429" s="63" t="inlineStr">
        <is>
          <t>Psychic</t>
        </is>
      </c>
      <c r="F429" s="46" t="n"/>
      <c r="G429" s="62" t="inlineStr">
        <is>
          <t>Ancient Power</t>
        </is>
      </c>
      <c r="H429" s="46" t="n"/>
      <c r="I429" s="63" t="inlineStr">
        <is>
          <t>Rest</t>
        </is>
      </c>
      <c r="J429" s="46" t="n"/>
      <c r="K429" s="63" t="inlineStr">
        <is>
          <t>Psychic</t>
        </is>
      </c>
      <c r="L429" s="46" t="n"/>
      <c r="M429" s="59" t="inlineStr">
        <is>
          <t>Solar Beam</t>
        </is>
      </c>
      <c r="N429" s="46" t="n"/>
    </row>
    <row r="430">
      <c r="E430" s="63" t="inlineStr">
        <is>
          <t>Calm Mind</t>
        </is>
      </c>
      <c r="F430" s="46" t="n"/>
      <c r="G430" s="63" t="inlineStr">
        <is>
          <t>Psychic</t>
        </is>
      </c>
      <c r="H430" s="46" t="n"/>
      <c r="I430" s="67" t="inlineStr">
        <is>
          <t>Confuse Ray</t>
        </is>
      </c>
      <c r="J430" s="46" t="n"/>
      <c r="K430" s="63" t="inlineStr">
        <is>
          <t>Rest</t>
        </is>
      </c>
      <c r="L430" s="46" t="n"/>
      <c r="M430" s="63" t="inlineStr">
        <is>
          <t>Psychic</t>
        </is>
      </c>
      <c r="N430" s="46" t="n"/>
    </row>
    <row r="431">
      <c r="E431" s="51" t="inlineStr">
        <is>
          <t>Protect</t>
        </is>
      </c>
      <c r="F431" s="46" t="n"/>
      <c r="G431" s="63" t="inlineStr">
        <is>
          <t>Light Screen</t>
        </is>
      </c>
      <c r="H431" s="46" t="n"/>
      <c r="I431" s="63" t="inlineStr">
        <is>
          <t>Calm Mind</t>
        </is>
      </c>
      <c r="J431" s="46" t="n"/>
      <c r="K431" s="63" t="inlineStr">
        <is>
          <t>Calm Mind</t>
        </is>
      </c>
      <c r="L431" s="46" t="n"/>
      <c r="M431" s="58" t="inlineStr">
        <is>
          <t>Flamethrower</t>
        </is>
      </c>
      <c r="N431" s="46" t="n"/>
    </row>
    <row r="433" ht="20" customHeight="1">
      <c r="B433" s="40" t="inlineStr">
        <is>
          <t>Leader</t>
        </is>
      </c>
      <c r="C433" s="41" t="n"/>
      <c r="D433" s="41" t="n"/>
      <c r="E433" s="42" t="inlineStr">
        <is>
          <t>Leader Tate&amp;Liza (Rematch 2)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IFERROR(_xlfn.IMAGE("https://play.pokemonshowdown.com/sprites/gen5/drowzee.png"),"")</f>
        <v/>
      </c>
      <c r="G434" s="43">
        <f>IFERROR(_xlfn.IMAGE("https://play.pokemonshowdown.com/sprites/gen5/slowpoke.png"),"")</f>
        <v/>
      </c>
      <c r="I434" s="43">
        <f>IFERROR(_xlfn.IMAGE("https://play.pokemonshowdown.com/sprites/gen5/claydol.png"),"")</f>
        <v/>
      </c>
      <c r="K434" s="43">
        <f>IFERROR(_xlfn.IMAGE("https://play.pokemonshowdown.com/sprites/gen5/xatu.png"),"")</f>
        <v/>
      </c>
      <c r="M434" s="43">
        <f>IFERROR(_xlfn.IMAGE("https://play.pokemonshowdown.com/sprites/gen5/lunatone.png"),"")</f>
        <v/>
      </c>
      <c r="O434" s="43">
        <f>IFERROR(_xlfn.IMAGE("https://play.pokemonshowdown.com/sprites/gen5/solrock.png"),"")</f>
        <v/>
      </c>
      <c r="Q434" s="44" t="inlineStr">
        <is>
          <t>DOUBLE BATTLE
Items: Full Restore / Full Restore / Full Restore</t>
        </is>
      </c>
    </row>
    <row r="435">
      <c r="E435" s="45" t="inlineStr">
        <is>
          <t>Lv 53 Drowzee</t>
        </is>
      </c>
      <c r="F435" s="46" t="n"/>
      <c r="G435" s="45" t="inlineStr">
        <is>
          <t>Lv 53 Slowpoke</t>
        </is>
      </c>
      <c r="H435" s="46" t="n"/>
      <c r="I435" s="45" t="inlineStr">
        <is>
          <t>Lv 54 Claydol</t>
        </is>
      </c>
      <c r="J435" s="46" t="n"/>
      <c r="K435" s="45" t="inlineStr">
        <is>
          <t>Lv 54 Xatu</t>
        </is>
      </c>
      <c r="L435" s="46" t="n"/>
      <c r="M435" s="45" t="inlineStr">
        <is>
          <t>Lv 55 Lunatone</t>
        </is>
      </c>
      <c r="N435" s="46" t="n"/>
      <c r="O435" s="45" t="inlineStr">
        <is>
          <t>Lv 55 Solrock</t>
        </is>
      </c>
      <c r="P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Bad Dreams</t>
        </is>
      </c>
      <c r="G436" s="48" t="inlineStr">
        <is>
          <t>Hardy</t>
        </is>
      </c>
      <c r="H436" s="48" t="inlineStr">
        <is>
          <t>Simple</t>
        </is>
      </c>
      <c r="I436" s="48" t="inlineStr">
        <is>
          <t>Hardy</t>
        </is>
      </c>
      <c r="J436" s="48" t="inlineStr">
        <is>
          <t>Levitate</t>
        </is>
      </c>
      <c r="K436" s="48" t="inlineStr">
        <is>
          <t>Hardy</t>
        </is>
      </c>
      <c r="L436" s="48" t="inlineStr">
        <is>
          <t>Magic Guard</t>
        </is>
      </c>
      <c r="M436" s="48" t="inlineStr">
        <is>
          <t>Hardy</t>
        </is>
      </c>
      <c r="N436" s="48" t="inlineStr">
        <is>
          <t>Levitate</t>
        </is>
      </c>
      <c r="O436" s="48" t="inlineStr">
        <is>
          <t>Hardy</t>
        </is>
      </c>
      <c r="P436" s="48" t="inlineStr">
        <is>
          <t>Levitate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I437" s="49" t="inlineStr">
        <is>
          <t>(None)</t>
        </is>
      </c>
      <c r="J437" s="46" t="n"/>
      <c r="K437" s="49" t="inlineStr">
        <is>
          <t>Chesto Berry</t>
        </is>
      </c>
      <c r="L437" s="46" t="n"/>
      <c r="M437" s="49" t="inlineStr">
        <is>
          <t>Chesto Berry</t>
        </is>
      </c>
      <c r="N437" s="46" t="n"/>
      <c r="O437" s="49" t="inlineStr">
        <is>
          <t>Sitrus Berry</t>
        </is>
      </c>
      <c r="P437" s="46" t="n"/>
      <c r="Q437" s="47" t="inlineStr">
        <is>
          <t>Item</t>
        </is>
      </c>
    </row>
    <row r="438">
      <c r="B438" s="44" t="inlineStr">
        <is>
          <t>Smart Trainer</t>
        </is>
      </c>
      <c r="E438" s="63" t="inlineStr">
        <is>
          <t>Hypnosis</t>
        </is>
      </c>
      <c r="F438" s="46" t="n"/>
      <c r="G438" s="51" t="inlineStr">
        <is>
          <t>Yawn</t>
        </is>
      </c>
      <c r="H438" s="46" t="n"/>
      <c r="I438" s="53" t="inlineStr">
        <is>
          <t>Earthquake</t>
        </is>
      </c>
      <c r="J438" s="46" t="n"/>
      <c r="K438" s="63" t="inlineStr">
        <is>
          <t>Psychic</t>
        </is>
      </c>
      <c r="L438" s="46" t="n"/>
      <c r="M438" s="53" t="inlineStr">
        <is>
          <t>Earthquake</t>
        </is>
      </c>
      <c r="N438" s="46" t="n"/>
      <c r="O438" s="58" t="inlineStr">
        <is>
          <t>Sunny Day</t>
        </is>
      </c>
      <c r="P438" s="46" t="n"/>
      <c r="Q438" s="47" t="inlineStr">
        <is>
          <t>Moves</t>
        </is>
      </c>
    </row>
    <row r="439">
      <c r="E439" s="63" t="inlineStr">
        <is>
          <t>Dream Eater</t>
        </is>
      </c>
      <c r="F439" s="46" t="n"/>
      <c r="G439" s="63" t="inlineStr">
        <is>
          <t>Psychic</t>
        </is>
      </c>
      <c r="H439" s="46" t="n"/>
      <c r="I439" s="51" t="inlineStr">
        <is>
          <t>Explosion</t>
        </is>
      </c>
      <c r="J439" s="46" t="n"/>
      <c r="K439" s="63" t="inlineStr">
        <is>
          <t>Rest</t>
        </is>
      </c>
      <c r="L439" s="46" t="n"/>
      <c r="M439" s="63" t="inlineStr">
        <is>
          <t>Psychic</t>
        </is>
      </c>
      <c r="N439" s="46" t="n"/>
      <c r="O439" s="59" t="inlineStr">
        <is>
          <t>Solar Beam</t>
        </is>
      </c>
      <c r="P439" s="46" t="n"/>
    </row>
    <row r="440">
      <c r="E440" s="51" t="inlineStr">
        <is>
          <t>Headbutt</t>
        </is>
      </c>
      <c r="F440" s="46" t="n"/>
      <c r="G440" s="63" t="inlineStr">
        <is>
          <t>Calm Mind</t>
        </is>
      </c>
      <c r="H440" s="46" t="n"/>
      <c r="I440" s="63" t="inlineStr">
        <is>
          <t>Psychic</t>
        </is>
      </c>
      <c r="J440" s="46" t="n"/>
      <c r="K440" s="67" t="inlineStr">
        <is>
          <t>Confuse Ray</t>
        </is>
      </c>
      <c r="L440" s="46" t="n"/>
      <c r="M440" s="63" t="inlineStr">
        <is>
          <t>Rest</t>
        </is>
      </c>
      <c r="N440" s="46" t="n"/>
      <c r="O440" s="63" t="inlineStr">
        <is>
          <t>Psychic</t>
        </is>
      </c>
      <c r="P440" s="46" t="n"/>
    </row>
    <row r="441">
      <c r="E441" s="51" t="inlineStr">
        <is>
          <t>Protect</t>
        </is>
      </c>
      <c r="F441" s="46" t="n"/>
      <c r="G441" s="51" t="inlineStr">
        <is>
          <t>Protect</t>
        </is>
      </c>
      <c r="H441" s="46" t="n"/>
      <c r="I441" s="63" t="inlineStr">
        <is>
          <t>Light Screen</t>
        </is>
      </c>
      <c r="J441" s="46" t="n"/>
      <c r="K441" s="63" t="inlineStr">
        <is>
          <t>Calm Mind</t>
        </is>
      </c>
      <c r="L441" s="46" t="n"/>
      <c r="M441" s="63" t="inlineStr">
        <is>
          <t>Calm Mind</t>
        </is>
      </c>
      <c r="N441" s="46" t="n"/>
      <c r="O441" s="58" t="inlineStr">
        <is>
          <t>Flamethrower</t>
        </is>
      </c>
      <c r="P441" s="46" t="n"/>
    </row>
    <row r="443" ht="20" customHeight="1">
      <c r="B443" s="40" t="inlineStr">
        <is>
          <t>Leader</t>
        </is>
      </c>
      <c r="C443" s="41" t="n"/>
      <c r="D443" s="41" t="n"/>
      <c r="E443" s="42" t="inlineStr">
        <is>
          <t>Leader Tate&amp;Liza (Rematch 3)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IFERROR(_xlfn.IMAGE("https://play.pokemonshowdown.com/sprites/gen5/hypno.png"),"")</f>
        <v/>
      </c>
      <c r="G444" s="43">
        <f>IFERROR(_xlfn.IMAGE("https://play.pokemonshowdown.com/sprites/gen5/claydol.png"),"")</f>
        <v/>
      </c>
      <c r="I444" s="43">
        <f>IFERROR(_xlfn.IMAGE("https://play.pokemonshowdown.com/sprites/gen5/slowpoke.png"),"")</f>
        <v/>
      </c>
      <c r="K444" s="43">
        <f>IFERROR(_xlfn.IMAGE("https://play.pokemonshowdown.com/sprites/gen5/xatu.png"),"")</f>
        <v/>
      </c>
      <c r="M444" s="43">
        <f>IFERROR(_xlfn.IMAGE("https://play.pokemonshowdown.com/sprites/gen5/lunatone.png"),"")</f>
        <v/>
      </c>
      <c r="O444" s="43">
        <f>IFERROR(_xlfn.IMAGE("https://play.pokemonshowdown.com/sprites/gen5/solrock.png"),"")</f>
        <v/>
      </c>
      <c r="Q444" s="44" t="inlineStr">
        <is>
          <t>DOUBLE BATTLE
Items: Full Restore / Full Restore / Full Restore</t>
        </is>
      </c>
    </row>
    <row r="445">
      <c r="E445" s="45" t="inlineStr">
        <is>
          <t>Lv 58 Hypno</t>
        </is>
      </c>
      <c r="F445" s="46" t="n"/>
      <c r="G445" s="45" t="inlineStr">
        <is>
          <t>Lv 59 Claydol</t>
        </is>
      </c>
      <c r="H445" s="46" t="n"/>
      <c r="I445" s="45" t="inlineStr">
        <is>
          <t>Lv 58 Slowpoke</t>
        </is>
      </c>
      <c r="J445" s="46" t="n"/>
      <c r="K445" s="45" t="inlineStr">
        <is>
          <t>Lv 59 Xatu</t>
        </is>
      </c>
      <c r="L445" s="46" t="n"/>
      <c r="M445" s="45" t="inlineStr">
        <is>
          <t>Lv 60 Lunatone</t>
        </is>
      </c>
      <c r="N445" s="46" t="n"/>
      <c r="O445" s="45" t="inlineStr">
        <is>
          <t>Lv 60 Solrock</t>
        </is>
      </c>
      <c r="P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Bad Dreams</t>
        </is>
      </c>
      <c r="G446" s="48" t="inlineStr">
        <is>
          <t>Hardy</t>
        </is>
      </c>
      <c r="H446" s="48" t="inlineStr">
        <is>
          <t>Levitate</t>
        </is>
      </c>
      <c r="I446" s="48" t="inlineStr">
        <is>
          <t>Hardy</t>
        </is>
      </c>
      <c r="J446" s="48" t="inlineStr">
        <is>
          <t>Simple</t>
        </is>
      </c>
      <c r="K446" s="48" t="inlineStr">
        <is>
          <t>Hardy</t>
        </is>
      </c>
      <c r="L446" s="48" t="inlineStr">
        <is>
          <t>Magic Guard</t>
        </is>
      </c>
      <c r="M446" s="48" t="inlineStr">
        <is>
          <t>Hardy</t>
        </is>
      </c>
      <c r="N446" s="48" t="inlineStr">
        <is>
          <t>Levitate</t>
        </is>
      </c>
      <c r="O446" s="48" t="inlineStr">
        <is>
          <t>Hardy</t>
        </is>
      </c>
      <c r="P446" s="48" t="inlineStr">
        <is>
          <t>Levitate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I447" s="49" t="inlineStr">
        <is>
          <t>(None)</t>
        </is>
      </c>
      <c r="J447" s="46" t="n"/>
      <c r="K447" s="49" t="inlineStr">
        <is>
          <t>Chesto Berry</t>
        </is>
      </c>
      <c r="L447" s="46" t="n"/>
      <c r="M447" s="49" t="inlineStr">
        <is>
          <t>Chesto Berry</t>
        </is>
      </c>
      <c r="N447" s="46" t="n"/>
      <c r="O447" s="49" t="inlineStr">
        <is>
          <t>Sitrus Berry</t>
        </is>
      </c>
      <c r="P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3" t="inlineStr">
        <is>
          <t>Hypnosis</t>
        </is>
      </c>
      <c r="F448" s="46" t="n"/>
      <c r="G448" s="53" t="inlineStr">
        <is>
          <t>Earthquake</t>
        </is>
      </c>
      <c r="H448" s="46" t="n"/>
      <c r="I448" s="51" t="inlineStr">
        <is>
          <t>Yawn</t>
        </is>
      </c>
      <c r="J448" s="46" t="n"/>
      <c r="K448" s="63" t="inlineStr">
        <is>
          <t>Psychic</t>
        </is>
      </c>
      <c r="L448" s="46" t="n"/>
      <c r="M448" s="53" t="inlineStr">
        <is>
          <t>Earthquake</t>
        </is>
      </c>
      <c r="N448" s="46" t="n"/>
      <c r="O448" s="58" t="inlineStr">
        <is>
          <t>Sunny Day</t>
        </is>
      </c>
      <c r="P448" s="46" t="n"/>
      <c r="Q448" s="47" t="inlineStr">
        <is>
          <t>Moves</t>
        </is>
      </c>
    </row>
    <row r="449">
      <c r="E449" s="63" t="inlineStr">
        <is>
          <t>Dream Eater</t>
        </is>
      </c>
      <c r="F449" s="46" t="n"/>
      <c r="G449" s="51" t="inlineStr">
        <is>
          <t>Explosion</t>
        </is>
      </c>
      <c r="H449" s="46" t="n"/>
      <c r="I449" s="63" t="inlineStr">
        <is>
          <t>Psychic</t>
        </is>
      </c>
      <c r="J449" s="46" t="n"/>
      <c r="K449" s="63" t="inlineStr">
        <is>
          <t>Rest</t>
        </is>
      </c>
      <c r="L449" s="46" t="n"/>
      <c r="M449" s="63" t="inlineStr">
        <is>
          <t>Psychic</t>
        </is>
      </c>
      <c r="N449" s="46" t="n"/>
      <c r="O449" s="59" t="inlineStr">
        <is>
          <t>Solar Beam</t>
        </is>
      </c>
      <c r="P449" s="46" t="n"/>
    </row>
    <row r="450">
      <c r="E450" s="51" t="inlineStr">
        <is>
          <t>Headbutt</t>
        </is>
      </c>
      <c r="F450" s="46" t="n"/>
      <c r="G450" s="63" t="inlineStr">
        <is>
          <t>Psychic</t>
        </is>
      </c>
      <c r="H450" s="46" t="n"/>
      <c r="I450" s="63" t="inlineStr">
        <is>
          <t>Calm Mind</t>
        </is>
      </c>
      <c r="J450" s="46" t="n"/>
      <c r="K450" s="67" t="inlineStr">
        <is>
          <t>Confuse Ray</t>
        </is>
      </c>
      <c r="L450" s="46" t="n"/>
      <c r="M450" s="63" t="inlineStr">
        <is>
          <t>Rest</t>
        </is>
      </c>
      <c r="N450" s="46" t="n"/>
      <c r="O450" s="63" t="inlineStr">
        <is>
          <t>Psychic</t>
        </is>
      </c>
      <c r="P450" s="46" t="n"/>
    </row>
    <row r="451">
      <c r="E451" s="51" t="inlineStr">
        <is>
          <t>Protect</t>
        </is>
      </c>
      <c r="F451" s="46" t="n"/>
      <c r="G451" s="63" t="inlineStr">
        <is>
          <t>Light Screen</t>
        </is>
      </c>
      <c r="H451" s="46" t="n"/>
      <c r="I451" s="51" t="inlineStr">
        <is>
          <t>Protect</t>
        </is>
      </c>
      <c r="J451" s="46" t="n"/>
      <c r="K451" s="63" t="inlineStr">
        <is>
          <t>Calm Mind</t>
        </is>
      </c>
      <c r="L451" s="46" t="n"/>
      <c r="M451" s="63" t="inlineStr">
        <is>
          <t>Calm Mind</t>
        </is>
      </c>
      <c r="N451" s="46" t="n"/>
      <c r="O451" s="58" t="inlineStr">
        <is>
          <t>Flamethrower</t>
        </is>
      </c>
      <c r="P451" s="46" t="n"/>
    </row>
    <row r="453" ht="20" customHeight="1">
      <c r="B453" s="40" t="inlineStr">
        <is>
          <t>Leader</t>
        </is>
      </c>
      <c r="C453" s="41" t="n"/>
      <c r="D453" s="41" t="n"/>
      <c r="E453" s="42" t="inlineStr">
        <is>
          <t>Leader Tate&amp;Liza (Rematch 4)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IFERROR(_xlfn.IMAGE("https://play.pokemonshowdown.com/sprites/gen5/hypno.png"),"")</f>
        <v/>
      </c>
      <c r="G454" s="43">
        <f>IFERROR(_xlfn.IMAGE("https://play.pokemonshowdown.com/sprites/gen5/claydol.png"),"")</f>
        <v/>
      </c>
      <c r="I454" s="43">
        <f>IFERROR(_xlfn.IMAGE("https://play.pokemonshowdown.com/sprites/gen5/slowking.png"),"")</f>
        <v/>
      </c>
      <c r="K454" s="43">
        <f>IFERROR(_xlfn.IMAGE("https://play.pokemonshowdown.com/sprites/gen5/xatu.png"),"")</f>
        <v/>
      </c>
      <c r="M454" s="43">
        <f>IFERROR(_xlfn.IMAGE("https://play.pokemonshowdown.com/sprites/gen5/lunatone.png"),"")</f>
        <v/>
      </c>
      <c r="O454" s="43">
        <f>IFERROR(_xlfn.IMAGE("https://play.pokemonshowdown.com/sprites/gen5/solrock.png"),"")</f>
        <v/>
      </c>
      <c r="Q454" s="44" t="inlineStr">
        <is>
          <t>DOUBLE BATTLE
Items: Full Restore / Full Restore / Full Restore</t>
        </is>
      </c>
    </row>
    <row r="455">
      <c r="E455" s="45" t="inlineStr">
        <is>
          <t>Lv 63 Hypno</t>
        </is>
      </c>
      <c r="F455" s="46" t="n"/>
      <c r="G455" s="45" t="inlineStr">
        <is>
          <t>Lv 64 Claydol</t>
        </is>
      </c>
      <c r="H455" s="46" t="n"/>
      <c r="I455" s="45" t="inlineStr">
        <is>
          <t>Lv 63 Slowking</t>
        </is>
      </c>
      <c r="J455" s="46" t="n"/>
      <c r="K455" s="45" t="inlineStr">
        <is>
          <t>Lv 64 Xatu</t>
        </is>
      </c>
      <c r="L455" s="46" t="n"/>
      <c r="M455" s="45" t="inlineStr">
        <is>
          <t>Lv 65 Lunatone</t>
        </is>
      </c>
      <c r="N455" s="46" t="n"/>
      <c r="O455" s="45" t="inlineStr">
        <is>
          <t>Lv 65 Solrock</t>
        </is>
      </c>
      <c r="P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Bad Dreams</t>
        </is>
      </c>
      <c r="G456" s="48" t="inlineStr">
        <is>
          <t>Hardy</t>
        </is>
      </c>
      <c r="H456" s="48" t="inlineStr">
        <is>
          <t>Levitate</t>
        </is>
      </c>
      <c r="I456" s="48" t="inlineStr">
        <is>
          <t>Hardy</t>
        </is>
      </c>
      <c r="J456" s="48" t="inlineStr">
        <is>
          <t>Simple</t>
        </is>
      </c>
      <c r="K456" s="48" t="inlineStr">
        <is>
          <t>Hardy</t>
        </is>
      </c>
      <c r="L456" s="48" t="inlineStr">
        <is>
          <t>Magic Guard</t>
        </is>
      </c>
      <c r="M456" s="48" t="inlineStr">
        <is>
          <t>Hardy</t>
        </is>
      </c>
      <c r="N456" s="48" t="inlineStr">
        <is>
          <t>Levitate</t>
        </is>
      </c>
      <c r="O456" s="48" t="inlineStr">
        <is>
          <t>Hardy</t>
        </is>
      </c>
      <c r="P456" s="48" t="inlineStr">
        <is>
          <t>Levitate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I457" s="49" t="inlineStr">
        <is>
          <t>(None)</t>
        </is>
      </c>
      <c r="J457" s="46" t="n"/>
      <c r="K457" s="49" t="inlineStr">
        <is>
          <t>Chesto Berry</t>
        </is>
      </c>
      <c r="L457" s="46" t="n"/>
      <c r="M457" s="49" t="inlineStr">
        <is>
          <t>Chesto Berry</t>
        </is>
      </c>
      <c r="N457" s="46" t="n"/>
      <c r="O457" s="49" t="inlineStr">
        <is>
          <t>Sitrus Berry</t>
        </is>
      </c>
      <c r="P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3" t="inlineStr">
        <is>
          <t>Hypnosis</t>
        </is>
      </c>
      <c r="F458" s="46" t="n"/>
      <c r="G458" s="53" t="inlineStr">
        <is>
          <t>Earthquake</t>
        </is>
      </c>
      <c r="H458" s="46" t="n"/>
      <c r="I458" s="51" t="inlineStr">
        <is>
          <t>Yawn</t>
        </is>
      </c>
      <c r="J458" s="46" t="n"/>
      <c r="K458" s="63" t="inlineStr">
        <is>
          <t>Psychic</t>
        </is>
      </c>
      <c r="L458" s="46" t="n"/>
      <c r="M458" s="53" t="inlineStr">
        <is>
          <t>Earthquake</t>
        </is>
      </c>
      <c r="N458" s="46" t="n"/>
      <c r="O458" s="58" t="inlineStr">
        <is>
          <t>Sunny Day</t>
        </is>
      </c>
      <c r="P458" s="46" t="n"/>
      <c r="Q458" s="47" t="inlineStr">
        <is>
          <t>Moves</t>
        </is>
      </c>
    </row>
    <row r="459">
      <c r="E459" s="63" t="inlineStr">
        <is>
          <t>Dream Eater</t>
        </is>
      </c>
      <c r="F459" s="46" t="n"/>
      <c r="G459" s="51" t="inlineStr">
        <is>
          <t>Explosion</t>
        </is>
      </c>
      <c r="H459" s="46" t="n"/>
      <c r="I459" s="63" t="inlineStr">
        <is>
          <t>Psychic</t>
        </is>
      </c>
      <c r="J459" s="46" t="n"/>
      <c r="K459" s="63" t="inlineStr">
        <is>
          <t>Rest</t>
        </is>
      </c>
      <c r="L459" s="46" t="n"/>
      <c r="M459" s="63" t="inlineStr">
        <is>
          <t>Psychic</t>
        </is>
      </c>
      <c r="N459" s="46" t="n"/>
      <c r="O459" s="59" t="inlineStr">
        <is>
          <t>Solar Beam</t>
        </is>
      </c>
      <c r="P459" s="46" t="n"/>
    </row>
    <row r="460">
      <c r="E460" s="51" t="inlineStr">
        <is>
          <t>Headbutt</t>
        </is>
      </c>
      <c r="F460" s="46" t="n"/>
      <c r="G460" s="63" t="inlineStr">
        <is>
          <t>Psychic</t>
        </is>
      </c>
      <c r="H460" s="46" t="n"/>
      <c r="I460" s="63" t="inlineStr">
        <is>
          <t>Calm Mind</t>
        </is>
      </c>
      <c r="J460" s="46" t="n"/>
      <c r="K460" s="67" t="inlineStr">
        <is>
          <t>Confuse Ray</t>
        </is>
      </c>
      <c r="L460" s="46" t="n"/>
      <c r="M460" s="63" t="inlineStr">
        <is>
          <t>Rest</t>
        </is>
      </c>
      <c r="N460" s="46" t="n"/>
      <c r="O460" s="63" t="inlineStr">
        <is>
          <t>Psychic</t>
        </is>
      </c>
      <c r="P460" s="46" t="n"/>
    </row>
    <row r="461">
      <c r="E461" s="51" t="inlineStr">
        <is>
          <t>Protect</t>
        </is>
      </c>
      <c r="F461" s="46" t="n"/>
      <c r="G461" s="63" t="inlineStr">
        <is>
          <t>Light Screen</t>
        </is>
      </c>
      <c r="H461" s="46" t="n"/>
      <c r="I461" s="51" t="inlineStr">
        <is>
          <t>Protect</t>
        </is>
      </c>
      <c r="J461" s="46" t="n"/>
      <c r="K461" s="63" t="inlineStr">
        <is>
          <t>Calm Mind</t>
        </is>
      </c>
      <c r="L461" s="46" t="n"/>
      <c r="M461" s="63" t="inlineStr">
        <is>
          <t>Calm Mind</t>
        </is>
      </c>
      <c r="N461" s="46" t="n"/>
      <c r="O461" s="58" t="inlineStr">
        <is>
          <t>Flamethrower</t>
        </is>
      </c>
      <c r="P461" s="46" t="n"/>
    </row>
    <row r="463" ht="20" customHeight="1">
      <c r="B463" s="40" t="inlineStr">
        <is>
          <t>Leader</t>
        </is>
      </c>
      <c r="C463" s="41" t="n"/>
      <c r="D463" s="41" t="n"/>
      <c r="E463" s="42" t="inlineStr">
        <is>
          <t>Leader Wattson (Rematch 1)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IFERROR(_xlfn.IMAGE("https://play.pokemonshowdown.com/sprites/gen5/mareep.png"),"")</f>
        <v/>
      </c>
      <c r="G464" s="43">
        <f>IFERROR(_xlfn.IMAGE("https://play.pokemonshowdown.com/sprites/gen5/electrode.png"),"")</f>
        <v/>
      </c>
      <c r="I464" s="43">
        <f>IFERROR(_xlfn.IMAGE("https://play.pokemonshowdown.com/sprites/gen5/magneton.png"),"")</f>
        <v/>
      </c>
      <c r="K464" s="43">
        <f>IFERROR(_xlfn.IMAGE("https://play.pokemonshowdown.com/sprites/gen5/manectric.png"),"")</f>
        <v/>
      </c>
      <c r="Q464" s="44" t="inlineStr">
        <is>
          <t>DOUBLE BATTLE
Items: Full Restore / Full Restore / Full Restore</t>
        </is>
      </c>
    </row>
    <row r="465">
      <c r="E465" s="45" t="inlineStr">
        <is>
          <t>Lv 36 Mareep</t>
        </is>
      </c>
      <c r="F465" s="46" t="n"/>
      <c r="G465" s="45" t="inlineStr">
        <is>
          <t>Lv 36 Electrode</t>
        </is>
      </c>
      <c r="H465" s="46" t="n"/>
      <c r="I465" s="45" t="inlineStr">
        <is>
          <t>Lv 38 Magneton</t>
        </is>
      </c>
      <c r="J465" s="46" t="n"/>
      <c r="K465" s="45" t="inlineStr">
        <is>
          <t>Lv 40 Manectric</t>
        </is>
      </c>
      <c r="L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Static</t>
        </is>
      </c>
      <c r="G466" s="48" t="inlineStr">
        <is>
          <t>Hardy</t>
        </is>
      </c>
      <c r="H466" s="48" t="inlineStr">
        <is>
          <t>Aftermath</t>
        </is>
      </c>
      <c r="I466" s="48" t="inlineStr">
        <is>
          <t>Hardy</t>
        </is>
      </c>
      <c r="J466" s="48" t="inlineStr">
        <is>
          <t>Magnet Pull</t>
        </is>
      </c>
      <c r="K466" s="48" t="inlineStr">
        <is>
          <t>Hardy</t>
        </is>
      </c>
      <c r="L466" s="48" t="inlineStr">
        <is>
          <t>Lightning Rod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G467" s="49" t="inlineStr">
        <is>
          <t>(None)</t>
        </is>
      </c>
      <c r="H467" s="46" t="n"/>
      <c r="I467" s="49" t="inlineStr">
        <is>
          <t>Sitrus Berry</t>
        </is>
      </c>
      <c r="J467" s="46" t="n"/>
      <c r="K467" s="49" t="inlineStr">
        <is>
          <t>Sitrus Berry</t>
        </is>
      </c>
      <c r="L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2" t="inlineStr">
        <is>
          <t>Thunder</t>
        </is>
      </c>
      <c r="F468" s="46" t="n"/>
      <c r="G468" s="62" t="inlineStr">
        <is>
          <t>Rollout</t>
        </is>
      </c>
      <c r="H468" s="46" t="n"/>
      <c r="I468" s="51" t="inlineStr">
        <is>
          <t>Supersonic</t>
        </is>
      </c>
      <c r="J468" s="46" t="n"/>
      <c r="K468" s="50" t="inlineStr">
        <is>
          <t>Bite</t>
        </is>
      </c>
      <c r="L468" s="46" t="n"/>
      <c r="Q468" s="47" t="inlineStr">
        <is>
          <t>Moves</t>
        </is>
      </c>
    </row>
    <row r="469">
      <c r="E469" s="51" t="inlineStr">
        <is>
          <t>Protect</t>
        </is>
      </c>
      <c r="F469" s="46" t="n"/>
      <c r="G469" s="52" t="inlineStr">
        <is>
          <t>Thunder</t>
        </is>
      </c>
      <c r="H469" s="46" t="n"/>
      <c r="I469" s="51" t="inlineStr">
        <is>
          <t>Protect</t>
        </is>
      </c>
      <c r="J469" s="46" t="n"/>
      <c r="K469" s="52" t="inlineStr">
        <is>
          <t>Thunder Wave</t>
        </is>
      </c>
      <c r="L469" s="46" t="n"/>
    </row>
    <row r="470">
      <c r="E470" s="52" t="inlineStr">
        <is>
          <t>Thunder Wave</t>
        </is>
      </c>
      <c r="F470" s="46" t="n"/>
      <c r="G470" s="51" t="inlineStr">
        <is>
          <t>Explosion</t>
        </is>
      </c>
      <c r="H470" s="46" t="n"/>
      <c r="I470" s="52" t="inlineStr">
        <is>
          <t>Thunder</t>
        </is>
      </c>
      <c r="J470" s="46" t="n"/>
      <c r="K470" s="52" t="inlineStr">
        <is>
          <t>Thunder</t>
        </is>
      </c>
      <c r="L470" s="46" t="n"/>
    </row>
    <row r="471">
      <c r="E471" s="63" t="inlineStr">
        <is>
          <t>Light Screen</t>
        </is>
      </c>
      <c r="F471" s="46" t="n"/>
      <c r="G471" s="61" t="inlineStr">
        <is>
          <t>Rain Dance</t>
        </is>
      </c>
      <c r="H471" s="46" t="n"/>
      <c r="I471" s="61" t="inlineStr">
        <is>
          <t>Rain Dance</t>
        </is>
      </c>
      <c r="J471" s="46" t="n"/>
      <c r="K471" s="51" t="inlineStr">
        <is>
          <t>Protect</t>
        </is>
      </c>
      <c r="L471" s="46" t="n"/>
    </row>
    <row r="473" ht="20" customHeight="1">
      <c r="B473" s="40" t="inlineStr">
        <is>
          <t>Leader</t>
        </is>
      </c>
      <c r="C473" s="41" t="n"/>
      <c r="D473" s="41" t="n"/>
      <c r="E473" s="42" t="inlineStr">
        <is>
          <t>Leader Wattson (Rematch 2)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IFERROR(_xlfn.IMAGE("https://play.pokemonshowdown.com/sprites/gen5/pikachu.png"),"")</f>
        <v/>
      </c>
      <c r="G474" s="43">
        <f>IFERROR(_xlfn.IMAGE("https://play.pokemonshowdown.com/sprites/gen5/flaaffy.png"),"")</f>
        <v/>
      </c>
      <c r="I474" s="43">
        <f>IFERROR(_xlfn.IMAGE("https://play.pokemonshowdown.com/sprites/gen5/electrode.png"),"")</f>
        <v/>
      </c>
      <c r="K474" s="43">
        <f>IFERROR(_xlfn.IMAGE("https://play.pokemonshowdown.com/sprites/gen5/magneton.png"),"")</f>
        <v/>
      </c>
      <c r="M474" s="43">
        <f>IFERROR(_xlfn.IMAGE("https://play.pokemonshowdown.com/sprites/gen5/manectric.png"),"")</f>
        <v/>
      </c>
      <c r="Q474" s="44" t="inlineStr">
        <is>
          <t>DOUBLE BATTLE
Items: Full Restore / Full Restore / Full Restore</t>
        </is>
      </c>
    </row>
    <row r="475">
      <c r="E475" s="45" t="inlineStr">
        <is>
          <t>Lv 39 Pikachu</t>
        </is>
      </c>
      <c r="F475" s="46" t="n"/>
      <c r="G475" s="45" t="inlineStr">
        <is>
          <t>Lv 41 Flaaffy</t>
        </is>
      </c>
      <c r="H475" s="46" t="n"/>
      <c r="I475" s="45" t="inlineStr">
        <is>
          <t>Lv 41 Electrode</t>
        </is>
      </c>
      <c r="J475" s="46" t="n"/>
      <c r="K475" s="45" t="inlineStr">
        <is>
          <t>Lv 43 Magneton</t>
        </is>
      </c>
      <c r="L475" s="46" t="n"/>
      <c r="M475" s="45" t="inlineStr">
        <is>
          <t>Lv 45 Manectric</t>
        </is>
      </c>
      <c r="N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Reckless</t>
        </is>
      </c>
      <c r="G476" s="48" t="inlineStr">
        <is>
          <t>Hardy</t>
        </is>
      </c>
      <c r="H476" s="48" t="inlineStr">
        <is>
          <t>Static</t>
        </is>
      </c>
      <c r="I476" s="48" t="inlineStr">
        <is>
          <t>Hardy</t>
        </is>
      </c>
      <c r="J476" s="48" t="inlineStr">
        <is>
          <t>Aftermath</t>
        </is>
      </c>
      <c r="K476" s="48" t="inlineStr">
        <is>
          <t>Hardy</t>
        </is>
      </c>
      <c r="L476" s="48" t="inlineStr">
        <is>
          <t>Magnet Pull</t>
        </is>
      </c>
      <c r="M476" s="48" t="inlineStr">
        <is>
          <t>Hardy</t>
        </is>
      </c>
      <c r="N476" s="48" t="inlineStr">
        <is>
          <t>Lightning Rod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I477" s="49" t="inlineStr">
        <is>
          <t>(None)</t>
        </is>
      </c>
      <c r="J477" s="46" t="n"/>
      <c r="K477" s="49" t="inlineStr">
        <is>
          <t>Sitrus Berry</t>
        </is>
      </c>
      <c r="L477" s="46" t="n"/>
      <c r="M477" s="49" t="inlineStr">
        <is>
          <t>Sitrus Berry</t>
        </is>
      </c>
      <c r="N477" s="46" t="n"/>
      <c r="Q477" s="47" t="inlineStr">
        <is>
          <t>Item</t>
        </is>
      </c>
    </row>
    <row r="478">
      <c r="B478" s="44" t="inlineStr">
        <is>
          <t>Smart Trainer</t>
        </is>
      </c>
      <c r="E478" s="52" t="inlineStr">
        <is>
          <t>Thunder</t>
        </is>
      </c>
      <c r="F478" s="46" t="n"/>
      <c r="G478" s="52" t="inlineStr">
        <is>
          <t>Thunder</t>
        </is>
      </c>
      <c r="H478" s="46" t="n"/>
      <c r="I478" s="62" t="inlineStr">
        <is>
          <t>Rollout</t>
        </is>
      </c>
      <c r="J478" s="46" t="n"/>
      <c r="K478" s="51" t="inlineStr">
        <is>
          <t>Supersonic</t>
        </is>
      </c>
      <c r="L478" s="46" t="n"/>
      <c r="M478" s="50" t="inlineStr">
        <is>
          <t>Bite</t>
        </is>
      </c>
      <c r="N478" s="46" t="n"/>
      <c r="Q478" s="47" t="inlineStr">
        <is>
          <t>Moves</t>
        </is>
      </c>
    </row>
    <row r="479">
      <c r="E479" s="51" t="inlineStr">
        <is>
          <t>Slam</t>
        </is>
      </c>
      <c r="F479" s="46" t="n"/>
      <c r="G479" s="51" t="inlineStr">
        <is>
          <t>Protect</t>
        </is>
      </c>
      <c r="H479" s="46" t="n"/>
      <c r="I479" s="52" t="inlineStr">
        <is>
          <t>Thunder</t>
        </is>
      </c>
      <c r="J479" s="46" t="n"/>
      <c r="K479" s="51" t="inlineStr">
        <is>
          <t>Protect</t>
        </is>
      </c>
      <c r="L479" s="46" t="n"/>
      <c r="M479" s="52" t="inlineStr">
        <is>
          <t>Thunder Wave</t>
        </is>
      </c>
      <c r="N479" s="46" t="n"/>
    </row>
    <row r="480">
      <c r="E480" s="61" t="inlineStr">
        <is>
          <t>Rain Dance</t>
        </is>
      </c>
      <c r="F480" s="46" t="n"/>
      <c r="G480" s="52" t="inlineStr">
        <is>
          <t>Thunder Wave</t>
        </is>
      </c>
      <c r="H480" s="46" t="n"/>
      <c r="I480" s="51" t="inlineStr">
        <is>
          <t>Explosion</t>
        </is>
      </c>
      <c r="J480" s="46" t="n"/>
      <c r="K480" s="52" t="inlineStr">
        <is>
          <t>Thunder</t>
        </is>
      </c>
      <c r="L480" s="46" t="n"/>
      <c r="M480" s="52" t="inlineStr">
        <is>
          <t>Thunder</t>
        </is>
      </c>
      <c r="N480" s="46" t="n"/>
    </row>
    <row r="481">
      <c r="E481" s="52" t="inlineStr">
        <is>
          <t>Shock Wave</t>
        </is>
      </c>
      <c r="F481" s="46" t="n"/>
      <c r="G481" s="63" t="inlineStr">
        <is>
          <t>Light Screen</t>
        </is>
      </c>
      <c r="H481" s="46" t="n"/>
      <c r="I481" s="61" t="inlineStr">
        <is>
          <t>Rain Dance</t>
        </is>
      </c>
      <c r="J481" s="46" t="n"/>
      <c r="K481" s="61" t="inlineStr">
        <is>
          <t>Rain Dance</t>
        </is>
      </c>
      <c r="L481" s="46" t="n"/>
      <c r="M481" s="51" t="inlineStr">
        <is>
          <t>Protect</t>
        </is>
      </c>
      <c r="N481" s="46" t="n"/>
    </row>
    <row r="483" ht="20" customHeight="1">
      <c r="B483" s="40" t="inlineStr">
        <is>
          <t>Leader</t>
        </is>
      </c>
      <c r="C483" s="41" t="n"/>
      <c r="D483" s="41" t="n"/>
      <c r="E483" s="42" t="inlineStr">
        <is>
          <t>Leader Wattson (Rematch 3)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IFERROR(_xlfn.IMAGE("https://play.pokemonshowdown.com/sprites/gen5/raichu.png"),"")</f>
        <v/>
      </c>
      <c r="G484" s="43">
        <f>IFERROR(_xlfn.IMAGE("https://play.pokemonshowdown.com/sprites/gen5/ampharos.png"),"")</f>
        <v/>
      </c>
      <c r="I484" s="43">
        <f>IFERROR(_xlfn.IMAGE("https://play.pokemonshowdown.com/sprites/gen5/electrode.png"),"")</f>
        <v/>
      </c>
      <c r="K484" s="43">
        <f>IFERROR(_xlfn.IMAGE("https://play.pokemonshowdown.com/sprites/gen5/magneton.png"),"")</f>
        <v/>
      </c>
      <c r="M484" s="43">
        <f>IFERROR(_xlfn.IMAGE("https://play.pokemonshowdown.com/sprites/gen5/manectric.png"),"")</f>
        <v/>
      </c>
      <c r="Q484" s="44" t="inlineStr">
        <is>
          <t>DOUBLE BATTLE
Items: Full Restore / Full Restore / Full Restore</t>
        </is>
      </c>
    </row>
    <row r="485">
      <c r="E485" s="45" t="inlineStr">
        <is>
          <t>Lv 44 Raichu</t>
        </is>
      </c>
      <c r="F485" s="46" t="n"/>
      <c r="G485" s="45" t="inlineStr">
        <is>
          <t>Lv 46 Ampharos</t>
        </is>
      </c>
      <c r="H485" s="46" t="n"/>
      <c r="I485" s="45" t="inlineStr">
        <is>
          <t>Lv 46 Electrode</t>
        </is>
      </c>
      <c r="J485" s="46" t="n"/>
      <c r="K485" s="45" t="inlineStr">
        <is>
          <t>Lv 48 Magneton</t>
        </is>
      </c>
      <c r="L485" s="46" t="n"/>
      <c r="M485" s="45" t="inlineStr">
        <is>
          <t>Lv 50 Manectric</t>
        </is>
      </c>
      <c r="N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Lightning Rod</t>
        </is>
      </c>
      <c r="G486" s="48" t="inlineStr">
        <is>
          <t>Hardy</t>
        </is>
      </c>
      <c r="H486" s="48" t="inlineStr">
        <is>
          <t>No Guard</t>
        </is>
      </c>
      <c r="I486" s="48" t="inlineStr">
        <is>
          <t>Hardy</t>
        </is>
      </c>
      <c r="J486" s="48" t="inlineStr">
        <is>
          <t>Aftermath</t>
        </is>
      </c>
      <c r="K486" s="48" t="inlineStr">
        <is>
          <t>Hardy</t>
        </is>
      </c>
      <c r="L486" s="48" t="inlineStr">
        <is>
          <t>Magnet Pull</t>
        </is>
      </c>
      <c r="M486" s="48" t="inlineStr">
        <is>
          <t>Hardy</t>
        </is>
      </c>
      <c r="N486" s="48" t="inlineStr">
        <is>
          <t>Lightning Rod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G487" s="49" t="inlineStr">
        <is>
          <t>(None)</t>
        </is>
      </c>
      <c r="H487" s="46" t="n"/>
      <c r="I487" s="49" t="inlineStr">
        <is>
          <t>(None)</t>
        </is>
      </c>
      <c r="J487" s="46" t="n"/>
      <c r="K487" s="49" t="inlineStr">
        <is>
          <t>Sitrus Berry</t>
        </is>
      </c>
      <c r="L487" s="46" t="n"/>
      <c r="M487" s="49" t="inlineStr">
        <is>
          <t>Sitrus Berry</t>
        </is>
      </c>
      <c r="N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2" t="inlineStr">
        <is>
          <t>Thunder</t>
        </is>
      </c>
      <c r="F488" s="46" t="n"/>
      <c r="G488" s="52" t="inlineStr">
        <is>
          <t>Thunder</t>
        </is>
      </c>
      <c r="H488" s="46" t="n"/>
      <c r="I488" s="62" t="inlineStr">
        <is>
          <t>Rollout</t>
        </is>
      </c>
      <c r="J488" s="46" t="n"/>
      <c r="K488" s="51" t="inlineStr">
        <is>
          <t>Supersonic</t>
        </is>
      </c>
      <c r="L488" s="46" t="n"/>
      <c r="M488" s="50" t="inlineStr">
        <is>
          <t>Bite</t>
        </is>
      </c>
      <c r="N488" s="46" t="n"/>
      <c r="Q488" s="47" t="inlineStr">
        <is>
          <t>Moves</t>
        </is>
      </c>
    </row>
    <row r="489">
      <c r="E489" s="51" t="inlineStr">
        <is>
          <t>Slam</t>
        </is>
      </c>
      <c r="F489" s="46" t="n"/>
      <c r="G489" s="51" t="inlineStr">
        <is>
          <t>Protect</t>
        </is>
      </c>
      <c r="H489" s="46" t="n"/>
      <c r="I489" s="52" t="inlineStr">
        <is>
          <t>Thunder</t>
        </is>
      </c>
      <c r="J489" s="46" t="n"/>
      <c r="K489" s="51" t="inlineStr">
        <is>
          <t>Protect</t>
        </is>
      </c>
      <c r="L489" s="46" t="n"/>
      <c r="M489" s="52" t="inlineStr">
        <is>
          <t>Thunder Wave</t>
        </is>
      </c>
      <c r="N489" s="46" t="n"/>
    </row>
    <row r="490">
      <c r="E490" s="61" t="inlineStr">
        <is>
          <t>Rain Dance</t>
        </is>
      </c>
      <c r="F490" s="46" t="n"/>
      <c r="G490" s="52" t="inlineStr">
        <is>
          <t>Thunder Wave</t>
        </is>
      </c>
      <c r="H490" s="46" t="n"/>
      <c r="I490" s="51" t="inlineStr">
        <is>
          <t>Explosion</t>
        </is>
      </c>
      <c r="J490" s="46" t="n"/>
      <c r="K490" s="52" t="inlineStr">
        <is>
          <t>Thunder</t>
        </is>
      </c>
      <c r="L490" s="46" t="n"/>
      <c r="M490" s="52" t="inlineStr">
        <is>
          <t>Thunder</t>
        </is>
      </c>
      <c r="N490" s="46" t="n"/>
    </row>
    <row r="491">
      <c r="E491" s="51" t="inlineStr">
        <is>
          <t>Protect</t>
        </is>
      </c>
      <c r="F491" s="46" t="n"/>
      <c r="G491" s="63" t="inlineStr">
        <is>
          <t>Light Screen</t>
        </is>
      </c>
      <c r="H491" s="46" t="n"/>
      <c r="I491" s="61" t="inlineStr">
        <is>
          <t>Rain Dance</t>
        </is>
      </c>
      <c r="J491" s="46" t="n"/>
      <c r="K491" s="61" t="inlineStr">
        <is>
          <t>Rain Dance</t>
        </is>
      </c>
      <c r="L491" s="46" t="n"/>
      <c r="M491" s="51" t="inlineStr">
        <is>
          <t>Protect</t>
        </is>
      </c>
      <c r="N491" s="46" t="n"/>
    </row>
    <row r="493" ht="20" customHeight="1">
      <c r="B493" s="40" t="inlineStr">
        <is>
          <t>Leader</t>
        </is>
      </c>
      <c r="C493" s="41" t="n"/>
      <c r="D493" s="41" t="n"/>
      <c r="E493" s="42" t="inlineStr">
        <is>
          <t>Leader Wattson (Rematch 4)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IFERROR(_xlfn.IMAGE("https://play.pokemonshowdown.com/sprites/gen5/electabuzz.png"),"")</f>
        <v/>
      </c>
      <c r="G494" s="43">
        <f>IFERROR(_xlfn.IMAGE("https://play.pokemonshowdown.com/sprites/gen5/raichu.png"),"")</f>
        <v/>
      </c>
      <c r="I494" s="43">
        <f>IFERROR(_xlfn.IMAGE("https://play.pokemonshowdown.com/sprites/gen5/ampharos.png"),"")</f>
        <v/>
      </c>
      <c r="K494" s="43">
        <f>IFERROR(_xlfn.IMAGE("https://play.pokemonshowdown.com/sprites/gen5/electrode.png"),"")</f>
        <v/>
      </c>
      <c r="M494" s="43">
        <f>IFERROR(_xlfn.IMAGE("https://play.pokemonshowdown.com/sprites/gen5/magneton.png"),"")</f>
        <v/>
      </c>
      <c r="O494" s="43">
        <f>IFERROR(_xlfn.IMAGE("https://play.pokemonshowdown.com/sprites/gen5/manectric.png"),"")</f>
        <v/>
      </c>
      <c r="Q494" s="44" t="inlineStr">
        <is>
          <t>DOUBLE BATTLE
Items: Full Restore / Full Restore / Full Restore</t>
        </is>
      </c>
    </row>
    <row r="495">
      <c r="E495" s="45" t="inlineStr">
        <is>
          <t>Lv 50 Electabuzz</t>
        </is>
      </c>
      <c r="F495" s="46" t="n"/>
      <c r="G495" s="45" t="inlineStr">
        <is>
          <t>Lv 51 Raichu</t>
        </is>
      </c>
      <c r="H495" s="46" t="n"/>
      <c r="I495" s="45" t="inlineStr">
        <is>
          <t>Lv 51 Ampharos</t>
        </is>
      </c>
      <c r="J495" s="46" t="n"/>
      <c r="K495" s="45" t="inlineStr">
        <is>
          <t>Lv 53 Electrode</t>
        </is>
      </c>
      <c r="L495" s="46" t="n"/>
      <c r="M495" s="45" t="inlineStr">
        <is>
          <t>Lv 53 Magneton</t>
        </is>
      </c>
      <c r="N495" s="46" t="n"/>
      <c r="O495" s="45" t="inlineStr">
        <is>
          <t>Lv 55 Manectric</t>
        </is>
      </c>
      <c r="P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Static</t>
        </is>
      </c>
      <c r="G496" s="48" t="inlineStr">
        <is>
          <t>Hardy</t>
        </is>
      </c>
      <c r="H496" s="48" t="inlineStr">
        <is>
          <t>Lightning Rod</t>
        </is>
      </c>
      <c r="I496" s="48" t="inlineStr">
        <is>
          <t>Hardy</t>
        </is>
      </c>
      <c r="J496" s="48" t="inlineStr">
        <is>
          <t>No Guard</t>
        </is>
      </c>
      <c r="K496" s="48" t="inlineStr">
        <is>
          <t>Hardy</t>
        </is>
      </c>
      <c r="L496" s="48" t="inlineStr">
        <is>
          <t>Aftermath</t>
        </is>
      </c>
      <c r="M496" s="48" t="inlineStr">
        <is>
          <t>Hardy</t>
        </is>
      </c>
      <c r="N496" s="48" t="inlineStr">
        <is>
          <t>Magnet Pull</t>
        </is>
      </c>
      <c r="O496" s="48" t="inlineStr">
        <is>
          <t>Hardy</t>
        </is>
      </c>
      <c r="P496" s="48" t="inlineStr">
        <is>
          <t>Lightning Rod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I497" s="49" t="inlineStr">
        <is>
          <t>(None)</t>
        </is>
      </c>
      <c r="J497" s="46" t="n"/>
      <c r="K497" s="49" t="inlineStr">
        <is>
          <t>(None)</t>
        </is>
      </c>
      <c r="L497" s="46" t="n"/>
      <c r="M497" s="49" t="inlineStr">
        <is>
          <t>Sitrus Berry</t>
        </is>
      </c>
      <c r="N497" s="46" t="n"/>
      <c r="O497" s="49" t="inlineStr">
        <is>
          <t>Sitrus Berry</t>
        </is>
      </c>
      <c r="P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Swift</t>
        </is>
      </c>
      <c r="F498" s="46" t="n"/>
      <c r="G498" s="52" t="inlineStr">
        <is>
          <t>Thunder</t>
        </is>
      </c>
      <c r="H498" s="46" t="n"/>
      <c r="I498" s="52" t="inlineStr">
        <is>
          <t>Thunder</t>
        </is>
      </c>
      <c r="J498" s="46" t="n"/>
      <c r="K498" s="62" t="inlineStr">
        <is>
          <t>Rollout</t>
        </is>
      </c>
      <c r="L498" s="46" t="n"/>
      <c r="M498" s="51" t="inlineStr">
        <is>
          <t>Supersonic</t>
        </is>
      </c>
      <c r="N498" s="46" t="n"/>
      <c r="O498" s="50" t="inlineStr">
        <is>
          <t>Bite</t>
        </is>
      </c>
      <c r="P498" s="46" t="n"/>
      <c r="Q498" s="47" t="inlineStr">
        <is>
          <t>Moves</t>
        </is>
      </c>
    </row>
    <row r="499">
      <c r="E499" s="65" t="inlineStr">
        <is>
          <t>Focus Punch</t>
        </is>
      </c>
      <c r="F499" s="46" t="n"/>
      <c r="G499" s="51" t="inlineStr">
        <is>
          <t>Slam</t>
        </is>
      </c>
      <c r="H499" s="46" t="n"/>
      <c r="I499" s="51" t="inlineStr">
        <is>
          <t>Protect</t>
        </is>
      </c>
      <c r="J499" s="46" t="n"/>
      <c r="K499" s="52" t="inlineStr">
        <is>
          <t>Thunder</t>
        </is>
      </c>
      <c r="L499" s="46" t="n"/>
      <c r="M499" s="51" t="inlineStr">
        <is>
          <t>Protect</t>
        </is>
      </c>
      <c r="N499" s="46" t="n"/>
      <c r="O499" s="52" t="inlineStr">
        <is>
          <t>Thunder Wave</t>
        </is>
      </c>
      <c r="P499" s="46" t="n"/>
    </row>
    <row r="500">
      <c r="E500" s="52" t="inlineStr">
        <is>
          <t>Thunder Punch</t>
        </is>
      </c>
      <c r="F500" s="46" t="n"/>
      <c r="G500" s="61" t="inlineStr">
        <is>
          <t>Rain Dance</t>
        </is>
      </c>
      <c r="H500" s="46" t="n"/>
      <c r="I500" s="52" t="inlineStr">
        <is>
          <t>Thunder Wave</t>
        </is>
      </c>
      <c r="J500" s="46" t="n"/>
      <c r="K500" s="51" t="inlineStr">
        <is>
          <t>Explosion</t>
        </is>
      </c>
      <c r="L500" s="46" t="n"/>
      <c r="M500" s="52" t="inlineStr">
        <is>
          <t>Thunder</t>
        </is>
      </c>
      <c r="N500" s="46" t="n"/>
      <c r="O500" s="52" t="inlineStr">
        <is>
          <t>Thunder</t>
        </is>
      </c>
      <c r="P500" s="46" t="n"/>
    </row>
    <row r="501">
      <c r="E501" s="63" t="inlineStr">
        <is>
          <t>Light Screen</t>
        </is>
      </c>
      <c r="F501" s="46" t="n"/>
      <c r="G501" s="51" t="inlineStr">
        <is>
          <t>Protect</t>
        </is>
      </c>
      <c r="H501" s="46" t="n"/>
      <c r="I501" s="63" t="inlineStr">
        <is>
          <t>Light Screen</t>
        </is>
      </c>
      <c r="J501" s="46" t="n"/>
      <c r="K501" s="61" t="inlineStr">
        <is>
          <t>Rain Dance</t>
        </is>
      </c>
      <c r="L501" s="46" t="n"/>
      <c r="M501" s="61" t="inlineStr">
        <is>
          <t>Rain Dance</t>
        </is>
      </c>
      <c r="N501" s="46" t="n"/>
      <c r="O501" s="51" t="inlineStr">
        <is>
          <t>Protect</t>
        </is>
      </c>
      <c r="P501" s="46" t="n"/>
    </row>
    <row r="503" ht="20" customHeight="1">
      <c r="B503" s="40" t="inlineStr">
        <is>
          <t>Leader</t>
        </is>
      </c>
      <c r="C503" s="41" t="n"/>
      <c r="D503" s="41" t="n"/>
      <c r="E503" s="42" t="inlineStr">
        <is>
          <t>Leader Winona (Rematch 1)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IFERROR(_xlfn.IMAGE("https://play.pokemonshowdown.com/sprites/gen5/dratini.png"),"")</f>
        <v/>
      </c>
      <c r="G504" s="43">
        <f>IFERROR(_xlfn.IMAGE("https://play.pokemonshowdown.com/sprites/gen5/tropius.png"),"")</f>
        <v/>
      </c>
      <c r="I504" s="43">
        <f>IFERROR(_xlfn.IMAGE("https://play.pokemonshowdown.com/sprites/gen5/pelipper.png"),"")</f>
        <v/>
      </c>
      <c r="K504" s="43">
        <f>IFERROR(_xlfn.IMAGE("https://play.pokemonshowdown.com/sprites/gen5/skarmory.png"),"")</f>
        <v/>
      </c>
      <c r="M504" s="43">
        <f>IFERROR(_xlfn.IMAGE("https://play.pokemonshowdown.com/sprites/gen5/altaria.png"),"")</f>
        <v/>
      </c>
      <c r="Q504" s="44" t="inlineStr">
        <is>
          <t>DOUBLE BATTLE
Items: Full Restore / Full Restore / Full Restore</t>
        </is>
      </c>
    </row>
    <row r="505">
      <c r="E505" s="45" t="inlineStr">
        <is>
          <t>Lv 40 Dratini</t>
        </is>
      </c>
      <c r="F505" s="46" t="n"/>
      <c r="G505" s="45" t="inlineStr">
        <is>
          <t>Lv 38 Tropius</t>
        </is>
      </c>
      <c r="H505" s="46" t="n"/>
      <c r="I505" s="45" t="inlineStr">
        <is>
          <t>Lv 41 Pelipper</t>
        </is>
      </c>
      <c r="J505" s="46" t="n"/>
      <c r="K505" s="45" t="inlineStr">
        <is>
          <t>Lv 43 Skarmory</t>
        </is>
      </c>
      <c r="L505" s="46" t="n"/>
      <c r="M505" s="45" t="inlineStr">
        <is>
          <t>Lv 45 Altaria</t>
        </is>
      </c>
      <c r="N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Shed Skin</t>
        </is>
      </c>
      <c r="G506" s="48" t="inlineStr">
        <is>
          <t>Hardy</t>
        </is>
      </c>
      <c r="H506" s="48" t="inlineStr">
        <is>
          <t>Chlorophyll</t>
        </is>
      </c>
      <c r="I506" s="48" t="inlineStr">
        <is>
          <t>Hardy</t>
        </is>
      </c>
      <c r="J506" s="48" t="inlineStr">
        <is>
          <t>Unburden</t>
        </is>
      </c>
      <c r="K506" s="48" t="inlineStr">
        <is>
          <t>Hardy</t>
        </is>
      </c>
      <c r="L506" s="48" t="inlineStr">
        <is>
          <t>Filter</t>
        </is>
      </c>
      <c r="M506" s="48" t="inlineStr">
        <is>
          <t>Hardy</t>
        </is>
      </c>
      <c r="N506" s="48" t="inlineStr">
        <is>
          <t>Serene Grace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Sitrus Berry</t>
        </is>
      </c>
      <c r="F507" s="46" t="n"/>
      <c r="G507" s="49" t="inlineStr">
        <is>
          <t>(None)</t>
        </is>
      </c>
      <c r="H507" s="46" t="n"/>
      <c r="I507" s="49" t="inlineStr">
        <is>
          <t>(None)</t>
        </is>
      </c>
      <c r="J507" s="46" t="n"/>
      <c r="K507" s="49" t="inlineStr">
        <is>
          <t>(None)</t>
        </is>
      </c>
      <c r="L507" s="46" t="n"/>
      <c r="M507" s="49" t="inlineStr">
        <is>
          <t>Chesto Berry</t>
        </is>
      </c>
      <c r="N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2" t="inlineStr">
        <is>
          <t>Thunder Wave</t>
        </is>
      </c>
      <c r="F508" s="46" t="n"/>
      <c r="G508" s="58" t="inlineStr">
        <is>
          <t>Sunny Day</t>
        </is>
      </c>
      <c r="H508" s="46" t="n"/>
      <c r="I508" s="61" t="inlineStr">
        <is>
          <t>Surf</t>
        </is>
      </c>
      <c r="J508" s="46" t="n"/>
      <c r="K508" s="51" t="inlineStr">
        <is>
          <t>Whirlwind</t>
        </is>
      </c>
      <c r="L508" s="46" t="n"/>
      <c r="M508" s="60" t="inlineStr">
        <is>
          <t>Aerial Ace</t>
        </is>
      </c>
      <c r="N508" s="46" t="n"/>
      <c r="Q508" s="47" t="inlineStr">
        <is>
          <t>Moves</t>
        </is>
      </c>
    </row>
    <row r="509">
      <c r="E509" s="52" t="inlineStr">
        <is>
          <t>Thunderbolt</t>
        </is>
      </c>
      <c r="F509" s="46" t="n"/>
      <c r="G509" s="60" t="inlineStr">
        <is>
          <t>Aerial Ace</t>
        </is>
      </c>
      <c r="H509" s="46" t="n"/>
      <c r="I509" s="51" t="inlineStr">
        <is>
          <t>Supersonic</t>
        </is>
      </c>
      <c r="J509" s="46" t="n"/>
      <c r="K509" s="53" t="inlineStr">
        <is>
          <t>Spikes</t>
        </is>
      </c>
      <c r="L509" s="46" t="n"/>
      <c r="M509" s="63" t="inlineStr">
        <is>
          <t>Rest</t>
        </is>
      </c>
      <c r="N509" s="46" t="n"/>
    </row>
    <row r="510">
      <c r="E510" s="51" t="inlineStr">
        <is>
          <t>Protect</t>
        </is>
      </c>
      <c r="F510" s="46" t="n"/>
      <c r="G510" s="59" t="inlineStr">
        <is>
          <t>Solar Beam</t>
        </is>
      </c>
      <c r="H510" s="46" t="n"/>
      <c r="I510" s="51" t="inlineStr">
        <is>
          <t>Protect</t>
        </is>
      </c>
      <c r="J510" s="46" t="n"/>
      <c r="K510" s="66" t="inlineStr">
        <is>
          <t>Steel Wing</t>
        </is>
      </c>
      <c r="L510" s="46" t="n"/>
      <c r="M510" s="68" t="inlineStr">
        <is>
          <t>Dragon Dance</t>
        </is>
      </c>
      <c r="N510" s="46" t="n"/>
    </row>
    <row r="511">
      <c r="E511" s="64" t="inlineStr">
        <is>
          <t>Ice Beam</t>
        </is>
      </c>
      <c r="F511" s="46" t="n"/>
      <c r="G511" s="53" t="inlineStr">
        <is>
          <t>Earthquake</t>
        </is>
      </c>
      <c r="H511" s="46" t="n"/>
      <c r="I511" s="60" t="inlineStr">
        <is>
          <t>Aerial Ace</t>
        </is>
      </c>
      <c r="J511" s="46" t="n"/>
      <c r="K511" s="60" t="inlineStr">
        <is>
          <t>Aerial Ace</t>
        </is>
      </c>
      <c r="L511" s="46" t="n"/>
      <c r="M511" s="53" t="inlineStr">
        <is>
          <t>Earthquake</t>
        </is>
      </c>
      <c r="N511" s="46" t="n"/>
    </row>
    <row r="513" ht="20" customHeight="1">
      <c r="B513" s="40" t="inlineStr">
        <is>
          <t>Leader</t>
        </is>
      </c>
      <c r="C513" s="41" t="n"/>
      <c r="D513" s="41" t="n"/>
      <c r="E513" s="42" t="inlineStr">
        <is>
          <t>Leader Winona (Rematch 2)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IFERROR(_xlfn.IMAGE("https://play.pokemonshowdown.com/sprites/gen5/hoothoot.png"),"")</f>
        <v/>
      </c>
      <c r="G514" s="43">
        <f>IFERROR(_xlfn.IMAGE("https://play.pokemonshowdown.com/sprites/gen5/tropius.png"),"")</f>
        <v/>
      </c>
      <c r="I514" s="43">
        <f>IFERROR(_xlfn.IMAGE("https://play.pokemonshowdown.com/sprites/gen5/dragonair.png"),"")</f>
        <v/>
      </c>
      <c r="K514" s="43">
        <f>IFERROR(_xlfn.IMAGE("https://play.pokemonshowdown.com/sprites/gen5/pelipper.png"),"")</f>
        <v/>
      </c>
      <c r="M514" s="43">
        <f>IFERROR(_xlfn.IMAGE("https://play.pokemonshowdown.com/sprites/gen5/skarmory.png"),"")</f>
        <v/>
      </c>
      <c r="O514" s="43">
        <f>IFERROR(_xlfn.IMAGE("https://play.pokemonshowdown.com/sprites/gen5/altaria.png"),"")</f>
        <v/>
      </c>
      <c r="Q514" s="44" t="inlineStr">
        <is>
          <t>DOUBLE BATTLE
Items: Full Restore / Full Restore / Full Restore</t>
        </is>
      </c>
    </row>
    <row r="515">
      <c r="E515" s="45" t="inlineStr">
        <is>
          <t>Lv 43 Hoothoot</t>
        </is>
      </c>
      <c r="F515" s="46" t="n"/>
      <c r="G515" s="45" t="inlineStr">
        <is>
          <t>Lv 43 Tropius</t>
        </is>
      </c>
      <c r="H515" s="46" t="n"/>
      <c r="I515" s="45" t="inlineStr">
        <is>
          <t>Lv 45 Dragonair</t>
        </is>
      </c>
      <c r="J515" s="46" t="n"/>
      <c r="K515" s="45" t="inlineStr">
        <is>
          <t>Lv 46 Pelipper</t>
        </is>
      </c>
      <c r="L515" s="46" t="n"/>
      <c r="M515" s="45" t="inlineStr">
        <is>
          <t>Lv 48 Skarmory</t>
        </is>
      </c>
      <c r="N515" s="46" t="n"/>
      <c r="O515" s="45" t="inlineStr">
        <is>
          <t>Lv 50 Altaria</t>
        </is>
      </c>
      <c r="P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Insomnia</t>
        </is>
      </c>
      <c r="G516" s="48" t="inlineStr">
        <is>
          <t>Hardy</t>
        </is>
      </c>
      <c r="H516" s="48" t="inlineStr">
        <is>
          <t>Chlorophyll</t>
        </is>
      </c>
      <c r="I516" s="48" t="inlineStr">
        <is>
          <t>Hardy</t>
        </is>
      </c>
      <c r="J516" s="48" t="inlineStr">
        <is>
          <t>Shed Skin</t>
        </is>
      </c>
      <c r="K516" s="48" t="inlineStr">
        <is>
          <t>Hardy</t>
        </is>
      </c>
      <c r="L516" s="48" t="inlineStr">
        <is>
          <t>Unburden</t>
        </is>
      </c>
      <c r="M516" s="48" t="inlineStr">
        <is>
          <t>Hardy</t>
        </is>
      </c>
      <c r="N516" s="48" t="inlineStr">
        <is>
          <t>Filter</t>
        </is>
      </c>
      <c r="O516" s="48" t="inlineStr">
        <is>
          <t>Hardy</t>
        </is>
      </c>
      <c r="P516" s="48" t="inlineStr">
        <is>
          <t>Serene Grace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I517" s="49" t="inlineStr">
        <is>
          <t>Sitrus Berry</t>
        </is>
      </c>
      <c r="J517" s="46" t="n"/>
      <c r="K517" s="49" t="inlineStr">
        <is>
          <t>(None)</t>
        </is>
      </c>
      <c r="L517" s="46" t="n"/>
      <c r="M517" s="49" t="inlineStr">
        <is>
          <t>(None)</t>
        </is>
      </c>
      <c r="N517" s="46" t="n"/>
      <c r="O517" s="49" t="inlineStr">
        <is>
          <t>Chesto Berry</t>
        </is>
      </c>
      <c r="P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3" t="inlineStr">
        <is>
          <t>Hypnosis</t>
        </is>
      </c>
      <c r="F518" s="46" t="n"/>
      <c r="G518" s="58" t="inlineStr">
        <is>
          <t>Sunny Day</t>
        </is>
      </c>
      <c r="H518" s="46" t="n"/>
      <c r="I518" s="52" t="inlineStr">
        <is>
          <t>Thunder Wave</t>
        </is>
      </c>
      <c r="J518" s="46" t="n"/>
      <c r="K518" s="61" t="inlineStr">
        <is>
          <t>Surf</t>
        </is>
      </c>
      <c r="L518" s="46" t="n"/>
      <c r="M518" s="51" t="inlineStr">
        <is>
          <t>Whirlwind</t>
        </is>
      </c>
      <c r="N518" s="46" t="n"/>
      <c r="O518" s="60" t="inlineStr">
        <is>
          <t>Aerial Ace</t>
        </is>
      </c>
      <c r="P518" s="46" t="n"/>
      <c r="Q518" s="47" t="inlineStr">
        <is>
          <t>Moves</t>
        </is>
      </c>
    </row>
    <row r="519">
      <c r="E519" s="63" t="inlineStr">
        <is>
          <t>Psychic</t>
        </is>
      </c>
      <c r="F519" s="46" t="n"/>
      <c r="G519" s="60" t="inlineStr">
        <is>
          <t>Aerial Ace</t>
        </is>
      </c>
      <c r="H519" s="46" t="n"/>
      <c r="I519" s="52" t="inlineStr">
        <is>
          <t>Thunderbolt</t>
        </is>
      </c>
      <c r="J519" s="46" t="n"/>
      <c r="K519" s="51" t="inlineStr">
        <is>
          <t>Supersonic</t>
        </is>
      </c>
      <c r="L519" s="46" t="n"/>
      <c r="M519" s="53" t="inlineStr">
        <is>
          <t>Spikes</t>
        </is>
      </c>
      <c r="N519" s="46" t="n"/>
      <c r="O519" s="63" t="inlineStr">
        <is>
          <t>Rest</t>
        </is>
      </c>
      <c r="P519" s="46" t="n"/>
    </row>
    <row r="520">
      <c r="E520" s="63" t="inlineStr">
        <is>
          <t>Reflect</t>
        </is>
      </c>
      <c r="F520" s="46" t="n"/>
      <c r="G520" s="59" t="inlineStr">
        <is>
          <t>Solar Beam</t>
        </is>
      </c>
      <c r="H520" s="46" t="n"/>
      <c r="I520" s="51" t="inlineStr">
        <is>
          <t>Protect</t>
        </is>
      </c>
      <c r="J520" s="46" t="n"/>
      <c r="K520" s="51" t="inlineStr">
        <is>
          <t>Protect</t>
        </is>
      </c>
      <c r="L520" s="46" t="n"/>
      <c r="M520" s="66" t="inlineStr">
        <is>
          <t>Steel Wing</t>
        </is>
      </c>
      <c r="N520" s="46" t="n"/>
      <c r="O520" s="68" t="inlineStr">
        <is>
          <t>Dragon Dance</t>
        </is>
      </c>
      <c r="P520" s="46" t="n"/>
    </row>
    <row r="521">
      <c r="E521" s="63" t="inlineStr">
        <is>
          <t>Dream Eater</t>
        </is>
      </c>
      <c r="F521" s="46" t="n"/>
      <c r="G521" s="53" t="inlineStr">
        <is>
          <t>Earthquake</t>
        </is>
      </c>
      <c r="H521" s="46" t="n"/>
      <c r="I521" s="64" t="inlineStr">
        <is>
          <t>Ice Beam</t>
        </is>
      </c>
      <c r="J521" s="46" t="n"/>
      <c r="K521" s="60" t="inlineStr">
        <is>
          <t>Aerial Ace</t>
        </is>
      </c>
      <c r="L521" s="46" t="n"/>
      <c r="M521" s="60" t="inlineStr">
        <is>
          <t>Aerial Ace</t>
        </is>
      </c>
      <c r="N521" s="46" t="n"/>
      <c r="O521" s="53" t="inlineStr">
        <is>
          <t>Earthquake</t>
        </is>
      </c>
      <c r="P521" s="46" t="n"/>
    </row>
    <row r="523" ht="20" customHeight="1">
      <c r="B523" s="40" t="inlineStr">
        <is>
          <t>Leader</t>
        </is>
      </c>
      <c r="C523" s="41" t="n"/>
      <c r="D523" s="41" t="n"/>
      <c r="E523" s="42" t="inlineStr">
        <is>
          <t>Leader Winona (Rematch 3)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IFERROR(_xlfn.IMAGE("https://play.pokemonshowdown.com/sprites/gen5/noctowl.png"),"")</f>
        <v/>
      </c>
      <c r="G524" s="43">
        <f>IFERROR(_xlfn.IMAGE("https://play.pokemonshowdown.com/sprites/gen5/tropius.png"),"")</f>
        <v/>
      </c>
      <c r="I524" s="43">
        <f>IFERROR(_xlfn.IMAGE("https://play.pokemonshowdown.com/sprites/gen5/dragonair.png"),"")</f>
        <v/>
      </c>
      <c r="K524" s="43">
        <f>IFERROR(_xlfn.IMAGE("https://play.pokemonshowdown.com/sprites/gen5/pelipper.png"),"")</f>
        <v/>
      </c>
      <c r="M524" s="43">
        <f>IFERROR(_xlfn.IMAGE("https://play.pokemonshowdown.com/sprites/gen5/skarmory.png"),"")</f>
        <v/>
      </c>
      <c r="O524" s="43">
        <f>IFERROR(_xlfn.IMAGE("https://play.pokemonshowdown.com/sprites/gen5/altaria.png"),"")</f>
        <v/>
      </c>
      <c r="Q524" s="44" t="inlineStr">
        <is>
          <t>DOUBLE BATTLE
Items: Full Restore / Full Restore / Full Restore</t>
        </is>
      </c>
    </row>
    <row r="525">
      <c r="E525" s="45" t="inlineStr">
        <is>
          <t>Lv 48 Noctowl</t>
        </is>
      </c>
      <c r="F525" s="46" t="n"/>
      <c r="G525" s="45" t="inlineStr">
        <is>
          <t>Lv 49 Tropius</t>
        </is>
      </c>
      <c r="H525" s="46" t="n"/>
      <c r="I525" s="45" t="inlineStr">
        <is>
          <t>Lv 50 Dragonair</t>
        </is>
      </c>
      <c r="J525" s="46" t="n"/>
      <c r="K525" s="45" t="inlineStr">
        <is>
          <t>Lv 51 Pelipper</t>
        </is>
      </c>
      <c r="L525" s="46" t="n"/>
      <c r="M525" s="45" t="inlineStr">
        <is>
          <t>Lv 53 Skarmory</t>
        </is>
      </c>
      <c r="N525" s="46" t="n"/>
      <c r="O525" s="45" t="inlineStr">
        <is>
          <t>Lv 55 Altaria</t>
        </is>
      </c>
      <c r="P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Tinted Lens</t>
        </is>
      </c>
      <c r="G526" s="48" t="inlineStr">
        <is>
          <t>Hardy</t>
        </is>
      </c>
      <c r="H526" s="48" t="inlineStr">
        <is>
          <t>Chlorophyll</t>
        </is>
      </c>
      <c r="I526" s="48" t="inlineStr">
        <is>
          <t>Hardy</t>
        </is>
      </c>
      <c r="J526" s="48" t="inlineStr">
        <is>
          <t>Shed Skin</t>
        </is>
      </c>
      <c r="K526" s="48" t="inlineStr">
        <is>
          <t>Hardy</t>
        </is>
      </c>
      <c r="L526" s="48" t="inlineStr">
        <is>
          <t>Unburden</t>
        </is>
      </c>
      <c r="M526" s="48" t="inlineStr">
        <is>
          <t>Hardy</t>
        </is>
      </c>
      <c r="N526" s="48" t="inlineStr">
        <is>
          <t>Filter</t>
        </is>
      </c>
      <c r="O526" s="48" t="inlineStr">
        <is>
          <t>Hardy</t>
        </is>
      </c>
      <c r="P526" s="48" t="inlineStr">
        <is>
          <t>Serene Grace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G527" s="49" t="inlineStr">
        <is>
          <t>(None)</t>
        </is>
      </c>
      <c r="H527" s="46" t="n"/>
      <c r="I527" s="49" t="inlineStr">
        <is>
          <t>Sitrus Berry</t>
        </is>
      </c>
      <c r="J527" s="46" t="n"/>
      <c r="K527" s="49" t="inlineStr">
        <is>
          <t>(None)</t>
        </is>
      </c>
      <c r="L527" s="46" t="n"/>
      <c r="M527" s="49" t="inlineStr">
        <is>
          <t>(None)</t>
        </is>
      </c>
      <c r="N527" s="46" t="n"/>
      <c r="O527" s="49" t="inlineStr">
        <is>
          <t>Chesto Berry</t>
        </is>
      </c>
      <c r="P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3" t="inlineStr">
        <is>
          <t>Hypnosis</t>
        </is>
      </c>
      <c r="F528" s="46" t="n"/>
      <c r="G528" s="58" t="inlineStr">
        <is>
          <t>Sunny Day</t>
        </is>
      </c>
      <c r="H528" s="46" t="n"/>
      <c r="I528" s="52" t="inlineStr">
        <is>
          <t>Thunder Wave</t>
        </is>
      </c>
      <c r="J528" s="46" t="n"/>
      <c r="K528" s="61" t="inlineStr">
        <is>
          <t>Surf</t>
        </is>
      </c>
      <c r="L528" s="46" t="n"/>
      <c r="M528" s="51" t="inlineStr">
        <is>
          <t>Whirlwind</t>
        </is>
      </c>
      <c r="N528" s="46" t="n"/>
      <c r="O528" s="60" t="inlineStr">
        <is>
          <t>Aerial Ace</t>
        </is>
      </c>
      <c r="P528" s="46" t="n"/>
      <c r="Q528" s="47" t="inlineStr">
        <is>
          <t>Moves</t>
        </is>
      </c>
    </row>
    <row r="529">
      <c r="E529" s="63" t="inlineStr">
        <is>
          <t>Psychic</t>
        </is>
      </c>
      <c r="F529" s="46" t="n"/>
      <c r="G529" s="60" t="inlineStr">
        <is>
          <t>Aerial Ace</t>
        </is>
      </c>
      <c r="H529" s="46" t="n"/>
      <c r="I529" s="52" t="inlineStr">
        <is>
          <t>Thunderbolt</t>
        </is>
      </c>
      <c r="J529" s="46" t="n"/>
      <c r="K529" s="51" t="inlineStr">
        <is>
          <t>Supersonic</t>
        </is>
      </c>
      <c r="L529" s="46" t="n"/>
      <c r="M529" s="53" t="inlineStr">
        <is>
          <t>Spikes</t>
        </is>
      </c>
      <c r="N529" s="46" t="n"/>
      <c r="O529" s="63" t="inlineStr">
        <is>
          <t>Rest</t>
        </is>
      </c>
      <c r="P529" s="46" t="n"/>
    </row>
    <row r="530">
      <c r="E530" s="63" t="inlineStr">
        <is>
          <t>Reflect</t>
        </is>
      </c>
      <c r="F530" s="46" t="n"/>
      <c r="G530" s="59" t="inlineStr">
        <is>
          <t>Solar Beam</t>
        </is>
      </c>
      <c r="H530" s="46" t="n"/>
      <c r="I530" s="51" t="inlineStr">
        <is>
          <t>Protect</t>
        </is>
      </c>
      <c r="J530" s="46" t="n"/>
      <c r="K530" s="51" t="inlineStr">
        <is>
          <t>Protect</t>
        </is>
      </c>
      <c r="L530" s="46" t="n"/>
      <c r="M530" s="66" t="inlineStr">
        <is>
          <t>Steel Wing</t>
        </is>
      </c>
      <c r="N530" s="46" t="n"/>
      <c r="O530" s="68" t="inlineStr">
        <is>
          <t>Dragon Dance</t>
        </is>
      </c>
      <c r="P530" s="46" t="n"/>
    </row>
    <row r="531">
      <c r="E531" s="63" t="inlineStr">
        <is>
          <t>Dream Eater</t>
        </is>
      </c>
      <c r="F531" s="46" t="n"/>
      <c r="G531" s="53" t="inlineStr">
        <is>
          <t>Earthquake</t>
        </is>
      </c>
      <c r="H531" s="46" t="n"/>
      <c r="I531" s="64" t="inlineStr">
        <is>
          <t>Ice Beam</t>
        </is>
      </c>
      <c r="J531" s="46" t="n"/>
      <c r="K531" s="60" t="inlineStr">
        <is>
          <t>Aerial Ace</t>
        </is>
      </c>
      <c r="L531" s="46" t="n"/>
      <c r="M531" s="60" t="inlineStr">
        <is>
          <t>Aerial Ace</t>
        </is>
      </c>
      <c r="N531" s="46" t="n"/>
      <c r="O531" s="53" t="inlineStr">
        <is>
          <t>Earthquake</t>
        </is>
      </c>
      <c r="P531" s="46" t="n"/>
    </row>
    <row r="533" ht="20" customHeight="1">
      <c r="B533" s="40" t="inlineStr">
        <is>
          <t>Leader</t>
        </is>
      </c>
      <c r="C533" s="41" t="n"/>
      <c r="D533" s="41" t="n"/>
      <c r="E533" s="42" t="inlineStr">
        <is>
          <t>Leader Winona (Rematch 4)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IFERROR(_xlfn.IMAGE("https://play.pokemonshowdown.com/sprites/gen5/noctowl.png"),"")</f>
        <v/>
      </c>
      <c r="G534" s="43">
        <f>IFERROR(_xlfn.IMAGE("https://play.pokemonshowdown.com/sprites/gen5/tropius.png"),"")</f>
        <v/>
      </c>
      <c r="I534" s="43">
        <f>IFERROR(_xlfn.IMAGE("https://play.pokemonshowdown.com/sprites/gen5/pelipper.png"),"")</f>
        <v/>
      </c>
      <c r="K534" s="43">
        <f>IFERROR(_xlfn.IMAGE("https://play.pokemonshowdown.com/sprites/gen5/dragonite.png"),"")</f>
        <v/>
      </c>
      <c r="M534" s="43">
        <f>IFERROR(_xlfn.IMAGE("https://play.pokemonshowdown.com/sprites/gen5/skarmory.png"),"")</f>
        <v/>
      </c>
      <c r="O534" s="43">
        <f>IFERROR(_xlfn.IMAGE("https://play.pokemonshowdown.com/sprites/gen5/altaria.png"),"")</f>
        <v/>
      </c>
      <c r="Q534" s="44" t="inlineStr">
        <is>
          <t>DOUBLE BATTLE
Items: Full Restore / Full Restore / Full Restore</t>
        </is>
      </c>
    </row>
    <row r="535">
      <c r="E535" s="45" t="inlineStr">
        <is>
          <t>Lv 53 Noctowl</t>
        </is>
      </c>
      <c r="F535" s="46" t="n"/>
      <c r="G535" s="45" t="inlineStr">
        <is>
          <t>Lv 54 Tropius</t>
        </is>
      </c>
      <c r="H535" s="46" t="n"/>
      <c r="I535" s="45" t="inlineStr">
        <is>
          <t>Lv 55 Pelipper</t>
        </is>
      </c>
      <c r="J535" s="46" t="n"/>
      <c r="K535" s="45" t="inlineStr">
        <is>
          <t>Lv 55 Dragonite</t>
        </is>
      </c>
      <c r="L535" s="46" t="n"/>
      <c r="M535" s="45" t="inlineStr">
        <is>
          <t>Lv 58 Skarmory</t>
        </is>
      </c>
      <c r="N535" s="46" t="n"/>
      <c r="O535" s="45" t="inlineStr">
        <is>
          <t>Lv 60 Altaria</t>
        </is>
      </c>
      <c r="P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Tinted Lens</t>
        </is>
      </c>
      <c r="G536" s="48" t="inlineStr">
        <is>
          <t>Hardy</t>
        </is>
      </c>
      <c r="H536" s="48" t="inlineStr">
        <is>
          <t>Chlorophyll</t>
        </is>
      </c>
      <c r="I536" s="48" t="inlineStr">
        <is>
          <t>Hardy</t>
        </is>
      </c>
      <c r="J536" s="48" t="inlineStr">
        <is>
          <t>Unburden</t>
        </is>
      </c>
      <c r="K536" s="48" t="inlineStr">
        <is>
          <t>Hardy</t>
        </is>
      </c>
      <c r="L536" s="48" t="inlineStr">
        <is>
          <t>Thick Fat</t>
        </is>
      </c>
      <c r="M536" s="48" t="inlineStr">
        <is>
          <t>Hardy</t>
        </is>
      </c>
      <c r="N536" s="48" t="inlineStr">
        <is>
          <t>Filter</t>
        </is>
      </c>
      <c r="O536" s="48" t="inlineStr">
        <is>
          <t>Hardy</t>
        </is>
      </c>
      <c r="P536" s="48" t="inlineStr">
        <is>
          <t>Serene Grace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G537" s="49" t="inlineStr">
        <is>
          <t>(None)</t>
        </is>
      </c>
      <c r="H537" s="46" t="n"/>
      <c r="I537" s="49" t="inlineStr">
        <is>
          <t>(None)</t>
        </is>
      </c>
      <c r="J537" s="46" t="n"/>
      <c r="K537" s="49" t="inlineStr">
        <is>
          <t>Sitrus Berry</t>
        </is>
      </c>
      <c r="L537" s="46" t="n"/>
      <c r="M537" s="49" t="inlineStr">
        <is>
          <t>(None)</t>
        </is>
      </c>
      <c r="N537" s="46" t="n"/>
      <c r="O537" s="49" t="inlineStr">
        <is>
          <t>Chesto Berry</t>
        </is>
      </c>
      <c r="P537" s="46" t="n"/>
      <c r="Q537" s="47" t="inlineStr">
        <is>
          <t>Item</t>
        </is>
      </c>
    </row>
    <row r="538">
      <c r="B538" s="44" t="inlineStr">
        <is>
          <t>Smart Trainer</t>
        </is>
      </c>
      <c r="E538" s="63" t="inlineStr">
        <is>
          <t>Hypnosis</t>
        </is>
      </c>
      <c r="F538" s="46" t="n"/>
      <c r="G538" s="58" t="inlineStr">
        <is>
          <t>Sunny Day</t>
        </is>
      </c>
      <c r="H538" s="46" t="n"/>
      <c r="I538" s="61" t="inlineStr">
        <is>
          <t>Surf</t>
        </is>
      </c>
      <c r="J538" s="46" t="n"/>
      <c r="K538" s="51" t="inlineStr">
        <is>
          <t>Hyper Beam</t>
        </is>
      </c>
      <c r="L538" s="46" t="n"/>
      <c r="M538" s="51" t="inlineStr">
        <is>
          <t>Whirlwind</t>
        </is>
      </c>
      <c r="N538" s="46" t="n"/>
      <c r="O538" s="60" t="inlineStr">
        <is>
          <t>Sky Attack</t>
        </is>
      </c>
      <c r="P538" s="46" t="n"/>
      <c r="Q538" s="47" t="inlineStr">
        <is>
          <t>Moves</t>
        </is>
      </c>
    </row>
    <row r="539">
      <c r="E539" s="63" t="inlineStr">
        <is>
          <t>Psychic</t>
        </is>
      </c>
      <c r="F539" s="46" t="n"/>
      <c r="G539" s="60" t="inlineStr">
        <is>
          <t>Aerial Ace</t>
        </is>
      </c>
      <c r="H539" s="46" t="n"/>
      <c r="I539" s="51" t="inlineStr">
        <is>
          <t>Supersonic</t>
        </is>
      </c>
      <c r="J539" s="46" t="n"/>
      <c r="K539" s="52" t="inlineStr">
        <is>
          <t>Thunderbolt</t>
        </is>
      </c>
      <c r="L539" s="46" t="n"/>
      <c r="M539" s="53" t="inlineStr">
        <is>
          <t>Spikes</t>
        </is>
      </c>
      <c r="N539" s="46" t="n"/>
      <c r="O539" s="63" t="inlineStr">
        <is>
          <t>Rest</t>
        </is>
      </c>
      <c r="P539" s="46" t="n"/>
    </row>
    <row r="540">
      <c r="E540" s="63" t="inlineStr">
        <is>
          <t>Reflect</t>
        </is>
      </c>
      <c r="F540" s="46" t="n"/>
      <c r="G540" s="59" t="inlineStr">
        <is>
          <t>Solar Beam</t>
        </is>
      </c>
      <c r="H540" s="46" t="n"/>
      <c r="I540" s="51" t="inlineStr">
        <is>
          <t>Protect</t>
        </is>
      </c>
      <c r="J540" s="46" t="n"/>
      <c r="K540" s="53" t="inlineStr">
        <is>
          <t>Earthquake</t>
        </is>
      </c>
      <c r="L540" s="46" t="n"/>
      <c r="M540" s="66" t="inlineStr">
        <is>
          <t>Steel Wing</t>
        </is>
      </c>
      <c r="N540" s="46" t="n"/>
      <c r="O540" s="68" t="inlineStr">
        <is>
          <t>Dragon Dance</t>
        </is>
      </c>
      <c r="P540" s="46" t="n"/>
    </row>
    <row r="541">
      <c r="E541" s="63" t="inlineStr">
        <is>
          <t>Dream Eater</t>
        </is>
      </c>
      <c r="F541" s="46" t="n"/>
      <c r="G541" s="53" t="inlineStr">
        <is>
          <t>Earthquake</t>
        </is>
      </c>
      <c r="H541" s="46" t="n"/>
      <c r="I541" s="60" t="inlineStr">
        <is>
          <t>Aerial Ace</t>
        </is>
      </c>
      <c r="J541" s="46" t="n"/>
      <c r="K541" s="64" t="inlineStr">
        <is>
          <t>Ice Beam</t>
        </is>
      </c>
      <c r="L541" s="46" t="n"/>
      <c r="M541" s="60" t="inlineStr">
        <is>
          <t>Aerial Ace</t>
        </is>
      </c>
      <c r="N541" s="46" t="n"/>
      <c r="O541" s="53" t="inlineStr">
        <is>
          <t>Earthquake</t>
        </is>
      </c>
      <c r="P541" s="46" t="n"/>
    </row>
  </sheetData>
  <mergeCells count="2016">
    <mergeCell ref="B523:D523"/>
    <mergeCell ref="E71:F71"/>
    <mergeCell ref="K241:L241"/>
    <mergeCell ref="E73:F73"/>
    <mergeCell ref="E371:F371"/>
    <mergeCell ref="M35:N35"/>
    <mergeCell ref="M358:N358"/>
    <mergeCell ref="M360:N360"/>
    <mergeCell ref="G489:H489"/>
    <mergeCell ref="B508:D511"/>
    <mergeCell ref="M361:N361"/>
    <mergeCell ref="K328:L328"/>
    <mergeCell ref="G168:H168"/>
    <mergeCell ref="G491:H491"/>
    <mergeCell ref="G59:H59"/>
    <mergeCell ref="E117:F117"/>
    <mergeCell ref="M394:N394"/>
    <mergeCell ref="O450:P450"/>
    <mergeCell ref="B192:D195"/>
    <mergeCell ref="G61:H61"/>
    <mergeCell ref="G359:H359"/>
    <mergeCell ref="G219:H219"/>
    <mergeCell ref="E417:F417"/>
    <mergeCell ref="G517:H517"/>
    <mergeCell ref="B528:D531"/>
    <mergeCell ref="G519:H519"/>
    <mergeCell ref="G62:H62"/>
    <mergeCell ref="B139:D139"/>
    <mergeCell ref="K470:L470"/>
    <mergeCell ref="I285:J285"/>
    <mergeCell ref="M105:N105"/>
    <mergeCell ref="K341:L341"/>
    <mergeCell ref="Q192:Q195"/>
    <mergeCell ref="M534:N534"/>
    <mergeCell ref="M528:N528"/>
    <mergeCell ref="G201:H201"/>
    <mergeCell ref="M405:N405"/>
    <mergeCell ref="G535:H535"/>
    <mergeCell ref="O374:P374"/>
    <mergeCell ref="G203:H203"/>
    <mergeCell ref="G230:H230"/>
    <mergeCell ref="G361:H361"/>
    <mergeCell ref="G537:H537"/>
    <mergeCell ref="I295:J295"/>
    <mergeCell ref="G238:H238"/>
    <mergeCell ref="I267:J267"/>
    <mergeCell ref="K25:L25"/>
    <mergeCell ref="E474:F474"/>
    <mergeCell ref="G530:H530"/>
    <mergeCell ref="K183:L183"/>
    <mergeCell ref="O375:P375"/>
    <mergeCell ref="I207:J207"/>
    <mergeCell ref="E91:Q91"/>
    <mergeCell ref="O377:P377"/>
    <mergeCell ref="K244:L244"/>
    <mergeCell ref="K271:L271"/>
    <mergeCell ref="I507:J507"/>
    <mergeCell ref="M458:N458"/>
    <mergeCell ref="I298:J298"/>
    <mergeCell ref="K237:L237"/>
    <mergeCell ref="E69:F69"/>
    <mergeCell ref="E158:F158"/>
    <mergeCell ref="O218:P218"/>
    <mergeCell ref="K239:L239"/>
    <mergeCell ref="G133:H133"/>
    <mergeCell ref="E369:F369"/>
    <mergeCell ref="M331:N331"/>
    <mergeCell ref="E527:F527"/>
    <mergeCell ref="O524:P524"/>
    <mergeCell ref="E485:F485"/>
    <mergeCell ref="K268:L268"/>
    <mergeCell ref="M26:N26"/>
    <mergeCell ref="G135:H135"/>
    <mergeCell ref="I191:J191"/>
    <mergeCell ref="O219:P219"/>
    <mergeCell ref="I51:J51"/>
    <mergeCell ref="O517:P517"/>
    <mergeCell ref="I349:J349"/>
    <mergeCell ref="E72:F72"/>
    <mergeCell ref="G164:H164"/>
    <mergeCell ref="K255:L255"/>
    <mergeCell ref="G217:H217"/>
    <mergeCell ref="O519:P519"/>
    <mergeCell ref="M171:N171"/>
    <mergeCell ref="I192:J192"/>
    <mergeCell ref="K415:L415"/>
    <mergeCell ref="K110:L110"/>
    <mergeCell ref="E240:F240"/>
    <mergeCell ref="E538:F538"/>
    <mergeCell ref="O535:P535"/>
    <mergeCell ref="G146:H146"/>
    <mergeCell ref="O448:P448"/>
    <mergeCell ref="K410:L410"/>
    <mergeCell ref="G304:H304"/>
    <mergeCell ref="E540:F540"/>
    <mergeCell ref="K12:L12"/>
    <mergeCell ref="G490:H490"/>
    <mergeCell ref="I248:J248"/>
    <mergeCell ref="G515:H515"/>
    <mergeCell ref="I368:J368"/>
    <mergeCell ref="M497:N497"/>
    <mergeCell ref="E333:Q333"/>
    <mergeCell ref="K39:L39"/>
    <mergeCell ref="K14:L14"/>
    <mergeCell ref="K337:L337"/>
    <mergeCell ref="K339:L339"/>
    <mergeCell ref="K314:L314"/>
    <mergeCell ref="M401:N401"/>
    <mergeCell ref="M395:N395"/>
    <mergeCell ref="E109:F109"/>
    <mergeCell ref="E145:F145"/>
    <mergeCell ref="O459:P459"/>
    <mergeCell ref="E111:F111"/>
    <mergeCell ref="E470:F470"/>
    <mergeCell ref="G228:H228"/>
    <mergeCell ref="M527:N527"/>
    <mergeCell ref="O285:P285"/>
    <mergeCell ref="O461:P461"/>
    <mergeCell ref="M398:N398"/>
    <mergeCell ref="G528:H528"/>
    <mergeCell ref="K181:L181"/>
    <mergeCell ref="K479:L479"/>
    <mergeCell ref="B238:D241"/>
    <mergeCell ref="I294:J294"/>
    <mergeCell ref="K350:L350"/>
    <mergeCell ref="K481:L481"/>
    <mergeCell ref="O301:P301"/>
    <mergeCell ref="G231:H231"/>
    <mergeCell ref="M431:N431"/>
    <mergeCell ref="M414:N414"/>
    <mergeCell ref="M424:N424"/>
    <mergeCell ref="I20:J20"/>
    <mergeCell ref="E498:F498"/>
    <mergeCell ref="E183:F183"/>
    <mergeCell ref="I318:J318"/>
    <mergeCell ref="E193:F193"/>
    <mergeCell ref="B258:D261"/>
    <mergeCell ref="I13:J13"/>
    <mergeCell ref="I320:J320"/>
    <mergeCell ref="G247:H247"/>
    <mergeCell ref="K507:L507"/>
    <mergeCell ref="G257:H257"/>
    <mergeCell ref="I15:J15"/>
    <mergeCell ref="O515:P515"/>
    <mergeCell ref="B175:D175"/>
    <mergeCell ref="Q328:Q331"/>
    <mergeCell ref="K384:L384"/>
    <mergeCell ref="K378:L378"/>
    <mergeCell ref="E514:F514"/>
    <mergeCell ref="O329:P329"/>
    <mergeCell ref="K379:L379"/>
    <mergeCell ref="E509:F509"/>
    <mergeCell ref="G398:H398"/>
    <mergeCell ref="I460:J460"/>
    <mergeCell ref="E127:Q127"/>
    <mergeCell ref="M164:N164"/>
    <mergeCell ref="B343:D343"/>
    <mergeCell ref="G275:H275"/>
    <mergeCell ref="I33:J33"/>
    <mergeCell ref="E511:F511"/>
    <mergeCell ref="G269:H269"/>
    <mergeCell ref="E433:Q433"/>
    <mergeCell ref="K518:L518"/>
    <mergeCell ref="B47:D47"/>
    <mergeCell ref="I244:J244"/>
    <mergeCell ref="K437:L437"/>
    <mergeCell ref="I35:J35"/>
    <mergeCell ref="M284:N284"/>
    <mergeCell ref="K520:L520"/>
    <mergeCell ref="O528:P528"/>
    <mergeCell ref="M495:N495"/>
    <mergeCell ref="E351:F351"/>
    <mergeCell ref="K310:L310"/>
    <mergeCell ref="M188:N188"/>
    <mergeCell ref="K424:L424"/>
    <mergeCell ref="E141:F141"/>
    <mergeCell ref="E135:F135"/>
    <mergeCell ref="E439:F439"/>
    <mergeCell ref="I361:J361"/>
    <mergeCell ref="O254:P254"/>
    <mergeCell ref="G328:H328"/>
    <mergeCell ref="E224:F224"/>
    <mergeCell ref="E107:F107"/>
    <mergeCell ref="E143:F143"/>
    <mergeCell ref="E441:F441"/>
    <mergeCell ref="E435:F435"/>
    <mergeCell ref="G288:H288"/>
    <mergeCell ref="E175:Q175"/>
    <mergeCell ref="G499:H499"/>
    <mergeCell ref="K450:L450"/>
    <mergeCell ref="B277:D277"/>
    <mergeCell ref="I229:J229"/>
    <mergeCell ref="I387:J387"/>
    <mergeCell ref="K23:L23"/>
    <mergeCell ref="M514:N514"/>
    <mergeCell ref="E277:F277"/>
    <mergeCell ref="E285:F285"/>
    <mergeCell ref="M509:N509"/>
    <mergeCell ref="I105:J105"/>
    <mergeCell ref="Q298:Q301"/>
    <mergeCell ref="G341:H341"/>
    <mergeCell ref="B119:D119"/>
    <mergeCell ref="E278:F278"/>
    <mergeCell ref="G36:H36"/>
    <mergeCell ref="B417:D417"/>
    <mergeCell ref="I405:J405"/>
    <mergeCell ref="K380:L380"/>
    <mergeCell ref="K165:L165"/>
    <mergeCell ref="E223:Q223"/>
    <mergeCell ref="E295:F295"/>
    <mergeCell ref="M438:N438"/>
    <mergeCell ref="I400:J400"/>
    <mergeCell ref="O327:P327"/>
    <mergeCell ref="K375:L375"/>
    <mergeCell ref="E207:F207"/>
    <mergeCell ref="B443:D443"/>
    <mergeCell ref="E505:F505"/>
    <mergeCell ref="M440:N440"/>
    <mergeCell ref="I247:J247"/>
    <mergeCell ref="G271:H271"/>
    <mergeCell ref="E507:F507"/>
    <mergeCell ref="G265:H265"/>
    <mergeCell ref="I458:J458"/>
    <mergeCell ref="B398:D401"/>
    <mergeCell ref="M435:N435"/>
    <mergeCell ref="I329:J329"/>
    <mergeCell ref="K218:L218"/>
    <mergeCell ref="M280:N280"/>
    <mergeCell ref="B11:D11"/>
    <mergeCell ref="K95:L95"/>
    <mergeCell ref="I331:J331"/>
    <mergeCell ref="E347:F347"/>
    <mergeCell ref="O338:P338"/>
    <mergeCell ref="G268:H268"/>
    <mergeCell ref="I26:J26"/>
    <mergeCell ref="K219:L219"/>
    <mergeCell ref="E51:F51"/>
    <mergeCell ref="M153:N153"/>
    <mergeCell ref="M275:N275"/>
    <mergeCell ref="E349:F349"/>
    <mergeCell ref="Q368:Q371"/>
    <mergeCell ref="E453:Q453"/>
    <mergeCell ref="K517:L517"/>
    <mergeCell ref="M311:N311"/>
    <mergeCell ref="O340:P340"/>
    <mergeCell ref="K519:L519"/>
    <mergeCell ref="M277:N277"/>
    <mergeCell ref="O35:P35"/>
    <mergeCell ref="E518:F518"/>
    <mergeCell ref="I171:J171"/>
    <mergeCell ref="G407:H407"/>
    <mergeCell ref="B527:D527"/>
    <mergeCell ref="G284:H284"/>
    <mergeCell ref="O341:P341"/>
    <mergeCell ref="E520:F520"/>
    <mergeCell ref="G415:H415"/>
    <mergeCell ref="I471:J471"/>
    <mergeCell ref="G110:H110"/>
    <mergeCell ref="G408:H408"/>
    <mergeCell ref="I44:J44"/>
    <mergeCell ref="M179:N179"/>
    <mergeCell ref="E375:F375"/>
    <mergeCell ref="K535:L535"/>
    <mergeCell ref="G410:H410"/>
    <mergeCell ref="K230:L230"/>
    <mergeCell ref="E377:F377"/>
    <mergeCell ref="G439:H439"/>
    <mergeCell ref="Q538:Q541"/>
    <mergeCell ref="G12:H12"/>
    <mergeCell ref="E248:F248"/>
    <mergeCell ref="G441:H441"/>
    <mergeCell ref="E368:F368"/>
    <mergeCell ref="K530:L530"/>
    <mergeCell ref="G435:H435"/>
    <mergeCell ref="I497:J497"/>
    <mergeCell ref="E247:F247"/>
    <mergeCell ref="M207:N207"/>
    <mergeCell ref="M505:N505"/>
    <mergeCell ref="I499:J499"/>
    <mergeCell ref="E199:Q199"/>
    <mergeCell ref="K134:L134"/>
    <mergeCell ref="B83:D83"/>
    <mergeCell ref="I96:J96"/>
    <mergeCell ref="E388:F388"/>
    <mergeCell ref="B383:D383"/>
    <mergeCell ref="I98:J98"/>
    <mergeCell ref="E390:F390"/>
    <mergeCell ref="O439:P439"/>
    <mergeCell ref="I398:J398"/>
    <mergeCell ref="K156:L156"/>
    <mergeCell ref="O291:P291"/>
    <mergeCell ref="G365:H365"/>
    <mergeCell ref="G25:H25"/>
    <mergeCell ref="G454:H454"/>
    <mergeCell ref="Q438:Q441"/>
    <mergeCell ref="G60:H60"/>
    <mergeCell ref="E294:F294"/>
    <mergeCell ref="K485:L485"/>
    <mergeCell ref="K189:L189"/>
    <mergeCell ref="I116:J116"/>
    <mergeCell ref="O9:P9"/>
    <mergeCell ref="K487:L487"/>
    <mergeCell ref="B368:D371"/>
    <mergeCell ref="I414:J414"/>
    <mergeCell ref="K188:L188"/>
    <mergeCell ref="I424:J424"/>
    <mergeCell ref="E20:F20"/>
    <mergeCell ref="K182:L182"/>
    <mergeCell ref="E318:F318"/>
    <mergeCell ref="E13:F13"/>
    <mergeCell ref="E320:F320"/>
    <mergeCell ref="G534:H534"/>
    <mergeCell ref="E15:F15"/>
    <mergeCell ref="E191:F191"/>
    <mergeCell ref="M248:N248"/>
    <mergeCell ref="G80:H80"/>
    <mergeCell ref="G378:H378"/>
    <mergeCell ref="E315:F315"/>
    <mergeCell ref="G73:H73"/>
    <mergeCell ref="O337:P337"/>
    <mergeCell ref="O331:P331"/>
    <mergeCell ref="B155:D155"/>
    <mergeCell ref="K358:L358"/>
    <mergeCell ref="B151:D151"/>
    <mergeCell ref="I164:J164"/>
    <mergeCell ref="M299:N299"/>
    <mergeCell ref="K201:L201"/>
    <mergeCell ref="E33:F33"/>
    <mergeCell ref="Q204:Q207"/>
    <mergeCell ref="G8:H8"/>
    <mergeCell ref="M170:N170"/>
    <mergeCell ref="G518:H518"/>
    <mergeCell ref="K228:L228"/>
    <mergeCell ref="M328:N328"/>
    <mergeCell ref="G437:H437"/>
    <mergeCell ref="I195:J195"/>
    <mergeCell ref="E35:F35"/>
    <mergeCell ref="G308:H308"/>
    <mergeCell ref="K528:L528"/>
    <mergeCell ref="I495:J495"/>
    <mergeCell ref="B12:D15"/>
    <mergeCell ref="E245:F245"/>
    <mergeCell ref="G310:H310"/>
    <mergeCell ref="I68:J68"/>
    <mergeCell ref="G92:H92"/>
    <mergeCell ref="B149:Q149"/>
    <mergeCell ref="B79:D79"/>
    <mergeCell ref="M317:N317"/>
    <mergeCell ref="I524:J524"/>
    <mergeCell ref="K132:L132"/>
    <mergeCell ref="I219:J219"/>
    <mergeCell ref="K254:L254"/>
    <mergeCell ref="K430:L430"/>
    <mergeCell ref="M14:N14"/>
    <mergeCell ref="E255:F255"/>
    <mergeCell ref="M318:N318"/>
    <mergeCell ref="G478:H478"/>
    <mergeCell ref="G21:H21"/>
    <mergeCell ref="K285:L285"/>
    <mergeCell ref="M314:N314"/>
    <mergeCell ref="G450:H450"/>
    <mergeCell ref="E415:F415"/>
    <mergeCell ref="Q428:Q431"/>
    <mergeCell ref="E387:F387"/>
    <mergeCell ref="G23:H23"/>
    <mergeCell ref="G145:H145"/>
    <mergeCell ref="O378:P378"/>
    <mergeCell ref="G181:H181"/>
    <mergeCell ref="G479:H479"/>
    <mergeCell ref="I237:J237"/>
    <mergeCell ref="B156:D159"/>
    <mergeCell ref="G147:H147"/>
    <mergeCell ref="B257:D257"/>
    <mergeCell ref="G445:H445"/>
    <mergeCell ref="I203:J203"/>
    <mergeCell ref="G481:H481"/>
    <mergeCell ref="I239:J239"/>
    <mergeCell ref="I122:J122"/>
    <mergeCell ref="K301:L301"/>
    <mergeCell ref="M374:N374"/>
    <mergeCell ref="I420:J420"/>
    <mergeCell ref="I537:J537"/>
    <mergeCell ref="M488:N488"/>
    <mergeCell ref="I238:J238"/>
    <mergeCell ref="E105:F105"/>
    <mergeCell ref="M25:N25"/>
    <mergeCell ref="K267:L267"/>
    <mergeCell ref="E99:F99"/>
    <mergeCell ref="E397:F397"/>
    <mergeCell ref="B180:D183"/>
    <mergeCell ref="M33:N33"/>
    <mergeCell ref="K269:L269"/>
    <mergeCell ref="E405:F405"/>
    <mergeCell ref="Q120:Q123"/>
    <mergeCell ref="O8:P8"/>
    <mergeCell ref="Q278:Q281"/>
    <mergeCell ref="M244:N244"/>
    <mergeCell ref="O300:P300"/>
    <mergeCell ref="O458:P458"/>
    <mergeCell ref="G165:H165"/>
    <mergeCell ref="E434:F434"/>
    <mergeCell ref="G44:H44"/>
    <mergeCell ref="E400:F400"/>
    <mergeCell ref="G158:H158"/>
    <mergeCell ref="K354:L354"/>
    <mergeCell ref="G375:H375"/>
    <mergeCell ref="I133:J133"/>
    <mergeCell ref="I108:J108"/>
    <mergeCell ref="M418:N418"/>
    <mergeCell ref="I135:J135"/>
    <mergeCell ref="K349:L349"/>
    <mergeCell ref="G191:H191"/>
    <mergeCell ref="I435:J435"/>
    <mergeCell ref="M255:N255"/>
    <mergeCell ref="O21:P21"/>
    <mergeCell ref="E403:Q403"/>
    <mergeCell ref="B518:D521"/>
    <mergeCell ref="M415:N415"/>
    <mergeCell ref="I309:J309"/>
    <mergeCell ref="E26:F26"/>
    <mergeCell ref="B507:D507"/>
    <mergeCell ref="I311:J311"/>
    <mergeCell ref="B473:D473"/>
    <mergeCell ref="E50:F50"/>
    <mergeCell ref="E357:F357"/>
    <mergeCell ref="K368:L368"/>
    <mergeCell ref="E515:F515"/>
    <mergeCell ref="Q528:Q531"/>
    <mergeCell ref="B191:D191"/>
    <mergeCell ref="M39:N39"/>
    <mergeCell ref="E44:F44"/>
    <mergeCell ref="I179:J179"/>
    <mergeCell ref="I337:J337"/>
    <mergeCell ref="G141:H141"/>
    <mergeCell ref="G116:H116"/>
    <mergeCell ref="G414:H414"/>
    <mergeCell ref="M339:N339"/>
    <mergeCell ref="E3:Q3"/>
    <mergeCell ref="K395:L395"/>
    <mergeCell ref="Q216:Q219"/>
    <mergeCell ref="B120:D123"/>
    <mergeCell ref="E303:Q303"/>
    <mergeCell ref="M484:N484"/>
    <mergeCell ref="M459:N459"/>
    <mergeCell ref="O217:P217"/>
    <mergeCell ref="I505:J505"/>
    <mergeCell ref="E228:F228"/>
    <mergeCell ref="K265:L265"/>
    <mergeCell ref="M23:N23"/>
    <mergeCell ref="M365:N365"/>
    <mergeCell ref="G134:H134"/>
    <mergeCell ref="M479:N479"/>
    <mergeCell ref="I50:J50"/>
    <mergeCell ref="E528:F528"/>
    <mergeCell ref="E96:F96"/>
    <mergeCell ref="K294:L294"/>
    <mergeCell ref="I261:J261"/>
    <mergeCell ref="I350:J350"/>
    <mergeCell ref="E98:F98"/>
    <mergeCell ref="K108:L108"/>
    <mergeCell ref="B478:D481"/>
    <mergeCell ref="K325:L325"/>
    <mergeCell ref="G488:H488"/>
    <mergeCell ref="K20:L20"/>
    <mergeCell ref="G156:H156"/>
    <mergeCell ref="E398:F398"/>
    <mergeCell ref="K318:L318"/>
    <mergeCell ref="B221:Q221"/>
    <mergeCell ref="G498:H498"/>
    <mergeCell ref="I254:J254"/>
    <mergeCell ref="E43:Q43"/>
    <mergeCell ref="I264:J264"/>
    <mergeCell ref="K320:L320"/>
    <mergeCell ref="G485:H485"/>
    <mergeCell ref="M507:N507"/>
    <mergeCell ref="O447:P447"/>
    <mergeCell ref="E300:F300"/>
    <mergeCell ref="G180:H180"/>
    <mergeCell ref="E458:F458"/>
    <mergeCell ref="G216:H216"/>
    <mergeCell ref="G487:H487"/>
    <mergeCell ref="G514:H514"/>
    <mergeCell ref="G188:H188"/>
    <mergeCell ref="G182:H182"/>
    <mergeCell ref="M411:N411"/>
    <mergeCell ref="G218:H218"/>
    <mergeCell ref="I280:J280"/>
    <mergeCell ref="K38:L38"/>
    <mergeCell ref="I274:J274"/>
    <mergeCell ref="K467:L467"/>
    <mergeCell ref="Q168:Q171"/>
    <mergeCell ref="K338:L338"/>
    <mergeCell ref="B287:D287"/>
    <mergeCell ref="M525:N525"/>
    <mergeCell ref="I275:J275"/>
    <mergeCell ref="K33:L33"/>
    <mergeCell ref="O500:P500"/>
    <mergeCell ref="K340:L340"/>
    <mergeCell ref="M437:N437"/>
    <mergeCell ref="I277:J277"/>
    <mergeCell ref="K35:L35"/>
    <mergeCell ref="E171:F171"/>
    <mergeCell ref="G358:H358"/>
    <mergeCell ref="O501:P501"/>
    <mergeCell ref="O495:P495"/>
    <mergeCell ref="M397:N397"/>
    <mergeCell ref="E471:F471"/>
    <mergeCell ref="G229:H229"/>
    <mergeCell ref="Q308:Q311"/>
    <mergeCell ref="G360:H360"/>
    <mergeCell ref="K180:L180"/>
    <mergeCell ref="M310:N310"/>
    <mergeCell ref="K391:L391"/>
    <mergeCell ref="I170:J170"/>
    <mergeCell ref="K480:L480"/>
    <mergeCell ref="E1:Q1"/>
    <mergeCell ref="E168:F168"/>
    <mergeCell ref="I328:J328"/>
    <mergeCell ref="M455:N455"/>
    <mergeCell ref="G143:H143"/>
    <mergeCell ref="E413:Q413"/>
    <mergeCell ref="K234:L234"/>
    <mergeCell ref="I288:J288"/>
    <mergeCell ref="B517:D517"/>
    <mergeCell ref="K394:L394"/>
    <mergeCell ref="M152:N152"/>
    <mergeCell ref="M450:N450"/>
    <mergeCell ref="E524:F524"/>
    <mergeCell ref="E219:F219"/>
    <mergeCell ref="Q238:Q241"/>
    <mergeCell ref="O216:P216"/>
    <mergeCell ref="B333:D333"/>
    <mergeCell ref="O514:P514"/>
    <mergeCell ref="I348:J348"/>
    <mergeCell ref="I470:J470"/>
    <mergeCell ref="K404:L404"/>
    <mergeCell ref="G285:H285"/>
    <mergeCell ref="I347:J347"/>
    <mergeCell ref="K105:L105"/>
    <mergeCell ref="I341:J341"/>
    <mergeCell ref="B203:D203"/>
    <mergeCell ref="K534:L534"/>
    <mergeCell ref="K107:L107"/>
    <mergeCell ref="K405:L405"/>
    <mergeCell ref="E237:F237"/>
    <mergeCell ref="E535:F535"/>
    <mergeCell ref="M380:N380"/>
    <mergeCell ref="B318:D321"/>
    <mergeCell ref="K407:L407"/>
    <mergeCell ref="M165:N165"/>
    <mergeCell ref="E239:F239"/>
    <mergeCell ref="Q258:Q261"/>
    <mergeCell ref="I59:J59"/>
    <mergeCell ref="G301:H301"/>
    <mergeCell ref="I374:J374"/>
    <mergeCell ref="E537:F537"/>
    <mergeCell ref="B263:D263"/>
    <mergeCell ref="O438:P438"/>
    <mergeCell ref="E238:F238"/>
    <mergeCell ref="I359:J359"/>
    <mergeCell ref="O440:P440"/>
    <mergeCell ref="B283:D283"/>
    <mergeCell ref="M521:N521"/>
    <mergeCell ref="I271:J271"/>
    <mergeCell ref="K458:L458"/>
    <mergeCell ref="E265:F265"/>
    <mergeCell ref="E483:Q483"/>
    <mergeCell ref="G354:H354"/>
    <mergeCell ref="G329:H329"/>
    <mergeCell ref="I87:J87"/>
    <mergeCell ref="E133:F133"/>
    <mergeCell ref="E108:F108"/>
    <mergeCell ref="K331:L331"/>
    <mergeCell ref="M524:N524"/>
    <mergeCell ref="I418:J418"/>
    <mergeCell ref="K176:L176"/>
    <mergeCell ref="G51:H51"/>
    <mergeCell ref="G349:H349"/>
    <mergeCell ref="E164:F164"/>
    <mergeCell ref="K57:L57"/>
    <mergeCell ref="I255:J255"/>
    <mergeCell ref="I291:J291"/>
    <mergeCell ref="K171:L171"/>
    <mergeCell ref="K478:L478"/>
    <mergeCell ref="E195:F195"/>
    <mergeCell ref="K357:L357"/>
    <mergeCell ref="G251:H251"/>
    <mergeCell ref="I415:J415"/>
    <mergeCell ref="E309:F309"/>
    <mergeCell ref="K471:L471"/>
    <mergeCell ref="E188:F188"/>
    <mergeCell ref="M421:N421"/>
    <mergeCell ref="E495:F495"/>
    <mergeCell ref="E180:F180"/>
    <mergeCell ref="M535:N535"/>
    <mergeCell ref="O212:P212"/>
    <mergeCell ref="M108:N108"/>
    <mergeCell ref="E182:F182"/>
    <mergeCell ref="I317:J317"/>
    <mergeCell ref="E480:F480"/>
    <mergeCell ref="K504:L504"/>
    <mergeCell ref="G254:H254"/>
    <mergeCell ref="I12:J12"/>
    <mergeCell ref="B453:D453"/>
    <mergeCell ref="G248:H248"/>
    <mergeCell ref="E490:F490"/>
    <mergeCell ref="K497:L497"/>
    <mergeCell ref="I39:J39"/>
    <mergeCell ref="I14:J14"/>
    <mergeCell ref="E179:F179"/>
    <mergeCell ref="Q508:Q511"/>
    <mergeCell ref="I339:J339"/>
    <mergeCell ref="I314:J314"/>
    <mergeCell ref="M159:N159"/>
    <mergeCell ref="K401:L401"/>
    <mergeCell ref="G395:H395"/>
    <mergeCell ref="M167:N167"/>
    <mergeCell ref="I484:J484"/>
    <mergeCell ref="I459:J459"/>
    <mergeCell ref="K217:L217"/>
    <mergeCell ref="E203:F203"/>
    <mergeCell ref="M461:N461"/>
    <mergeCell ref="K129:L129"/>
    <mergeCell ref="I365:J365"/>
    <mergeCell ref="E534:F534"/>
    <mergeCell ref="G267:H267"/>
    <mergeCell ref="I25:J25"/>
    <mergeCell ref="K131:L131"/>
    <mergeCell ref="G294:H294"/>
    <mergeCell ref="K307:L307"/>
    <mergeCell ref="K429:L429"/>
    <mergeCell ref="E261:F261"/>
    <mergeCell ref="M485:N485"/>
    <mergeCell ref="E350:F350"/>
    <mergeCell ref="G108:H108"/>
    <mergeCell ref="M195:N195"/>
    <mergeCell ref="K431:L431"/>
    <mergeCell ref="M189:N189"/>
    <mergeCell ref="G325:H325"/>
    <mergeCell ref="I83:J83"/>
    <mergeCell ref="M487:N487"/>
    <mergeCell ref="G20:H20"/>
    <mergeCell ref="G318:H318"/>
    <mergeCell ref="I541:J541"/>
    <mergeCell ref="E264:F264"/>
    <mergeCell ref="I84:J84"/>
    <mergeCell ref="G320:H320"/>
    <mergeCell ref="I385:J385"/>
    <mergeCell ref="K447:L447"/>
    <mergeCell ref="B24:D27"/>
    <mergeCell ref="M205:N205"/>
    <mergeCell ref="E163:Q163"/>
    <mergeCell ref="I86:J86"/>
    <mergeCell ref="I80:J80"/>
    <mergeCell ref="I384:J384"/>
    <mergeCell ref="I378:J378"/>
    <mergeCell ref="B267:D267"/>
    <mergeCell ref="M329:N329"/>
    <mergeCell ref="E280:F280"/>
    <mergeCell ref="G38:H38"/>
    <mergeCell ref="E274:F274"/>
    <mergeCell ref="G338:H338"/>
    <mergeCell ref="G460:H460"/>
    <mergeCell ref="I525:J525"/>
    <mergeCell ref="E275:F275"/>
    <mergeCell ref="G33:H33"/>
    <mergeCell ref="O335:P335"/>
    <mergeCell ref="K500:L500"/>
    <mergeCell ref="G340:H340"/>
    <mergeCell ref="I8:J8"/>
    <mergeCell ref="I437:J437"/>
    <mergeCell ref="G35:H35"/>
    <mergeCell ref="K284:L284"/>
    <mergeCell ref="Q448:Q451"/>
    <mergeCell ref="I520:J520"/>
    <mergeCell ref="I308:J308"/>
    <mergeCell ref="K501:L501"/>
    <mergeCell ref="M259:N259"/>
    <mergeCell ref="I99:J99"/>
    <mergeCell ref="K495:L495"/>
    <mergeCell ref="I397:J397"/>
    <mergeCell ref="I310:J310"/>
    <mergeCell ref="M261:N261"/>
    <mergeCell ref="G391:H391"/>
    <mergeCell ref="G480:H480"/>
    <mergeCell ref="E328:F328"/>
    <mergeCell ref="M430:N430"/>
    <mergeCell ref="O325:P325"/>
    <mergeCell ref="M290:N290"/>
    <mergeCell ref="G122:H122"/>
    <mergeCell ref="I455:J455"/>
    <mergeCell ref="K213:L213"/>
    <mergeCell ref="Q132:Q135"/>
    <mergeCell ref="O20:P20"/>
    <mergeCell ref="Q72:Q75"/>
    <mergeCell ref="E288:F288"/>
    <mergeCell ref="B96:D99"/>
    <mergeCell ref="I21:J21"/>
    <mergeCell ref="G394:H394"/>
    <mergeCell ref="I152:J152"/>
    <mergeCell ref="I450:J450"/>
    <mergeCell ref="B35:D35"/>
    <mergeCell ref="I23:J23"/>
    <mergeCell ref="K216:L216"/>
    <mergeCell ref="K514:L514"/>
    <mergeCell ref="O38:P38"/>
    <mergeCell ref="M274:N274"/>
    <mergeCell ref="I481:J481"/>
    <mergeCell ref="E348:F348"/>
    <mergeCell ref="G448:H448"/>
    <mergeCell ref="G404:H404"/>
    <mergeCell ref="G105:H105"/>
    <mergeCell ref="E341:F341"/>
    <mergeCell ref="B137:Q137"/>
    <mergeCell ref="B67:D67"/>
    <mergeCell ref="I468:J468"/>
    <mergeCell ref="I49:J49"/>
    <mergeCell ref="O33:P33"/>
    <mergeCell ref="G107:H107"/>
    <mergeCell ref="I478:J478"/>
    <mergeCell ref="G405:H405"/>
    <mergeCell ref="B367:D367"/>
    <mergeCell ref="I380:J380"/>
    <mergeCell ref="M300:N300"/>
    <mergeCell ref="E374:F374"/>
    <mergeCell ref="E503:Q503"/>
    <mergeCell ref="E367:F367"/>
    <mergeCell ref="K229:L229"/>
    <mergeCell ref="M204:N204"/>
    <mergeCell ref="K440:L440"/>
    <mergeCell ref="B237:D237"/>
    <mergeCell ref="O418:P418"/>
    <mergeCell ref="E271:F271"/>
    <mergeCell ref="B48:D51"/>
    <mergeCell ref="O420:P420"/>
    <mergeCell ref="B537:D537"/>
    <mergeCell ref="K280:L280"/>
    <mergeCell ref="B348:D351"/>
    <mergeCell ref="I95:J95"/>
    <mergeCell ref="G331:H331"/>
    <mergeCell ref="K309:L309"/>
    <mergeCell ref="E418:F418"/>
    <mergeCell ref="G176:H176"/>
    <mergeCell ref="K153:L153"/>
    <mergeCell ref="G57:H57"/>
    <mergeCell ref="G171:H171"/>
    <mergeCell ref="B209:Q209"/>
    <mergeCell ref="B488:D491"/>
    <mergeCell ref="I121:J121"/>
    <mergeCell ref="G357:H357"/>
    <mergeCell ref="E284:F284"/>
    <mergeCell ref="G471:H471"/>
    <mergeCell ref="B433:D433"/>
    <mergeCell ref="M400:N400"/>
    <mergeCell ref="I123:J123"/>
    <mergeCell ref="I421:J421"/>
    <mergeCell ref="K179:L179"/>
    <mergeCell ref="I535:J535"/>
    <mergeCell ref="E317:F317"/>
    <mergeCell ref="G75:H75"/>
    <mergeCell ref="Q488:Q491"/>
    <mergeCell ref="G531:H531"/>
    <mergeCell ref="E12:F12"/>
    <mergeCell ref="I477:J477"/>
    <mergeCell ref="K235:L235"/>
    <mergeCell ref="G497:H497"/>
    <mergeCell ref="E14:F14"/>
    <mergeCell ref="K541:L541"/>
    <mergeCell ref="I508:J508"/>
    <mergeCell ref="K21:L21"/>
    <mergeCell ref="B418:D421"/>
    <mergeCell ref="K355:L355"/>
    <mergeCell ref="E314:F314"/>
    <mergeCell ref="I134:J134"/>
    <mergeCell ref="E263:Q263"/>
    <mergeCell ref="E370:F370"/>
    <mergeCell ref="M27:N27"/>
    <mergeCell ref="M298:N298"/>
    <mergeCell ref="M325:N325"/>
    <mergeCell ref="E399:F399"/>
    <mergeCell ref="G428:H428"/>
    <mergeCell ref="E488:F488"/>
    <mergeCell ref="G129:H129"/>
    <mergeCell ref="E365:F365"/>
    <mergeCell ref="E25:F25"/>
    <mergeCell ref="M327:N327"/>
    <mergeCell ref="E454:F454"/>
    <mergeCell ref="G131:H131"/>
    <mergeCell ref="B438:D441"/>
    <mergeCell ref="G429:H429"/>
    <mergeCell ref="E394:F394"/>
    <mergeCell ref="B533:D533"/>
    <mergeCell ref="I485:J485"/>
    <mergeCell ref="G300:H300"/>
    <mergeCell ref="G431:H431"/>
    <mergeCell ref="I189:J189"/>
    <mergeCell ref="K251:L251"/>
    <mergeCell ref="M9:N9"/>
    <mergeCell ref="G458:H458"/>
    <mergeCell ref="E83:F83"/>
    <mergeCell ref="E187:Q187"/>
    <mergeCell ref="I487:J487"/>
    <mergeCell ref="K281:L281"/>
    <mergeCell ref="I188:J188"/>
    <mergeCell ref="O530:P530"/>
    <mergeCell ref="M11:N11"/>
    <mergeCell ref="I218:J218"/>
    <mergeCell ref="K411:L411"/>
    <mergeCell ref="M169:N169"/>
    <mergeCell ref="E541:F541"/>
    <mergeCell ref="E84:F84"/>
    <mergeCell ref="E385:F385"/>
    <mergeCell ref="G447:H447"/>
    <mergeCell ref="I205:J205"/>
    <mergeCell ref="O531:P531"/>
    <mergeCell ref="M12:N12"/>
    <mergeCell ref="O525:P525"/>
    <mergeCell ref="E86:F86"/>
    <mergeCell ref="E80:F80"/>
    <mergeCell ref="E384:F384"/>
    <mergeCell ref="O444:P444"/>
    <mergeCell ref="E378:F378"/>
    <mergeCell ref="M340:N340"/>
    <mergeCell ref="G144:H144"/>
    <mergeCell ref="E31:Q31"/>
    <mergeCell ref="I358:J358"/>
    <mergeCell ref="E81:F81"/>
    <mergeCell ref="B247:D247"/>
    <mergeCell ref="K335:L335"/>
    <mergeCell ref="E440:F440"/>
    <mergeCell ref="B204:D207"/>
    <mergeCell ref="G170:H170"/>
    <mergeCell ref="M399:N399"/>
    <mergeCell ref="O455:P455"/>
    <mergeCell ref="G529:H529"/>
    <mergeCell ref="G504:H504"/>
    <mergeCell ref="O457:P457"/>
    <mergeCell ref="I289:J289"/>
    <mergeCell ref="K351:L351"/>
    <mergeCell ref="G74:H74"/>
    <mergeCell ref="E310:F310"/>
    <mergeCell ref="G524:H524"/>
    <mergeCell ref="E253:Q253"/>
    <mergeCell ref="B228:D231"/>
    <mergeCell ref="I132:J132"/>
    <mergeCell ref="I430:J430"/>
    <mergeCell ref="I290:J290"/>
    <mergeCell ref="K477:L477"/>
    <mergeCell ref="B101:Q101"/>
    <mergeCell ref="K348:L348"/>
    <mergeCell ref="E484:F484"/>
    <mergeCell ref="M541:N541"/>
    <mergeCell ref="O299:P299"/>
    <mergeCell ref="E21:F21"/>
    <mergeCell ref="G244:H244"/>
    <mergeCell ref="E23:F23"/>
    <mergeCell ref="M107:N107"/>
    <mergeCell ref="E181:F181"/>
    <mergeCell ref="E479:F479"/>
    <mergeCell ref="G237:H237"/>
    <mergeCell ref="G245:H245"/>
    <mergeCell ref="E481:F481"/>
    <mergeCell ref="K374:L374"/>
    <mergeCell ref="I301:J301"/>
    <mergeCell ref="E510:F510"/>
    <mergeCell ref="E468:F468"/>
    <mergeCell ref="E49:F49"/>
    <mergeCell ref="K278:L278"/>
    <mergeCell ref="M36:N36"/>
    <mergeCell ref="M8:N8"/>
    <mergeCell ref="O529:P529"/>
    <mergeCell ref="B43:D43"/>
    <mergeCell ref="B347:D347"/>
    <mergeCell ref="E423:Q423"/>
    <mergeCell ref="E2:Q2"/>
    <mergeCell ref="G169:H169"/>
    <mergeCell ref="M193:N193"/>
    <mergeCell ref="M491:N491"/>
    <mergeCell ref="K418:L418"/>
    <mergeCell ref="G469:H469"/>
    <mergeCell ref="I227:J227"/>
    <mergeCell ref="K420:L420"/>
    <mergeCell ref="E525:F525"/>
    <mergeCell ref="M364:N364"/>
    <mergeCell ref="K291:L291"/>
    <mergeCell ref="I258:J258"/>
    <mergeCell ref="M21:N21"/>
    <mergeCell ref="G195:H195"/>
    <mergeCell ref="I224:J224"/>
    <mergeCell ref="E431:F431"/>
    <mergeCell ref="G309:H309"/>
    <mergeCell ref="B468:D471"/>
    <mergeCell ref="B328:D331"/>
    <mergeCell ref="I259:J259"/>
    <mergeCell ref="G495:H495"/>
    <mergeCell ref="E120:F120"/>
    <mergeCell ref="Q268:Q271"/>
    <mergeCell ref="B273:D273"/>
    <mergeCell ref="K317:L317"/>
    <mergeCell ref="K448:L448"/>
    <mergeCell ref="M206:N206"/>
    <mergeCell ref="M510:N510"/>
    <mergeCell ref="M504:N504"/>
    <mergeCell ref="E121:F121"/>
    <mergeCell ref="K319:L319"/>
    <mergeCell ref="E455:F455"/>
    <mergeCell ref="E449:F449"/>
    <mergeCell ref="E123:F123"/>
    <mergeCell ref="E421:F421"/>
    <mergeCell ref="G179:H179"/>
    <mergeCell ref="G39:H39"/>
    <mergeCell ref="G337:H337"/>
    <mergeCell ref="E152:F152"/>
    <mergeCell ref="B413:D413"/>
    <mergeCell ref="E450:F450"/>
    <mergeCell ref="O290:P290"/>
    <mergeCell ref="G339:H339"/>
    <mergeCell ref="I97:J97"/>
    <mergeCell ref="K159:L159"/>
    <mergeCell ref="I401:J401"/>
    <mergeCell ref="I395:J395"/>
    <mergeCell ref="K370:L370"/>
    <mergeCell ref="E67:Q67"/>
    <mergeCell ref="K459:L459"/>
    <mergeCell ref="M217:N217"/>
    <mergeCell ref="M434:N434"/>
    <mergeCell ref="E508:F508"/>
    <mergeCell ref="K461:L461"/>
    <mergeCell ref="E501:F501"/>
    <mergeCell ref="E134:F134"/>
    <mergeCell ref="G50:H50"/>
    <mergeCell ref="O494:P494"/>
    <mergeCell ref="K388:L388"/>
    <mergeCell ref="G350:H350"/>
    <mergeCell ref="B337:D337"/>
    <mergeCell ref="I27:J27"/>
    <mergeCell ref="I325:J325"/>
    <mergeCell ref="E165:F165"/>
    <mergeCell ref="I327:J327"/>
    <mergeCell ref="K389:L389"/>
    <mergeCell ref="M278:N278"/>
    <mergeCell ref="G264:H264"/>
    <mergeCell ref="K385:L385"/>
    <mergeCell ref="M447:N447"/>
    <mergeCell ref="E521:F521"/>
    <mergeCell ref="G279:H279"/>
    <mergeCell ref="E293:Q293"/>
    <mergeCell ref="E216:F216"/>
    <mergeCell ref="O213:P213"/>
    <mergeCell ref="M449:N449"/>
    <mergeCell ref="I167:J167"/>
    <mergeCell ref="G281:H281"/>
    <mergeCell ref="E218:F218"/>
    <mergeCell ref="G280:H280"/>
    <mergeCell ref="B357:D357"/>
    <mergeCell ref="I38:J38"/>
    <mergeCell ref="G274:H274"/>
    <mergeCell ref="G411:H411"/>
    <mergeCell ref="I169:J169"/>
    <mergeCell ref="I467:J467"/>
    <mergeCell ref="I338:J338"/>
    <mergeCell ref="I469:J469"/>
    <mergeCell ref="K227:L227"/>
    <mergeCell ref="K531:L531"/>
    <mergeCell ref="I257:J257"/>
    <mergeCell ref="K525:L525"/>
    <mergeCell ref="K444:L444"/>
    <mergeCell ref="M177:N177"/>
    <mergeCell ref="K104:L104"/>
    <mergeCell ref="M500:N500"/>
    <mergeCell ref="I340:J340"/>
    <mergeCell ref="G307:H307"/>
    <mergeCell ref="E234:F234"/>
    <mergeCell ref="M291:N291"/>
    <mergeCell ref="Q378:Q381"/>
    <mergeCell ref="E244:F244"/>
    <mergeCell ref="M508:N508"/>
    <mergeCell ref="E358:F358"/>
    <mergeCell ref="M501:N501"/>
    <mergeCell ref="O259:P259"/>
    <mergeCell ref="K99:L99"/>
    <mergeCell ref="E229:F229"/>
    <mergeCell ref="O261:P261"/>
    <mergeCell ref="G335:H335"/>
    <mergeCell ref="K155:L155"/>
    <mergeCell ref="Q408:Q411"/>
    <mergeCell ref="E448:F448"/>
    <mergeCell ref="G206:H206"/>
    <mergeCell ref="I399:J399"/>
    <mergeCell ref="K157:L157"/>
    <mergeCell ref="K455:L455"/>
    <mergeCell ref="I270:J270"/>
    <mergeCell ref="B53:Q53"/>
    <mergeCell ref="E363:Q363"/>
    <mergeCell ref="K457:L457"/>
    <mergeCell ref="M215:N215"/>
    <mergeCell ref="E289:F289"/>
    <mergeCell ref="G351:H351"/>
    <mergeCell ref="I394:J394"/>
    <mergeCell ref="K152:L152"/>
    <mergeCell ref="O437:P437"/>
    <mergeCell ref="B437:D437"/>
    <mergeCell ref="M216:N216"/>
    <mergeCell ref="E290:F290"/>
    <mergeCell ref="G48:H48"/>
    <mergeCell ref="E233:Q233"/>
    <mergeCell ref="M218:N218"/>
    <mergeCell ref="B397:D397"/>
    <mergeCell ref="G348:H348"/>
    <mergeCell ref="I404:J404"/>
    <mergeCell ref="K56:L56"/>
    <mergeCell ref="E533:Q533"/>
    <mergeCell ref="K170:L170"/>
    <mergeCell ref="K468:L468"/>
    <mergeCell ref="I107:J107"/>
    <mergeCell ref="G250:H250"/>
    <mergeCell ref="G380:H380"/>
    <mergeCell ref="G374:H374"/>
    <mergeCell ref="E301:F301"/>
    <mergeCell ref="B84:D87"/>
    <mergeCell ref="E189:F189"/>
    <mergeCell ref="I9:J9"/>
    <mergeCell ref="E487:F487"/>
    <mergeCell ref="I140:J140"/>
    <mergeCell ref="I438:J438"/>
    <mergeCell ref="B23:D23"/>
    <mergeCell ref="B378:D381"/>
    <mergeCell ref="I11:J11"/>
    <mergeCell ref="I465:J465"/>
    <mergeCell ref="I440:J440"/>
    <mergeCell ref="B5:Q5"/>
    <mergeCell ref="E205:F205"/>
    <mergeCell ref="M287:N287"/>
    <mergeCell ref="K529:L529"/>
    <mergeCell ref="E354:F354"/>
    <mergeCell ref="E329:F329"/>
    <mergeCell ref="G87:H87"/>
    <mergeCell ref="B125:Q125"/>
    <mergeCell ref="M168:N168"/>
    <mergeCell ref="I62:J62"/>
    <mergeCell ref="B163:D163"/>
    <mergeCell ref="K524:L524"/>
    <mergeCell ref="G95:H95"/>
    <mergeCell ref="I491:J491"/>
    <mergeCell ref="E331:F331"/>
    <mergeCell ref="G418:H418"/>
    <mergeCell ref="O380:P380"/>
    <mergeCell ref="K97:L97"/>
    <mergeCell ref="G420:H420"/>
    <mergeCell ref="I153:J153"/>
    <mergeCell ref="B308:D311"/>
    <mergeCell ref="Q398:Q401"/>
    <mergeCell ref="K128:L128"/>
    <mergeCell ref="I364:J364"/>
    <mergeCell ref="E258:F258"/>
    <mergeCell ref="K428:L428"/>
    <mergeCell ref="M308:N308"/>
    <mergeCell ref="Q518:Q521"/>
    <mergeCell ref="B377:D377"/>
    <mergeCell ref="E259:F259"/>
    <mergeCell ref="Q96:Q99"/>
    <mergeCell ref="E411:F411"/>
    <mergeCell ref="M212:N212"/>
    <mergeCell ref="G317:H317"/>
    <mergeCell ref="I75:J75"/>
    <mergeCell ref="B173:Q173"/>
    <mergeCell ref="I206:J206"/>
    <mergeCell ref="I510:J510"/>
    <mergeCell ref="I504:J504"/>
    <mergeCell ref="B95:D95"/>
    <mergeCell ref="B393:D393"/>
    <mergeCell ref="G319:H319"/>
    <mergeCell ref="K270:L270"/>
    <mergeCell ref="I235:J235"/>
    <mergeCell ref="K297:L297"/>
    <mergeCell ref="G477:H477"/>
    <mergeCell ref="B77:Q77"/>
    <mergeCell ref="G14:H14"/>
    <mergeCell ref="K299:L299"/>
    <mergeCell ref="M355:N355"/>
    <mergeCell ref="E429:F429"/>
    <mergeCell ref="E97:F97"/>
    <mergeCell ref="G159:H159"/>
    <mergeCell ref="E401:F401"/>
    <mergeCell ref="E395:F395"/>
    <mergeCell ref="M357:N357"/>
    <mergeCell ref="K167:L167"/>
    <mergeCell ref="G72:H72"/>
    <mergeCell ref="G370:H370"/>
    <mergeCell ref="M111:N111"/>
    <mergeCell ref="I217:J217"/>
    <mergeCell ref="E424:F424"/>
    <mergeCell ref="G459:H459"/>
    <mergeCell ref="O421:P421"/>
    <mergeCell ref="M540:N540"/>
    <mergeCell ref="O298:P298"/>
    <mergeCell ref="I434:J434"/>
    <mergeCell ref="K192:L192"/>
    <mergeCell ref="I225:J225"/>
    <mergeCell ref="G461:H461"/>
    <mergeCell ref="I129:J129"/>
    <mergeCell ref="B423:D423"/>
    <mergeCell ref="K194:L194"/>
    <mergeCell ref="B143:D143"/>
    <mergeCell ref="I131:J131"/>
    <mergeCell ref="B477:D477"/>
    <mergeCell ref="I307:J307"/>
    <mergeCell ref="M258:N258"/>
    <mergeCell ref="K494:L494"/>
    <mergeCell ref="K195:L195"/>
    <mergeCell ref="I431:J431"/>
    <mergeCell ref="E27:F27"/>
    <mergeCell ref="M251:N251"/>
    <mergeCell ref="E325:F325"/>
    <mergeCell ref="E116:F116"/>
    <mergeCell ref="E414:F414"/>
    <mergeCell ref="O11:P11"/>
    <mergeCell ref="E327:F327"/>
    <mergeCell ref="G85:H85"/>
    <mergeCell ref="G389:H389"/>
    <mergeCell ref="M289:N289"/>
    <mergeCell ref="Q498:Q501"/>
    <mergeCell ref="G541:H541"/>
    <mergeCell ref="B167:D167"/>
    <mergeCell ref="G84:H84"/>
    <mergeCell ref="B503:D503"/>
    <mergeCell ref="G385:H385"/>
    <mergeCell ref="I447:J447"/>
    <mergeCell ref="K205:L205"/>
    <mergeCell ref="G86:H86"/>
    <mergeCell ref="I449:J449"/>
    <mergeCell ref="K365:L365"/>
    <mergeCell ref="I144:J144"/>
    <mergeCell ref="E115:Q115"/>
    <mergeCell ref="E38:F38"/>
    <mergeCell ref="M315:N315"/>
    <mergeCell ref="E273:Q273"/>
    <mergeCell ref="M429:N429"/>
    <mergeCell ref="B187:D187"/>
    <mergeCell ref="E338:F338"/>
    <mergeCell ref="M183:N183"/>
    <mergeCell ref="B493:D493"/>
    <mergeCell ref="B487:D487"/>
    <mergeCell ref="M335:N335"/>
    <mergeCell ref="I177:J177"/>
    <mergeCell ref="G104:H104"/>
    <mergeCell ref="I500:J500"/>
    <mergeCell ref="E340:F340"/>
    <mergeCell ref="M24:N24"/>
    <mergeCell ref="B59:D59"/>
    <mergeCell ref="I231:J231"/>
    <mergeCell ref="I529:J529"/>
    <mergeCell ref="B448:D451"/>
    <mergeCell ref="I501:J501"/>
    <mergeCell ref="K259:L259"/>
    <mergeCell ref="G99:H99"/>
    <mergeCell ref="M324:N324"/>
    <mergeCell ref="I74:J74"/>
    <mergeCell ref="E68:F68"/>
    <mergeCell ref="G155:H155"/>
    <mergeCell ref="E427:F427"/>
    <mergeCell ref="K290:L290"/>
    <mergeCell ref="G157:H157"/>
    <mergeCell ref="G132:H132"/>
    <mergeCell ref="M319:N319"/>
    <mergeCell ref="G455:H455"/>
    <mergeCell ref="G430:H430"/>
    <mergeCell ref="M477:N477"/>
    <mergeCell ref="O417:P417"/>
    <mergeCell ref="M354:N354"/>
    <mergeCell ref="K321:L321"/>
    <mergeCell ref="G457:H457"/>
    <mergeCell ref="I215:J215"/>
    <mergeCell ref="G484:H484"/>
    <mergeCell ref="O419:P419"/>
    <mergeCell ref="O541:P541"/>
    <mergeCell ref="G152:H152"/>
    <mergeCell ref="K8:L8"/>
    <mergeCell ref="K279:L279"/>
    <mergeCell ref="M37:N37"/>
    <mergeCell ref="M379:N379"/>
    <mergeCell ref="E373:Q373"/>
    <mergeCell ref="I216:J216"/>
    <mergeCell ref="M381:N381"/>
    <mergeCell ref="K308:L308"/>
    <mergeCell ref="M38:N38"/>
    <mergeCell ref="I245:J245"/>
    <mergeCell ref="K274:L274"/>
    <mergeCell ref="G212:H212"/>
    <mergeCell ref="G510:H510"/>
    <mergeCell ref="E404:F404"/>
    <mergeCell ref="O445:P445"/>
    <mergeCell ref="G56:H56"/>
    <mergeCell ref="M338:N338"/>
    <mergeCell ref="K305:L305"/>
    <mergeCell ref="G468:H468"/>
    <mergeCell ref="B216:D219"/>
    <mergeCell ref="I120:J120"/>
    <mergeCell ref="I278:J278"/>
    <mergeCell ref="K36:L36"/>
    <mergeCell ref="I234:J234"/>
    <mergeCell ref="Q156:Q159"/>
    <mergeCell ref="K334:L334"/>
    <mergeCell ref="E243:Q243"/>
    <mergeCell ref="K300:L300"/>
    <mergeCell ref="B127:D127"/>
    <mergeCell ref="K361:L361"/>
    <mergeCell ref="E9:F9"/>
    <mergeCell ref="E167:F167"/>
    <mergeCell ref="E438:F438"/>
    <mergeCell ref="O498:P498"/>
    <mergeCell ref="Q180:Q183"/>
    <mergeCell ref="M425:N425"/>
    <mergeCell ref="K204:L204"/>
    <mergeCell ref="E11:F11"/>
    <mergeCell ref="E169:F169"/>
    <mergeCell ref="E467:F467"/>
    <mergeCell ref="G225:H225"/>
    <mergeCell ref="M427:N427"/>
    <mergeCell ref="E461:F461"/>
    <mergeCell ref="E383:Q383"/>
    <mergeCell ref="M420:N420"/>
    <mergeCell ref="E469:F469"/>
    <mergeCell ref="G227:H227"/>
    <mergeCell ref="G525:H525"/>
    <mergeCell ref="G444:H444"/>
    <mergeCell ref="B303:D303"/>
    <mergeCell ref="B288:D291"/>
    <mergeCell ref="M451:N451"/>
    <mergeCell ref="I168:J168"/>
    <mergeCell ref="E62:F62"/>
    <mergeCell ref="M295:N295"/>
    <mergeCell ref="Q24:Q27"/>
    <mergeCell ref="G97:H97"/>
    <mergeCell ref="E153:F153"/>
    <mergeCell ref="K261:L261"/>
    <mergeCell ref="G128:H128"/>
    <mergeCell ref="E364:F364"/>
    <mergeCell ref="M448:N448"/>
    <mergeCell ref="E313:Q313"/>
    <mergeCell ref="G121:H121"/>
    <mergeCell ref="I344:J344"/>
    <mergeCell ref="Q228:Q231"/>
    <mergeCell ref="B132:D135"/>
    <mergeCell ref="G123:H123"/>
    <mergeCell ref="B233:D233"/>
    <mergeCell ref="B227:D227"/>
    <mergeCell ref="K250:L250"/>
    <mergeCell ref="B199:D199"/>
    <mergeCell ref="K408:L408"/>
    <mergeCell ref="E75:F75"/>
    <mergeCell ref="M377:N377"/>
    <mergeCell ref="B29:Q29"/>
    <mergeCell ref="E531:F531"/>
    <mergeCell ref="O441:P441"/>
    <mergeCell ref="E235:F235"/>
    <mergeCell ref="G297:H297"/>
    <mergeCell ref="Q248:Q251"/>
    <mergeCell ref="O434:P434"/>
    <mergeCell ref="G508:H508"/>
    <mergeCell ref="G299:H299"/>
    <mergeCell ref="I57:J57"/>
    <mergeCell ref="I355:J355"/>
    <mergeCell ref="K32:L32"/>
    <mergeCell ref="I268:J268"/>
    <mergeCell ref="K330:L330"/>
    <mergeCell ref="I357:J357"/>
    <mergeCell ref="I111:J111"/>
    <mergeCell ref="M519:N519"/>
    <mergeCell ref="K421:L421"/>
    <mergeCell ref="K27:L27"/>
    <mergeCell ref="G192:H192"/>
    <mergeCell ref="K327:L327"/>
    <mergeCell ref="O454:P454"/>
    <mergeCell ref="B297:D297"/>
    <mergeCell ref="E465:F465"/>
    <mergeCell ref="G521:H521"/>
    <mergeCell ref="I251:J251"/>
    <mergeCell ref="K9:L9"/>
    <mergeCell ref="I287:J287"/>
    <mergeCell ref="O449:P449"/>
    <mergeCell ref="I281:J281"/>
    <mergeCell ref="K474:L474"/>
    <mergeCell ref="K11:L11"/>
    <mergeCell ref="I411:J411"/>
    <mergeCell ref="K169:L169"/>
    <mergeCell ref="M109:N109"/>
    <mergeCell ref="K345:L345"/>
    <mergeCell ref="E177:F177"/>
    <mergeCell ref="Q318:Q321"/>
    <mergeCell ref="M538:N538"/>
    <mergeCell ref="E475:F475"/>
    <mergeCell ref="G249:H249"/>
    <mergeCell ref="E176:F176"/>
    <mergeCell ref="E447:F447"/>
    <mergeCell ref="G205:H205"/>
    <mergeCell ref="K469:L469"/>
    <mergeCell ref="M409:N409"/>
    <mergeCell ref="M531:N531"/>
    <mergeCell ref="K257:L257"/>
    <mergeCell ref="M15:N15"/>
    <mergeCell ref="G539:H539"/>
    <mergeCell ref="M444:N444"/>
    <mergeCell ref="M104:N104"/>
    <mergeCell ref="O297:P297"/>
    <mergeCell ref="G234:H234"/>
    <mergeCell ref="B327:D327"/>
    <mergeCell ref="E144:F144"/>
    <mergeCell ref="I315:J315"/>
    <mergeCell ref="M404:N404"/>
    <mergeCell ref="E478:F478"/>
    <mergeCell ref="K371:L371"/>
    <mergeCell ref="I429:J429"/>
    <mergeCell ref="O379:P379"/>
    <mergeCell ref="K398:L398"/>
    <mergeCell ref="M460:N460"/>
    <mergeCell ref="Q48:Q51"/>
    <mergeCell ref="I300:J300"/>
    <mergeCell ref="E393:Q393"/>
    <mergeCell ref="I335:J335"/>
    <mergeCell ref="E204:F204"/>
    <mergeCell ref="Q348:Q351"/>
    <mergeCell ref="K399:L399"/>
    <mergeCell ref="M157:N157"/>
    <mergeCell ref="E231:F231"/>
    <mergeCell ref="E206:F206"/>
    <mergeCell ref="B467:D467"/>
    <mergeCell ref="E504:F504"/>
    <mergeCell ref="E529:F529"/>
    <mergeCell ref="O520:P520"/>
    <mergeCell ref="M457:N457"/>
    <mergeCell ref="I351:J351"/>
    <mergeCell ref="E74:F74"/>
    <mergeCell ref="E151:Q151"/>
    <mergeCell ref="O521:P521"/>
    <mergeCell ref="G290:H290"/>
    <mergeCell ref="I48:J48"/>
    <mergeCell ref="E19:Q19"/>
    <mergeCell ref="M490:N490"/>
    <mergeCell ref="K417:L417"/>
    <mergeCell ref="K427:L427"/>
    <mergeCell ref="I354:J354"/>
    <mergeCell ref="G321:H321"/>
    <mergeCell ref="E217:F217"/>
    <mergeCell ref="M475:N475"/>
    <mergeCell ref="K298:L298"/>
    <mergeCell ref="M176:N176"/>
    <mergeCell ref="I81:J81"/>
    <mergeCell ref="I379:J379"/>
    <mergeCell ref="E129:F129"/>
    <mergeCell ref="O539:P539"/>
    <mergeCell ref="G194:H194"/>
    <mergeCell ref="I381:J381"/>
    <mergeCell ref="M201:N201"/>
    <mergeCell ref="E131:F131"/>
    <mergeCell ref="E87:F87"/>
    <mergeCell ref="E493:Q493"/>
    <mergeCell ref="B41:Q41"/>
    <mergeCell ref="G494:H494"/>
    <mergeCell ref="K445:L445"/>
    <mergeCell ref="M203:N203"/>
    <mergeCell ref="G189:H189"/>
    <mergeCell ref="K438:L438"/>
    <mergeCell ref="E270:F270"/>
    <mergeCell ref="K465:L465"/>
    <mergeCell ref="G334:H334"/>
    <mergeCell ref="I521:J521"/>
    <mergeCell ref="M529:N529"/>
    <mergeCell ref="O287:P287"/>
    <mergeCell ref="B323:D323"/>
    <mergeCell ref="B338:D341"/>
    <mergeCell ref="K367:L367"/>
    <mergeCell ref="O289:P289"/>
    <mergeCell ref="K498:L498"/>
    <mergeCell ref="I425:J425"/>
    <mergeCell ref="K158:L158"/>
    <mergeCell ref="B107:D107"/>
    <mergeCell ref="I304:J304"/>
    <mergeCell ref="E523:Q523"/>
    <mergeCell ref="K369:L369"/>
    <mergeCell ref="I427:J427"/>
    <mergeCell ref="K489:L489"/>
    <mergeCell ref="M247:N247"/>
    <mergeCell ref="K527:L527"/>
    <mergeCell ref="B407:D407"/>
    <mergeCell ref="E200:F200"/>
    <mergeCell ref="M257:N257"/>
    <mergeCell ref="K364:L364"/>
    <mergeCell ref="B463:D463"/>
    <mergeCell ref="E500:F500"/>
    <mergeCell ref="G258:H258"/>
    <mergeCell ref="K484:L484"/>
    <mergeCell ref="I451:J451"/>
    <mergeCell ref="E291:F291"/>
    <mergeCell ref="G49:H49"/>
    <mergeCell ref="M428:N428"/>
    <mergeCell ref="I24:J24"/>
    <mergeCell ref="G260:H260"/>
    <mergeCell ref="K509:L509"/>
    <mergeCell ref="G259:H259"/>
    <mergeCell ref="I324:J324"/>
    <mergeCell ref="B31:D31"/>
    <mergeCell ref="K511:L511"/>
    <mergeCell ref="G261:H261"/>
    <mergeCell ref="K212:L212"/>
    <mergeCell ref="I448:J448"/>
    <mergeCell ref="K206:L206"/>
    <mergeCell ref="K510:L510"/>
    <mergeCell ref="K540:L540"/>
    <mergeCell ref="M181:N181"/>
    <mergeCell ref="I319:J319"/>
    <mergeCell ref="E213:F213"/>
    <mergeCell ref="E344:F344"/>
    <mergeCell ref="G400:H400"/>
    <mergeCell ref="M481:N481"/>
    <mergeCell ref="E39:F39"/>
    <mergeCell ref="O36:P36"/>
    <mergeCell ref="E215:F215"/>
    <mergeCell ref="E337:F337"/>
    <mergeCell ref="O334:P334"/>
    <mergeCell ref="I464:J464"/>
    <mergeCell ref="Q60:Q63"/>
    <mergeCell ref="I377:J377"/>
    <mergeCell ref="E339:F339"/>
    <mergeCell ref="Q358:Q361"/>
    <mergeCell ref="I37:J37"/>
    <mergeCell ref="I159:J159"/>
    <mergeCell ref="G401:H401"/>
    <mergeCell ref="K439:L439"/>
    <mergeCell ref="K224:L224"/>
    <mergeCell ref="K441:L441"/>
    <mergeCell ref="M288:N288"/>
    <mergeCell ref="K434:L434"/>
    <mergeCell ref="K225:L225"/>
    <mergeCell ref="M499:N499"/>
    <mergeCell ref="I461:J461"/>
    <mergeCell ref="E57:F57"/>
    <mergeCell ref="I249:J249"/>
    <mergeCell ref="E355:F355"/>
    <mergeCell ref="M200:N200"/>
    <mergeCell ref="G32:H32"/>
    <mergeCell ref="M194:N194"/>
    <mergeCell ref="E268:F268"/>
    <mergeCell ref="G330:H330"/>
    <mergeCell ref="I63:J63"/>
    <mergeCell ref="O258:P258"/>
    <mergeCell ref="M494:N494"/>
    <mergeCell ref="I388:J388"/>
    <mergeCell ref="B36:D39"/>
    <mergeCell ref="G421:H421"/>
    <mergeCell ref="G27:H27"/>
    <mergeCell ref="B65:Q65"/>
    <mergeCell ref="O260:P260"/>
    <mergeCell ref="I390:J390"/>
    <mergeCell ref="B103:D103"/>
    <mergeCell ref="E140:F140"/>
    <mergeCell ref="B458:D461"/>
    <mergeCell ref="G327:H327"/>
    <mergeCell ref="I85:J85"/>
    <mergeCell ref="I389:J389"/>
    <mergeCell ref="K454:L454"/>
    <mergeCell ref="B403:D403"/>
    <mergeCell ref="M370:N370"/>
    <mergeCell ref="I93:J93"/>
    <mergeCell ref="I391:J391"/>
    <mergeCell ref="M213:N213"/>
    <mergeCell ref="E287:F287"/>
    <mergeCell ref="G45:H45"/>
    <mergeCell ref="K449:L449"/>
    <mergeCell ref="E281:F281"/>
    <mergeCell ref="B7:D7"/>
    <mergeCell ref="Q458:Q461"/>
    <mergeCell ref="G501:H501"/>
    <mergeCell ref="I530:J530"/>
    <mergeCell ref="G47:H47"/>
    <mergeCell ref="I109:J109"/>
    <mergeCell ref="G345:H345"/>
    <mergeCell ref="G467:H467"/>
    <mergeCell ref="B131:D131"/>
    <mergeCell ref="B307:D307"/>
    <mergeCell ref="I119:J119"/>
    <mergeCell ref="I531:J531"/>
    <mergeCell ref="I444:J444"/>
    <mergeCell ref="I419:J419"/>
    <mergeCell ref="K177:L177"/>
    <mergeCell ref="I104:J104"/>
    <mergeCell ref="K475:L475"/>
    <mergeCell ref="G71:H71"/>
    <mergeCell ref="E8:F8"/>
    <mergeCell ref="K508:L508"/>
    <mergeCell ref="M539:N539"/>
    <mergeCell ref="G371:H371"/>
    <mergeCell ref="O32:P32"/>
    <mergeCell ref="E308:F308"/>
    <mergeCell ref="O26:P26"/>
    <mergeCell ref="O330:P330"/>
    <mergeCell ref="B447:D447"/>
    <mergeCell ref="O324:P324"/>
    <mergeCell ref="E335:F335"/>
    <mergeCell ref="G68:H68"/>
    <mergeCell ref="I155:J155"/>
    <mergeCell ref="G427:H427"/>
    <mergeCell ref="O27:P27"/>
    <mergeCell ref="B408:D411"/>
    <mergeCell ref="G399:H399"/>
    <mergeCell ref="I157:J157"/>
    <mergeCell ref="I193:J193"/>
    <mergeCell ref="G213:H213"/>
    <mergeCell ref="G270:H270"/>
    <mergeCell ref="M321:N321"/>
    <mergeCell ref="I457:J457"/>
    <mergeCell ref="K215:L215"/>
    <mergeCell ref="K92:L92"/>
    <mergeCell ref="E361:F361"/>
    <mergeCell ref="K521:L521"/>
    <mergeCell ref="G117:H117"/>
    <mergeCell ref="M279:N279"/>
    <mergeCell ref="I488:J488"/>
    <mergeCell ref="B428:D431"/>
    <mergeCell ref="E48:F48"/>
    <mergeCell ref="I61:J61"/>
    <mergeCell ref="I183:J183"/>
    <mergeCell ref="G425:H425"/>
    <mergeCell ref="M281:N281"/>
    <mergeCell ref="O381:P381"/>
    <mergeCell ref="I490:J490"/>
    <mergeCell ref="K248:L248"/>
    <mergeCell ref="G417:H417"/>
    <mergeCell ref="I517:J517"/>
    <mergeCell ref="K247:L247"/>
    <mergeCell ref="I212:J212"/>
    <mergeCell ref="I519:J519"/>
    <mergeCell ref="K277:L277"/>
    <mergeCell ref="I475:J475"/>
    <mergeCell ref="G298:H298"/>
    <mergeCell ref="I56:J56"/>
    <mergeCell ref="M13:N13"/>
    <mergeCell ref="K249:L249"/>
    <mergeCell ref="I176:J176"/>
    <mergeCell ref="M305:N305"/>
    <mergeCell ref="E379:F379"/>
    <mergeCell ref="M341:N341"/>
    <mergeCell ref="E250:F250"/>
    <mergeCell ref="M307:N307"/>
    <mergeCell ref="E110:F110"/>
    <mergeCell ref="E381:F381"/>
    <mergeCell ref="I201:J201"/>
    <mergeCell ref="E380:F380"/>
    <mergeCell ref="B215:D215"/>
    <mergeCell ref="B513:D513"/>
    <mergeCell ref="B60:D63"/>
    <mergeCell ref="E410:F410"/>
    <mergeCell ref="B358:D361"/>
    <mergeCell ref="E251:F251"/>
    <mergeCell ref="G9:H9"/>
    <mergeCell ref="G140:H140"/>
    <mergeCell ref="G438:H438"/>
    <mergeCell ref="G474:H474"/>
    <mergeCell ref="G11:H11"/>
    <mergeCell ref="K419:L419"/>
    <mergeCell ref="I204:J204"/>
    <mergeCell ref="G440:H440"/>
    <mergeCell ref="B427:D427"/>
    <mergeCell ref="E92:F92"/>
    <mergeCell ref="B144:D147"/>
    <mergeCell ref="E311:F311"/>
    <mergeCell ref="G69:H69"/>
    <mergeCell ref="G367:H367"/>
    <mergeCell ref="O451:P451"/>
    <mergeCell ref="E304:F304"/>
    <mergeCell ref="M537:N537"/>
    <mergeCell ref="O295:P295"/>
    <mergeCell ref="E95:F95"/>
    <mergeCell ref="E343:Q343"/>
    <mergeCell ref="G369:H369"/>
    <mergeCell ref="Q108:Q111"/>
    <mergeCell ref="G527:H527"/>
    <mergeCell ref="K347:L347"/>
    <mergeCell ref="Q144:Q147"/>
    <mergeCell ref="G368:H368"/>
    <mergeCell ref="K191:L191"/>
    <mergeCell ref="G153:H153"/>
    <mergeCell ref="B115:D115"/>
    <mergeCell ref="I128:J128"/>
    <mergeCell ref="G364:H364"/>
    <mergeCell ref="M407:N407"/>
    <mergeCell ref="I428:J428"/>
    <mergeCell ref="E24:F24"/>
    <mergeCell ref="K344:L344"/>
    <mergeCell ref="M250:N250"/>
    <mergeCell ref="E324:F324"/>
    <mergeCell ref="M110:N110"/>
    <mergeCell ref="M408:N408"/>
    <mergeCell ref="G240:H240"/>
    <mergeCell ref="G538:H538"/>
    <mergeCell ref="B113:Q113"/>
    <mergeCell ref="I146:J146"/>
    <mergeCell ref="M410:N410"/>
    <mergeCell ref="G540:H540"/>
    <mergeCell ref="I181:J181"/>
    <mergeCell ref="G83:H83"/>
    <mergeCell ref="I479:J479"/>
    <mergeCell ref="E319:F319"/>
    <mergeCell ref="I515:J515"/>
    <mergeCell ref="E477:F477"/>
    <mergeCell ref="G235:H235"/>
    <mergeCell ref="I297:J297"/>
    <mergeCell ref="K245:L245"/>
    <mergeCell ref="M301:N301"/>
    <mergeCell ref="M337:N337"/>
    <mergeCell ref="I299:J299"/>
    <mergeCell ref="E464:F464"/>
    <mergeCell ref="M309:N309"/>
    <mergeCell ref="M32:N32"/>
    <mergeCell ref="M330:N330"/>
    <mergeCell ref="B298:D301"/>
    <mergeCell ref="E37:F37"/>
    <mergeCell ref="E159:F159"/>
    <mergeCell ref="E47:F47"/>
    <mergeCell ref="E459:F459"/>
    <mergeCell ref="M304:N304"/>
    <mergeCell ref="B179:D179"/>
    <mergeCell ref="G434:H434"/>
    <mergeCell ref="G470:H470"/>
    <mergeCell ref="I228:J228"/>
    <mergeCell ref="O527:P527"/>
    <mergeCell ref="I200:J200"/>
    <mergeCell ref="I194:J194"/>
    <mergeCell ref="B197:Q197"/>
    <mergeCell ref="E63:F63"/>
    <mergeCell ref="E323:Q323"/>
    <mergeCell ref="I528:J528"/>
    <mergeCell ref="I71:J71"/>
    <mergeCell ref="K258:L258"/>
    <mergeCell ref="G465:H465"/>
    <mergeCell ref="I494:J494"/>
    <mergeCell ref="O537:P537"/>
    <mergeCell ref="K260:L260"/>
    <mergeCell ref="K287:L287"/>
    <mergeCell ref="E119:F119"/>
    <mergeCell ref="M474:N474"/>
    <mergeCell ref="O414:P414"/>
    <mergeCell ref="E85:F85"/>
    <mergeCell ref="E389:F389"/>
    <mergeCell ref="K289:L289"/>
    <mergeCell ref="G183:H183"/>
    <mergeCell ref="E419:F419"/>
    <mergeCell ref="O538:P538"/>
    <mergeCell ref="I370:J370"/>
    <mergeCell ref="E93:F93"/>
    <mergeCell ref="G193:H193"/>
    <mergeCell ref="K13:L13"/>
    <mergeCell ref="E391:F391"/>
    <mergeCell ref="B168:D171"/>
    <mergeCell ref="O540:P540"/>
    <mergeCell ref="E122:F122"/>
    <mergeCell ref="K15:L15"/>
    <mergeCell ref="I213:J213"/>
    <mergeCell ref="E420:F420"/>
    <mergeCell ref="G449:H449"/>
    <mergeCell ref="M378:N378"/>
    <mergeCell ref="K315:L315"/>
    <mergeCell ref="E147:F147"/>
    <mergeCell ref="M371:N371"/>
    <mergeCell ref="E451:F451"/>
    <mergeCell ref="E445:F445"/>
    <mergeCell ref="O460:P460"/>
    <mergeCell ref="G509:H509"/>
    <mergeCell ref="A1:D3"/>
    <mergeCell ref="G177:H177"/>
    <mergeCell ref="E104:F104"/>
    <mergeCell ref="G204:H204"/>
    <mergeCell ref="G475:H475"/>
    <mergeCell ref="G511:H511"/>
    <mergeCell ref="I269:J269"/>
    <mergeCell ref="M518:N518"/>
    <mergeCell ref="I241:J241"/>
    <mergeCell ref="B538:D541"/>
    <mergeCell ref="I539:J539"/>
    <mergeCell ref="K360:L360"/>
    <mergeCell ref="E489:F489"/>
    <mergeCell ref="B108:D111"/>
    <mergeCell ref="I409:J409"/>
    <mergeCell ref="E132:F132"/>
    <mergeCell ref="E430:F430"/>
    <mergeCell ref="M417:N417"/>
    <mergeCell ref="E491:F491"/>
    <mergeCell ref="G224:H224"/>
    <mergeCell ref="B211:D211"/>
    <mergeCell ref="B268:D271"/>
    <mergeCell ref="I321:J321"/>
    <mergeCell ref="M419:N419"/>
    <mergeCell ref="I165:J165"/>
    <mergeCell ref="E59:F59"/>
    <mergeCell ref="E61:F61"/>
    <mergeCell ref="E359:F359"/>
    <mergeCell ref="K387:L387"/>
    <mergeCell ref="K381:L381"/>
    <mergeCell ref="E103:Q103"/>
    <mergeCell ref="E517:F517"/>
    <mergeCell ref="E212:F212"/>
    <mergeCell ref="M445:N445"/>
    <mergeCell ref="E519:F519"/>
    <mergeCell ref="G277:H277"/>
    <mergeCell ref="E56:F56"/>
    <mergeCell ref="B353:D353"/>
    <mergeCell ref="O534:P534"/>
    <mergeCell ref="K397:L397"/>
    <mergeCell ref="G120:H120"/>
    <mergeCell ref="G278:H278"/>
    <mergeCell ref="I36:J36"/>
    <mergeCell ref="E7:Q7"/>
    <mergeCell ref="I334:J334"/>
    <mergeCell ref="B498:D501"/>
    <mergeCell ref="E463:Q463"/>
    <mergeCell ref="E230:F230"/>
    <mergeCell ref="K311:L311"/>
    <mergeCell ref="M367:N367"/>
    <mergeCell ref="M498:N498"/>
    <mergeCell ref="K425:L425"/>
    <mergeCell ref="K400:L400"/>
    <mergeCell ref="M158:N158"/>
    <mergeCell ref="E530:F530"/>
    <mergeCell ref="M375:N375"/>
    <mergeCell ref="G419:H419"/>
    <mergeCell ref="G207:H207"/>
    <mergeCell ref="M369:N369"/>
    <mergeCell ref="G505:H505"/>
    <mergeCell ref="E225:F225"/>
    <mergeCell ref="M489:N489"/>
    <mergeCell ref="G200:H200"/>
    <mergeCell ref="O257:P257"/>
    <mergeCell ref="K539:L539"/>
    <mergeCell ref="G507:H507"/>
    <mergeCell ref="I265:J265"/>
    <mergeCell ref="E227:F227"/>
    <mergeCell ref="E444:F444"/>
    <mergeCell ref="O435:P435"/>
    <mergeCell ref="K329:L329"/>
    <mergeCell ref="G291:H291"/>
    <mergeCell ref="K451:L451"/>
    <mergeCell ref="B253:D253"/>
    <mergeCell ref="K24:L24"/>
    <mergeCell ref="K295:L295"/>
    <mergeCell ref="I260:J260"/>
    <mergeCell ref="G347:H347"/>
    <mergeCell ref="K26:L26"/>
    <mergeCell ref="M359:N359"/>
    <mergeCell ref="K324:L324"/>
    <mergeCell ref="M219:N219"/>
    <mergeCell ref="E156:F156"/>
    <mergeCell ref="E460:F460"/>
    <mergeCell ref="M517:N517"/>
    <mergeCell ref="M511:N511"/>
    <mergeCell ref="E128:F128"/>
    <mergeCell ref="E155:F155"/>
    <mergeCell ref="I407:J407"/>
    <mergeCell ref="Q388:Q391"/>
    <mergeCell ref="E157:F157"/>
    <mergeCell ref="E428:F428"/>
    <mergeCell ref="G344:H344"/>
    <mergeCell ref="E79:Q79"/>
    <mergeCell ref="I284:J284"/>
    <mergeCell ref="G520:H520"/>
    <mergeCell ref="I250:J250"/>
    <mergeCell ref="G215:H215"/>
    <mergeCell ref="E457:F457"/>
    <mergeCell ref="I110:J110"/>
    <mergeCell ref="I408:J408"/>
    <mergeCell ref="K464:L464"/>
    <mergeCell ref="K377:L377"/>
    <mergeCell ref="M439:N439"/>
    <mergeCell ref="I279:J279"/>
    <mergeCell ref="K37:L37"/>
    <mergeCell ref="E146:F146"/>
    <mergeCell ref="I410:J410"/>
    <mergeCell ref="K168:L168"/>
    <mergeCell ref="E298:F298"/>
    <mergeCell ref="B293:D293"/>
    <mergeCell ref="M441:N441"/>
    <mergeCell ref="O497:P497"/>
    <mergeCell ref="E297:F297"/>
    <mergeCell ref="Q12:Q15"/>
    <mergeCell ref="M530:N530"/>
    <mergeCell ref="O288:P288"/>
    <mergeCell ref="G241:H241"/>
    <mergeCell ref="O499:P499"/>
    <mergeCell ref="E299:F299"/>
    <mergeCell ref="G355:H355"/>
    <mergeCell ref="B89:Q89"/>
    <mergeCell ref="B19:D19"/>
    <mergeCell ref="B317:D317"/>
    <mergeCell ref="I32:J32"/>
    <mergeCell ref="I330:J330"/>
    <mergeCell ref="E170:F170"/>
    <mergeCell ref="K63:L63"/>
    <mergeCell ref="I305:J305"/>
    <mergeCell ref="K96:L96"/>
    <mergeCell ref="E201:F201"/>
    <mergeCell ref="B278:D281"/>
    <mergeCell ref="G388:H388"/>
    <mergeCell ref="K98:L98"/>
    <mergeCell ref="K390:L390"/>
    <mergeCell ref="Q338:Q341"/>
    <mergeCell ref="B17:Q17"/>
    <mergeCell ref="M156:N156"/>
    <mergeCell ref="M454:N454"/>
    <mergeCell ref="K93:L93"/>
    <mergeCell ref="M155:N155"/>
    <mergeCell ref="I60:J60"/>
    <mergeCell ref="O518:P518"/>
    <mergeCell ref="E443:Q443"/>
    <mergeCell ref="K537:L537"/>
    <mergeCell ref="I360:J360"/>
    <mergeCell ref="G287:H287"/>
    <mergeCell ref="I45:J45"/>
    <mergeCell ref="M180:N180"/>
    <mergeCell ref="E254:F254"/>
    <mergeCell ref="E473:Q473"/>
    <mergeCell ref="K238:L238"/>
    <mergeCell ref="B243:D243"/>
    <mergeCell ref="K414:L414"/>
    <mergeCell ref="I474:J474"/>
    <mergeCell ref="B363:D363"/>
    <mergeCell ref="O215:P215"/>
    <mergeCell ref="G289:H289"/>
    <mergeCell ref="I47:J47"/>
    <mergeCell ref="K109:L109"/>
    <mergeCell ref="M182:N182"/>
    <mergeCell ref="I345:J345"/>
    <mergeCell ref="B373:D373"/>
    <mergeCell ref="K240:L240"/>
    <mergeCell ref="M480:N480"/>
    <mergeCell ref="K538:L538"/>
    <mergeCell ref="G13:H13"/>
    <mergeCell ref="E249:F249"/>
    <mergeCell ref="K111:L111"/>
    <mergeCell ref="K409:L409"/>
    <mergeCell ref="Q84:Q87"/>
    <mergeCell ref="G314:H314"/>
    <mergeCell ref="E241:F241"/>
    <mergeCell ref="E539:F539"/>
    <mergeCell ref="I534:J534"/>
    <mergeCell ref="Q418:Q421"/>
    <mergeCell ref="E257:F257"/>
    <mergeCell ref="G15:H15"/>
    <mergeCell ref="M515:N515"/>
    <mergeCell ref="M297:N297"/>
    <mergeCell ref="G305:H305"/>
    <mergeCell ref="B161:Q161"/>
    <mergeCell ref="B91:D91"/>
    <mergeCell ref="G315:H315"/>
    <mergeCell ref="I73:J73"/>
    <mergeCell ref="I371:J371"/>
    <mergeCell ref="K460:L460"/>
    <mergeCell ref="E267:F267"/>
    <mergeCell ref="E425:F425"/>
    <mergeCell ref="K164:L164"/>
    <mergeCell ref="E269:F269"/>
    <mergeCell ref="Q288:Q291"/>
    <mergeCell ref="I518:J518"/>
    <mergeCell ref="O328:P328"/>
    <mergeCell ref="O284:P284"/>
    <mergeCell ref="M520:N520"/>
    <mergeCell ref="O294:P294"/>
    <mergeCell ref="B313:D313"/>
    <mergeCell ref="B72:D75"/>
    <mergeCell ref="B248:D251"/>
    <mergeCell ref="G239:H239"/>
    <mergeCell ref="K59:L59"/>
    <mergeCell ref="I117:J117"/>
    <mergeCell ref="I92:J92"/>
    <mergeCell ref="K488:L488"/>
    <mergeCell ref="K61:L61"/>
    <mergeCell ref="E409:F409"/>
    <mergeCell ref="E513:Q513"/>
    <mergeCell ref="K359:L359"/>
    <mergeCell ref="M254:N254"/>
    <mergeCell ref="O12:P12"/>
    <mergeCell ref="K490:L490"/>
    <mergeCell ref="I417:J417"/>
    <mergeCell ref="G384:H384"/>
    <mergeCell ref="E321:F321"/>
    <mergeCell ref="Q36:Q39"/>
    <mergeCell ref="O14:P14"/>
    <mergeCell ref="G255:H255"/>
    <mergeCell ref="E497:F497"/>
    <mergeCell ref="K62:L62"/>
    <mergeCell ref="K193:L193"/>
    <mergeCell ref="O13:P13"/>
    <mergeCell ref="E192:F192"/>
    <mergeCell ref="M249:N249"/>
    <mergeCell ref="K491:L491"/>
    <mergeCell ref="G81:H81"/>
    <mergeCell ref="B388:D391"/>
    <mergeCell ref="E499:F499"/>
    <mergeCell ref="M285:N285"/>
    <mergeCell ref="G379:H379"/>
    <mergeCell ref="O15:P15"/>
    <mergeCell ref="E194:F194"/>
    <mergeCell ref="G387:H387"/>
    <mergeCell ref="I145:J145"/>
    <mergeCell ref="G381:H381"/>
    <mergeCell ref="B457:D457"/>
    <mergeCell ref="E494:F494"/>
    <mergeCell ref="I147:J147"/>
    <mergeCell ref="I445:J445"/>
    <mergeCell ref="K203:L203"/>
    <mergeCell ref="E139:Q139"/>
    <mergeCell ref="O25:P25"/>
    <mergeCell ref="G397:H397"/>
    <mergeCell ref="M478:N478"/>
    <mergeCell ref="E36:F36"/>
    <mergeCell ref="E334:F334"/>
    <mergeCell ref="B483:D483"/>
    <mergeCell ref="G311:H311"/>
    <mergeCell ref="I69:J69"/>
    <mergeCell ref="I367:J367"/>
    <mergeCell ref="I158:J158"/>
    <mergeCell ref="B387:D387"/>
    <mergeCell ref="I375:J375"/>
    <mergeCell ref="K133:L133"/>
    <mergeCell ref="I369:J369"/>
    <mergeCell ref="I489:J489"/>
    <mergeCell ref="I527:J527"/>
    <mergeCell ref="K135:L135"/>
    <mergeCell ref="M191:N191"/>
    <mergeCell ref="I72:J72"/>
    <mergeCell ref="I514:J514"/>
    <mergeCell ref="K435:L435"/>
    <mergeCell ref="O255:P255"/>
    <mergeCell ref="G451:H451"/>
    <mergeCell ref="B185:Q185"/>
    <mergeCell ref="M192:N192"/>
    <mergeCell ref="G24:H24"/>
    <mergeCell ref="E260:F260"/>
    <mergeCell ref="O415:P415"/>
    <mergeCell ref="I509:J509"/>
    <mergeCell ref="G26:H26"/>
    <mergeCell ref="G324:H324"/>
    <mergeCell ref="K275:L275"/>
    <mergeCell ref="I240:J240"/>
    <mergeCell ref="I511:J511"/>
    <mergeCell ref="E211:Q211"/>
    <mergeCell ref="I538:J538"/>
    <mergeCell ref="K304:L304"/>
    <mergeCell ref="I540:J540"/>
    <mergeCell ref="E407:F407"/>
    <mergeCell ref="K515:L515"/>
    <mergeCell ref="M368:N368"/>
    <mergeCell ref="M245:N245"/>
    <mergeCell ref="O39:P39"/>
    <mergeCell ref="M334:N334"/>
    <mergeCell ref="K60:L60"/>
    <mergeCell ref="E408:F408"/>
    <mergeCell ref="G464:H464"/>
    <mergeCell ref="G500:H500"/>
    <mergeCell ref="I141:J141"/>
    <mergeCell ref="G377:H377"/>
    <mergeCell ref="I439:J439"/>
    <mergeCell ref="E279:F279"/>
    <mergeCell ref="G37:H37"/>
    <mergeCell ref="O339:P339"/>
    <mergeCell ref="I230:J230"/>
    <mergeCell ref="E437:F437"/>
    <mergeCell ref="E55:Q55"/>
    <mergeCell ref="I143:J143"/>
    <mergeCell ref="G167:H167"/>
    <mergeCell ref="E353:Q353"/>
    <mergeCell ref="I441:J441"/>
    <mergeCell ref="K288:L288"/>
    <mergeCell ref="K207:L207"/>
    <mergeCell ref="K505:L505"/>
    <mergeCell ref="K499:L499"/>
    <mergeCell ref="K200:L200"/>
    <mergeCell ref="E32:F32"/>
    <mergeCell ref="E330:F330"/>
    <mergeCell ref="E305:F305"/>
    <mergeCell ref="G63:H63"/>
    <mergeCell ref="O23:P23"/>
    <mergeCell ref="G96:H96"/>
    <mergeCell ref="Q468:Q471"/>
    <mergeCell ref="E307:F307"/>
    <mergeCell ref="M294:N294"/>
    <mergeCell ref="Q478:Q481"/>
    <mergeCell ref="O24:P24"/>
    <mergeCell ref="K231:L231"/>
    <mergeCell ref="G98:H98"/>
    <mergeCell ref="M260:N260"/>
    <mergeCell ref="G390:H390"/>
    <mergeCell ref="E283:Q283"/>
    <mergeCell ref="M20:N20"/>
    <mergeCell ref="I156:J156"/>
    <mergeCell ref="I498:J498"/>
    <mergeCell ref="I454:J454"/>
    <mergeCell ref="G93:H93"/>
    <mergeCell ref="E60:F60"/>
    <mergeCell ref="B55:D55"/>
    <mergeCell ref="K264:L264"/>
    <mergeCell ref="B497:D497"/>
    <mergeCell ref="M320:N320"/>
    <mergeCell ref="E360:F360"/>
    <mergeCell ref="E45:F45"/>
    <mergeCell ref="I180:J180"/>
    <mergeCell ref="G424:H424"/>
    <mergeCell ref="I182:J182"/>
    <mergeCell ref="G109:H109"/>
    <mergeCell ref="E345:F345"/>
    <mergeCell ref="I480:J480"/>
    <mergeCell ref="B71:D71"/>
    <mergeCell ref="G119:H119"/>
    <mergeCell ref="B223:D223"/>
    <mergeCell ref="G295:H295"/>
    <mergeCell ref="O37:P37"/>
    <mergeCell ref="G111:H111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4  (10%)</t>
        </is>
      </c>
      <c r="H5" s="30" t="inlineStr">
        <is>
          <t>Vulpix  Lv 4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4  (8%)</t>
        </is>
      </c>
      <c r="L5" s="30" t="inlineStr">
        <is>
          <t>Quilava  Lv 4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4  (10%)</t>
        </is>
      </c>
      <c r="I7" s="30" t="inlineStr">
        <is>
          <t>Delibird  Lv 3  (10%)</t>
        </is>
      </c>
      <c r="J7" s="30" t="inlineStr">
        <is>
          <t>Nidoran F  Lv 4  (10%)</t>
        </is>
      </c>
      <c r="K7" s="30" t="inlineStr">
        <is>
          <t>Nidoran M  Lv 4  (9%)</t>
        </is>
      </c>
      <c r="L7" s="30" t="inlineStr">
        <is>
          <t>Fletchling  Lv 4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5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5  (10%)</t>
        </is>
      </c>
      <c r="K9" s="30" t="inlineStr">
        <is>
          <t>Mareep  Lv 5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4  (10%)</t>
        </is>
      </c>
      <c r="I14" s="30" t="inlineStr">
        <is>
          <t>Delibird  Lv 3  (10%)</t>
        </is>
      </c>
      <c r="J14" s="30" t="inlineStr">
        <is>
          <t>Nidoran F  Lv 4  (10%)</t>
        </is>
      </c>
      <c r="K14" s="30" t="inlineStr">
        <is>
          <t>Nidoran M  Lv 4  (9%)</t>
        </is>
      </c>
      <c r="L14" s="30" t="inlineStr">
        <is>
          <t>Fletchling  Lv 4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7  (10%)</t>
        </is>
      </c>
      <c r="I19" s="30" t="inlineStr">
        <is>
          <t>Deerling  Lv 6  (10%)</t>
        </is>
      </c>
      <c r="J19" s="30" t="inlineStr">
        <is>
          <t>Sewaddle  Lv 7  (10%)</t>
        </is>
      </c>
      <c r="K19" s="30" t="inlineStr">
        <is>
          <t>Chikorita  Lv 7  (10%)</t>
        </is>
      </c>
      <c r="L19" s="30" t="inlineStr">
        <is>
          <t>Snivy  Lv 7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Electrike  Lv 13  (18%)</t>
        </is>
      </c>
      <c r="F48" s="30" t="inlineStr">
        <is>
          <t>Timburr  Lv 13  (16%)</t>
        </is>
      </c>
      <c r="G48" s="30" t="inlineStr">
        <is>
          <t>Scraggy  Lv 14  (14%)</t>
        </is>
      </c>
      <c r="H48" s="30" t="inlineStr">
        <is>
          <t>Karrablast  Lv 13  (12%)</t>
        </is>
      </c>
      <c r="I48" s="30" t="inlineStr">
        <is>
          <t>Shelmet  Lv 13  (12%)</t>
        </is>
      </c>
      <c r="J48" s="30" t="inlineStr">
        <is>
          <t>Chingling  Lv 15  (10%)</t>
        </is>
      </c>
      <c r="K48" s="30" t="inlineStr">
        <is>
          <t>Litleo  Lv 14  (8%)</t>
        </is>
      </c>
      <c r="L48" s="30" t="inlineStr">
        <is>
          <t>Purrloin  Lv 13  (5%)</t>
        </is>
      </c>
    </row>
    <row r="49">
      <c r="E49" s="30" t="inlineStr">
        <is>
          <t>Pawniard  Lv 13  (5%)</t>
        </is>
      </c>
    </row>
    <row r="50">
      <c r="A50" s="7" t="inlineStr">
        <is>
          <t>Route 117</t>
        </is>
      </c>
      <c r="B50" s="6" t="inlineStr">
        <is>
          <t>Split 4</t>
        </is>
      </c>
      <c r="C50" s="75" t="inlineStr">
        <is>
          <t>Land</t>
        </is>
      </c>
      <c r="D50" s="6" t="n">
        <v>20</v>
      </c>
      <c r="E50" s="30" t="inlineStr">
        <is>
          <t>Oddish  Lv 13-14  (40%)</t>
        </is>
      </c>
      <c r="F50" s="30" t="inlineStr">
        <is>
          <t>Poochyena  Lv 13-14  (30%)</t>
        </is>
      </c>
      <c r="G50" s="30" t="inlineStr">
        <is>
          <t>Illumise  Lv 13-14  (18%)</t>
        </is>
      </c>
      <c r="H50" s="30" t="inlineStr">
        <is>
          <t>Marill  Lv 13  (10%)</t>
        </is>
      </c>
      <c r="I50" s="30" t="inlineStr">
        <is>
          <t>Volbeat  Lv 13  (1%)</t>
        </is>
      </c>
      <c r="J50" s="30" t="inlineStr">
        <is>
          <t>Seedot  Lv 13  (1%)</t>
        </is>
      </c>
    </row>
    <row r="51">
      <c r="A51" s="7" t="n"/>
      <c r="B51" s="6" t="n"/>
      <c r="C51" s="73" t="inlineStr">
        <is>
          <t>Water</t>
        </is>
      </c>
      <c r="D51" s="6" t="n">
        <v>4</v>
      </c>
      <c r="E51" s="30" t="inlineStr">
        <is>
          <t>Marill  Lv 30-34  (60%)</t>
        </is>
      </c>
      <c r="F51" s="30" t="inlineStr">
        <is>
          <t>Psyduck  Lv 30-34  (30%)</t>
        </is>
      </c>
      <c r="G51" s="30" t="inlineStr">
        <is>
          <t>Poliwag  Lv 30-34  (5%)</t>
        </is>
      </c>
      <c r="H51" s="30" t="inlineStr">
        <is>
          <t>Surskit  Lv 30-34  (4%)</t>
        </is>
      </c>
      <c r="I51" s="30" t="inlineStr">
        <is>
          <t>Wooper  Lv 30-34  (1%)</t>
        </is>
      </c>
    </row>
    <row r="52">
      <c r="A52" s="7" t="n"/>
      <c r="B52" s="6" t="n"/>
      <c r="C52" s="72" t="inlineStr">
        <is>
          <t>Old Rod</t>
        </is>
      </c>
      <c r="D52" s="6" t="n">
        <v>30</v>
      </c>
      <c r="E52" s="30" t="inlineStr">
        <is>
          <t>Magikarp  Lv 5-10  (70%)</t>
        </is>
      </c>
      <c r="F52" s="30" t="inlineStr">
        <is>
          <t>Goldeen  Lv 5-10  (30%)</t>
        </is>
      </c>
    </row>
    <row r="53">
      <c r="A53" s="7" t="n"/>
      <c r="B53" s="6" t="n"/>
      <c r="C53" s="73" t="inlineStr">
        <is>
          <t>Good Rod</t>
        </is>
      </c>
      <c r="D53" s="6" t="n">
        <v>30</v>
      </c>
      <c r="E53" s="30" t="inlineStr">
        <is>
          <t>Poliwag  Lv 30-32  (60%)</t>
        </is>
      </c>
      <c r="F53" s="30" t="inlineStr">
        <is>
          <t>Corphish  Lv 30-32  (20%)</t>
        </is>
      </c>
      <c r="G53" s="30" t="inlineStr">
        <is>
          <t>Barboach  Lv 30-32  (20%)</t>
        </is>
      </c>
    </row>
    <row r="54">
      <c r="A54" s="7" t="n"/>
      <c r="B54" s="6" t="n"/>
      <c r="C54" s="74" t="inlineStr">
        <is>
          <t>Super Rod</t>
        </is>
      </c>
      <c r="D54" s="6" t="n">
        <v>30</v>
      </c>
      <c r="E54" s="30" t="inlineStr">
        <is>
          <t>Poliwhirl  Lv 42-48  (40%)</t>
        </is>
      </c>
      <c r="F54" s="30" t="inlineStr">
        <is>
          <t>Crawdaunt  Lv 42-48  (40%)</t>
        </is>
      </c>
      <c r="G54" s="30" t="inlineStr">
        <is>
          <t>Whiscash  Lv 42-48  (15%)</t>
        </is>
      </c>
      <c r="H54" s="30" t="inlineStr">
        <is>
          <t>Quagsire  Lv 42-48  (4%)</t>
        </is>
      </c>
      <c r="I54" s="30" t="inlineStr">
        <is>
          <t>Feebas  Lv 42-48  (1%)</t>
        </is>
      </c>
    </row>
    <row r="55">
      <c r="A55" s="7" t="inlineStr">
        <is>
          <t>Route 118</t>
        </is>
      </c>
      <c r="B55" s="6" t="inlineStr">
        <is>
          <t>Split 6</t>
        </is>
      </c>
      <c r="C55" s="75" t="inlineStr">
        <is>
          <t>Land</t>
        </is>
      </c>
      <c r="D55" s="6" t="n">
        <v>20</v>
      </c>
      <c r="E55" s="30" t="inlineStr">
        <is>
          <t>Zigzagoon  Lv 24-26  (30%)</t>
        </is>
      </c>
      <c r="F55" s="30" t="inlineStr">
        <is>
          <t>Electrike  Lv 24-26  (30%)</t>
        </is>
      </c>
      <c r="G55" s="30" t="inlineStr">
        <is>
          <t>Wingull  Lv 25-27  (19%)</t>
        </is>
      </c>
      <c r="H55" s="30" t="inlineStr">
        <is>
          <t>Linoone  Lv 26  (10%)</t>
        </is>
      </c>
      <c r="I55" s="30" t="inlineStr">
        <is>
          <t>Manectric  Lv 26  (10%)</t>
        </is>
      </c>
      <c r="J55" s="30" t="inlineStr">
        <is>
          <t>Kecleon  Lv 25  (1%)</t>
        </is>
      </c>
    </row>
    <row r="56">
      <c r="A56" s="7" t="n"/>
      <c r="B56" s="6" t="n"/>
      <c r="C56" s="73" t="inlineStr">
        <is>
          <t>Water</t>
        </is>
      </c>
      <c r="D56" s="6" t="n">
        <v>4</v>
      </c>
      <c r="E56" s="30" t="inlineStr">
        <is>
          <t>Tentacool  Lv 5-35  (60%)</t>
        </is>
      </c>
      <c r="F56" s="30" t="inlineStr">
        <is>
          <t>Wingull  Lv 10-30  (35%)</t>
        </is>
      </c>
      <c r="G56" s="30" t="inlineStr">
        <is>
          <t>Pelipper  Lv 25-30  (5%)</t>
        </is>
      </c>
    </row>
    <row r="57">
      <c r="A57" s="7" t="n"/>
      <c r="B57" s="6" t="n"/>
      <c r="C57" s="72" t="inlineStr">
        <is>
          <t>Old Rod</t>
        </is>
      </c>
      <c r="D57" s="6" t="n">
        <v>30</v>
      </c>
      <c r="E57" s="30" t="inlineStr">
        <is>
          <t>Magikarp  Lv 5-10  (70%)</t>
        </is>
      </c>
      <c r="F57" s="30" t="inlineStr">
        <is>
          <t>Tentacool  Lv 5-10  (30%)</t>
        </is>
      </c>
    </row>
    <row r="58">
      <c r="A58" s="7" t="n"/>
      <c r="B58" s="6" t="n"/>
      <c r="C58" s="73" t="inlineStr">
        <is>
          <t>Good Rod</t>
        </is>
      </c>
      <c r="D58" s="6" t="n">
        <v>30</v>
      </c>
      <c r="E58" s="30" t="inlineStr">
        <is>
          <t>Magikarp  Lv 10-30  (60%)</t>
        </is>
      </c>
      <c r="F58" s="30" t="inlineStr">
        <is>
          <t>Tentacool  Lv 10-30  (20%)</t>
        </is>
      </c>
      <c r="G58" s="30" t="inlineStr">
        <is>
          <t>Carvanha  Lv 10-30  (20%)</t>
        </is>
      </c>
    </row>
    <row r="59">
      <c r="A59" s="7" t="n"/>
      <c r="B59" s="6" t="n"/>
      <c r="C59" s="74" t="inlineStr">
        <is>
          <t>Super Rod</t>
        </is>
      </c>
      <c r="D59" s="6" t="n">
        <v>30</v>
      </c>
      <c r="E59" s="30" t="inlineStr">
        <is>
          <t>Carvanha  Lv 20-45  (60%)</t>
        </is>
      </c>
      <c r="F59" s="30" t="inlineStr">
        <is>
          <t>Sharpedo  Lv 30-35  (40%)</t>
        </is>
      </c>
    </row>
    <row r="60">
      <c r="A60" s="7" t="inlineStr">
        <is>
          <t>Route 124</t>
        </is>
      </c>
      <c r="B60" s="6" t="inlineStr">
        <is>
          <t>Split 7</t>
        </is>
      </c>
      <c r="C60" s="73" t="inlineStr">
        <is>
          <t>Water</t>
        </is>
      </c>
      <c r="D60" s="6" t="n">
        <v>4</v>
      </c>
      <c r="E60" s="30" t="inlineStr">
        <is>
          <t>Tentacool  Lv 5-35  (60%)</t>
        </is>
      </c>
      <c r="F60" s="30" t="inlineStr">
        <is>
          <t>Wingull  Lv 10-30  (35%)</t>
        </is>
      </c>
      <c r="G60" s="30" t="inlineStr">
        <is>
          <t>Pelipper  Lv 25-30  (5%)</t>
        </is>
      </c>
    </row>
    <row r="61">
      <c r="A61" s="7" t="n"/>
      <c r="B61" s="6" t="n"/>
      <c r="C61" s="72" t="inlineStr">
        <is>
          <t>Old Rod</t>
        </is>
      </c>
      <c r="D61" s="6" t="n">
        <v>30</v>
      </c>
      <c r="E61" s="30" t="inlineStr">
        <is>
          <t>Magikarp  Lv 5-10  (70%)</t>
        </is>
      </c>
      <c r="F61" s="30" t="inlineStr">
        <is>
          <t>Tentacool  Lv 5-10  (30%)</t>
        </is>
      </c>
    </row>
    <row r="62">
      <c r="A62" s="7" t="n"/>
      <c r="B62" s="6" t="n"/>
      <c r="C62" s="73" t="inlineStr">
        <is>
          <t>Good Rod</t>
        </is>
      </c>
      <c r="D62" s="6" t="n">
        <v>30</v>
      </c>
      <c r="E62" s="30" t="inlineStr">
        <is>
          <t>Magikarp  Lv 10-30  (60%)</t>
        </is>
      </c>
      <c r="F62" s="30" t="inlineStr">
        <is>
          <t>Tentacool  Lv 10-30  (20%)</t>
        </is>
      </c>
      <c r="G62" s="30" t="inlineStr">
        <is>
          <t>Wailmer  Lv 10-30  (20%)</t>
        </is>
      </c>
    </row>
    <row r="63">
      <c r="A63" s="7" t="n"/>
      <c r="B63" s="6" t="n"/>
      <c r="C63" s="74" t="inlineStr">
        <is>
          <t>Super Rod</t>
        </is>
      </c>
      <c r="D63" s="6" t="n">
        <v>30</v>
      </c>
      <c r="E63" s="30" t="inlineStr">
        <is>
          <t>Wailmer  Lv 25-45  (60%)</t>
        </is>
      </c>
      <c r="F63" s="30" t="inlineStr">
        <is>
          <t>Sharpedo  Lv 30-35  (40%)</t>
        </is>
      </c>
    </row>
    <row r="64">
      <c r="A64" s="7" t="inlineStr">
        <is>
          <t>Petalburg Woods</t>
        </is>
      </c>
      <c r="B64" s="6" t="inlineStr">
        <is>
          <t>Split 2</t>
        </is>
      </c>
      <c r="C64" s="75" t="inlineStr">
        <is>
          <t>Land</t>
        </is>
      </c>
      <c r="D64" s="6" t="n">
        <v>20</v>
      </c>
      <c r="E64" s="30" t="inlineStr">
        <is>
          <t>Shroomish  Lv 11  (20%)</t>
        </is>
      </c>
      <c r="F64" s="30" t="inlineStr">
        <is>
          <t>Venipede  Lv 11  (20%)</t>
        </is>
      </c>
      <c r="G64" s="30" t="inlineStr">
        <is>
          <t>Spinarak  Lv 11  (10%)</t>
        </is>
      </c>
      <c r="H64" s="30" t="inlineStr">
        <is>
          <t>Paras  Lv 12  (10%)</t>
        </is>
      </c>
      <c r="I64" s="30" t="inlineStr">
        <is>
          <t>Nincada  Lv 11  (10%)</t>
        </is>
      </c>
      <c r="J64" s="30" t="inlineStr">
        <is>
          <t>Pineco  Lv 13  (10%)</t>
        </is>
      </c>
      <c r="K64" s="30" t="inlineStr">
        <is>
          <t>Foongus  Lv 13  (9%)</t>
        </is>
      </c>
      <c r="L64" s="30" t="inlineStr">
        <is>
          <t>Karrablast  Lv 12  (6%)</t>
        </is>
      </c>
    </row>
    <row r="65">
      <c r="E65" s="30" t="inlineStr">
        <is>
          <t>Shelmet  Lv 12  (5%)</t>
        </is>
      </c>
    </row>
    <row r="66">
      <c r="A66" s="7" t="inlineStr">
        <is>
          <t>Rustboro City</t>
        </is>
      </c>
      <c r="B66" s="6" t="inlineStr">
        <is>
          <t>Split 2</t>
        </is>
      </c>
      <c r="C66" s="75" t="inlineStr">
        <is>
          <t>Land</t>
        </is>
      </c>
      <c r="D66" s="6" t="n">
        <v>20</v>
      </c>
      <c r="E66" s="30" t="inlineStr">
        <is>
          <t>Budew  Lv 12  (20%)</t>
        </is>
      </c>
      <c r="F66" s="30" t="inlineStr">
        <is>
          <t>Bellsprout  Lv 12  (20%)</t>
        </is>
      </c>
      <c r="G66" s="30" t="inlineStr">
        <is>
          <t>Exeggcute  Lv 12  (15%)</t>
        </is>
      </c>
      <c r="H66" s="30" t="inlineStr">
        <is>
          <t>Foongus  Lv 13  (15%)</t>
        </is>
      </c>
      <c r="I66" s="30" t="inlineStr">
        <is>
          <t>Ferroseed  Lv 12  (10%)</t>
        </is>
      </c>
      <c r="J66" s="30" t="inlineStr">
        <is>
          <t>Maractus  Lv 13  (8%)</t>
        </is>
      </c>
      <c r="K66" s="30" t="inlineStr">
        <is>
          <t>Carnivine  Lv 13  (5%)</t>
        </is>
      </c>
      <c r="L66" s="30" t="inlineStr">
        <is>
          <t>Treecko  Lv 12  (3%)</t>
        </is>
      </c>
    </row>
    <row r="67">
      <c r="E67" s="30" t="inlineStr">
        <is>
          <t>Turtwig  Lv 12  (2%)</t>
        </is>
      </c>
      <c r="F67" s="30" t="inlineStr">
        <is>
          <t>Bulbasaur  Lv 12  (2%)</t>
        </is>
      </c>
    </row>
    <row r="68">
      <c r="A68" s="7" t="inlineStr">
        <is>
          <t>Lost Cave</t>
        </is>
      </c>
      <c r="B68" s="6" t="inlineStr">
        <is>
          <t>Split 2</t>
        </is>
      </c>
      <c r="C68" s="75" t="inlineStr">
        <is>
          <t>Land</t>
        </is>
      </c>
      <c r="D68" s="6" t="n">
        <v>20</v>
      </c>
      <c r="E68" s="30" t="inlineStr">
        <is>
          <t>Magnemite  Lv 13  (15%)</t>
        </is>
      </c>
      <c r="F68" s="30" t="inlineStr">
        <is>
          <t>Nosepass  Lv 14  (15%)</t>
        </is>
      </c>
      <c r="G68" s="30" t="inlineStr">
        <is>
          <t>Bronzor  Lv 14  (13%)</t>
        </is>
      </c>
      <c r="H68" s="30" t="inlineStr">
        <is>
          <t>Drilbur  Lv 13  (12%)</t>
        </is>
      </c>
      <c r="I68" s="30" t="inlineStr">
        <is>
          <t>Klink  Lv 14  (12%)</t>
        </is>
      </c>
      <c r="J68" s="30" t="inlineStr">
        <is>
          <t>Ferroseed  Lv 14  (9%)</t>
        </is>
      </c>
      <c r="K68" s="30" t="inlineStr">
        <is>
          <t>Chingling  Lv 15  (7%)</t>
        </is>
      </c>
      <c r="L68" s="30" t="inlineStr">
        <is>
          <t>Elgyem  Lv 15  (6%)</t>
        </is>
      </c>
    </row>
    <row r="69">
      <c r="E69" s="30" t="inlineStr">
        <is>
          <t>Mawile  Lv 14  (6%)</t>
        </is>
      </c>
      <c r="F69" s="30" t="inlineStr">
        <is>
          <t>Klefki  Lv 13  (5%)</t>
        </is>
      </c>
    </row>
    <row r="70">
      <c r="A70" s="7" t="inlineStr">
        <is>
          <t>Rusturf Tunnel</t>
        </is>
      </c>
      <c r="B70" s="6" t="inlineStr">
        <is>
          <t>Split 2</t>
        </is>
      </c>
      <c r="C70" s="75" t="inlineStr">
        <is>
          <t>Land</t>
        </is>
      </c>
      <c r="D70" s="6" t="n">
        <v>10</v>
      </c>
      <c r="E70" s="30" t="inlineStr">
        <is>
          <t>Whismur  Lv 5-8  (100%)</t>
        </is>
      </c>
    </row>
    <row r="71">
      <c r="A71" s="7" t="inlineStr">
        <is>
          <t>Granite Cave 1F</t>
        </is>
      </c>
      <c r="B71" s="6" t="inlineStr">
        <is>
          <t>Split 3</t>
        </is>
      </c>
      <c r="C71" s="75" t="inlineStr">
        <is>
          <t>Land</t>
        </is>
      </c>
      <c r="D71" s="6" t="n">
        <v>20</v>
      </c>
      <c r="E71" s="30" t="inlineStr">
        <is>
          <t>Makuhita  Lv 15  (18%)</t>
        </is>
      </c>
      <c r="F71" s="30" t="inlineStr">
        <is>
          <t>Zubat  Lv 15  (17%)</t>
        </is>
      </c>
      <c r="G71" s="30" t="inlineStr">
        <is>
          <t>Geodude  Lv 17  (15%)</t>
        </is>
      </c>
      <c r="H71" s="30" t="inlineStr">
        <is>
          <t>Machop  Lv 16  (12%)</t>
        </is>
      </c>
      <c r="I71" s="30" t="inlineStr">
        <is>
          <t>Woobat  Lv 15  (10%)</t>
        </is>
      </c>
      <c r="J71" s="30" t="inlineStr">
        <is>
          <t>Onix  Lv 16  (10%)</t>
        </is>
      </c>
      <c r="K71" s="30" t="inlineStr">
        <is>
          <t>Rhyhorn  Lv 16  (7%)</t>
        </is>
      </c>
      <c r="L71" s="30" t="inlineStr">
        <is>
          <t>Abra  Lv 16  (5%)</t>
        </is>
      </c>
    </row>
    <row r="72">
      <c r="E72" s="30" t="inlineStr">
        <is>
          <t>Meditite  Lv 16  (4%)</t>
        </is>
      </c>
      <c r="F72" s="30" t="inlineStr">
        <is>
          <t>Riolu  Lv 15  (2%)</t>
        </is>
      </c>
    </row>
    <row r="73">
      <c r="A73" s="7" t="inlineStr">
        <is>
          <t>Granite Cave B1F</t>
        </is>
      </c>
      <c r="B73" s="6" t="inlineStr">
        <is>
          <t>Split 3</t>
        </is>
      </c>
      <c r="C73" s="75" t="inlineStr">
        <is>
          <t>Land</t>
        </is>
      </c>
      <c r="D73" s="6" t="n">
        <v>20</v>
      </c>
      <c r="E73" s="30" t="inlineStr">
        <is>
          <t>Makuhita  Lv 15  (18%)</t>
        </is>
      </c>
      <c r="F73" s="30" t="inlineStr">
        <is>
          <t>Zubat  Lv 15  (17%)</t>
        </is>
      </c>
      <c r="G73" s="30" t="inlineStr">
        <is>
          <t>Geodude  Lv 17  (15%)</t>
        </is>
      </c>
      <c r="H73" s="30" t="inlineStr">
        <is>
          <t>Machop  Lv 16  (12%)</t>
        </is>
      </c>
      <c r="I73" s="30" t="inlineStr">
        <is>
          <t>Woobat  Lv 15  (10%)</t>
        </is>
      </c>
      <c r="J73" s="30" t="inlineStr">
        <is>
          <t>Onix  Lv 16  (10%)</t>
        </is>
      </c>
      <c r="K73" s="30" t="inlineStr">
        <is>
          <t>Rhyhorn  Lv 16  (7%)</t>
        </is>
      </c>
      <c r="L73" s="30" t="inlineStr">
        <is>
          <t>Abra  Lv 16  (5%)</t>
        </is>
      </c>
    </row>
    <row r="74">
      <c r="E74" s="30" t="inlineStr">
        <is>
          <t>Meditite  Lv 16  (4%)</t>
        </is>
      </c>
      <c r="F74" s="30" t="inlineStr">
        <is>
          <t>Riolu  Lv 15  (2%)</t>
        </is>
      </c>
    </row>
    <row r="75">
      <c r="A75" s="7" t="inlineStr">
        <is>
          <t>Mt Pyre 1F</t>
        </is>
      </c>
      <c r="B75" s="6" t="inlineStr">
        <is>
          <t>Split 7</t>
        </is>
      </c>
      <c r="C75" s="75" t="inlineStr">
        <is>
          <t>Land</t>
        </is>
      </c>
      <c r="D75" s="6" t="n">
        <v>10</v>
      </c>
      <c r="E75" s="30" t="inlineStr">
        <is>
          <t>Shuppet  Lv 22-29  (100%)</t>
        </is>
      </c>
    </row>
    <row r="76">
      <c r="A76" s="7" t="inlineStr">
        <is>
          <t>Victory Road 1F</t>
        </is>
      </c>
      <c r="B76" s="6" t="inlineStr">
        <is>
          <t>Elite Four &amp; Champion</t>
        </is>
      </c>
      <c r="C76" s="75" t="inlineStr">
        <is>
          <t>Land</t>
        </is>
      </c>
      <c r="D76" s="6" t="n">
        <v>10</v>
      </c>
      <c r="E76" s="30" t="inlineStr">
        <is>
          <t>Golbat  Lv 38-40  (25%)</t>
        </is>
      </c>
      <c r="F76" s="30" t="inlineStr">
        <is>
          <t>Hariyama  Lv 38-40  (25%)</t>
        </is>
      </c>
      <c r="G76" s="30" t="inlineStr">
        <is>
          <t>Lairon  Lv 40  (10%)</t>
        </is>
      </c>
      <c r="H76" s="30" t="inlineStr">
        <is>
          <t>Loudred  Lv 40  (10%)</t>
        </is>
      </c>
      <c r="I76" s="30" t="inlineStr">
        <is>
          <t>Zubat  Lv 36  (10%)</t>
        </is>
      </c>
      <c r="J76" s="30" t="inlineStr">
        <is>
          <t>Makuhita  Lv 36  (10%)</t>
        </is>
      </c>
      <c r="K76" s="30" t="inlineStr">
        <is>
          <t>Aron  Lv 36  (5%)</t>
        </is>
      </c>
      <c r="L76" s="30" t="inlineStr">
        <is>
          <t>Whismur  Lv 36  (5%)</t>
        </is>
      </c>
    </row>
    <row r="77">
      <c r="A77" s="7" t="inlineStr">
        <is>
          <t>Safari Zone South</t>
        </is>
      </c>
      <c r="B77" s="6" t="inlineStr">
        <is>
          <t>Postgame</t>
        </is>
      </c>
      <c r="C77" s="75" t="inlineStr">
        <is>
          <t>Land</t>
        </is>
      </c>
      <c r="D77" s="6" t="n">
        <v>25</v>
      </c>
      <c r="E77" s="30" t="inlineStr">
        <is>
          <t>Oddish  Lv 25-27  (40%)</t>
        </is>
      </c>
      <c r="F77" s="30" t="inlineStr">
        <is>
          <t>Girafarig  Lv 25-27  (20%)</t>
        </is>
      </c>
      <c r="G77" s="30" t="inlineStr">
        <is>
          <t>Natu  Lv 25  (10%)</t>
        </is>
      </c>
      <c r="H77" s="30" t="inlineStr">
        <is>
          <t>Doduo  Lv 25  (10%)</t>
        </is>
      </c>
      <c r="I77" s="30" t="inlineStr">
        <is>
          <t>Wobbuffet  Lv 27-29  (10%)</t>
        </is>
      </c>
      <c r="J77" s="30" t="inlineStr">
        <is>
          <t>Gloom  Lv 25  (5%)</t>
        </is>
      </c>
      <c r="K77" s="30" t="inlineStr">
        <is>
          <t>Pikachu  Lv 25-27  (5%)</t>
        </is>
      </c>
    </row>
    <row r="78">
      <c r="A78" s="7" t="inlineStr">
        <is>
          <t>Underwater Route 126</t>
        </is>
      </c>
      <c r="B78" s="6" t="inlineStr">
        <is>
          <t>Unassigned</t>
        </is>
      </c>
      <c r="C78" s="73" t="inlineStr">
        <is>
          <t>Water</t>
        </is>
      </c>
      <c r="D78" s="6" t="n">
        <v>4</v>
      </c>
      <c r="E78" s="30" t="inlineStr">
        <is>
          <t>Clamperl  Lv 20-35  (65%)</t>
        </is>
      </c>
      <c r="F78" s="30" t="inlineStr">
        <is>
          <t>Chinchou  Lv 20-30  (30%)</t>
        </is>
      </c>
      <c r="G78" s="30" t="inlineStr">
        <is>
          <t>Relicanth  Lv 30-35  (5%)</t>
        </is>
      </c>
    </row>
    <row r="79">
      <c r="A79" s="7" t="inlineStr">
        <is>
          <t>Abandoned Ship Rooms B1F</t>
        </is>
      </c>
      <c r="B79" s="6" t="inlineStr">
        <is>
          <t>Split 4</t>
        </is>
      </c>
      <c r="C79" s="73" t="inlineStr">
        <is>
          <t>Water</t>
        </is>
      </c>
      <c r="D79" s="6" t="n">
        <v>4</v>
      </c>
      <c r="E79" s="30" t="inlineStr">
        <is>
          <t>Tentacool  Lv 5-35  (99%)</t>
        </is>
      </c>
      <c r="F79" s="30" t="inlineStr">
        <is>
          <t>Tentacruel  Lv 30-35  (1%)</t>
        </is>
      </c>
    </row>
    <row r="80">
      <c r="A80" s="7" t="n"/>
      <c r="B80" s="6" t="n"/>
      <c r="C80" s="72" t="inlineStr">
        <is>
          <t>Old Rod</t>
        </is>
      </c>
      <c r="D80" s="6" t="n">
        <v>20</v>
      </c>
      <c r="E80" s="30" t="inlineStr">
        <is>
          <t>Magikarp  Lv 5-10  (70%)</t>
        </is>
      </c>
      <c r="F80" s="30" t="inlineStr">
        <is>
          <t>Tentacool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20</v>
      </c>
      <c r="E81" s="30" t="inlineStr">
        <is>
          <t>Magikarp  Lv 10-30  (60%)</t>
        </is>
      </c>
      <c r="F81" s="30" t="inlineStr">
        <is>
          <t>Tentacool  Lv 10-30  (40%)</t>
        </is>
      </c>
    </row>
    <row r="82">
      <c r="A82" s="7" t="n"/>
      <c r="B82" s="6" t="n"/>
      <c r="C82" s="74" t="inlineStr">
        <is>
          <t>Super Rod</t>
        </is>
      </c>
      <c r="D82" s="6" t="n">
        <v>20</v>
      </c>
      <c r="E82" s="30" t="inlineStr">
        <is>
          <t>Tentacool  Lv 25-35  (80%)</t>
        </is>
      </c>
      <c r="F82" s="30" t="inlineStr">
        <is>
          <t>Tentacruel  Lv 20-35  (20%)</t>
        </is>
      </c>
    </row>
    <row r="83">
      <c r="A83" s="7" t="inlineStr">
        <is>
          <t>Granite Cave B2F</t>
        </is>
      </c>
      <c r="B83" s="6" t="inlineStr">
        <is>
          <t>Split 3</t>
        </is>
      </c>
      <c r="C83" s="75" t="inlineStr">
        <is>
          <t>Land</t>
        </is>
      </c>
      <c r="D83" s="6" t="n">
        <v>20</v>
      </c>
      <c r="E83" s="30" t="inlineStr">
        <is>
          <t>Makuhita  Lv 15  (18%)</t>
        </is>
      </c>
      <c r="F83" s="30" t="inlineStr">
        <is>
          <t>Zubat  Lv 15  (17%)</t>
        </is>
      </c>
      <c r="G83" s="30" t="inlineStr">
        <is>
          <t>Geodude  Lv 17  (15%)</t>
        </is>
      </c>
      <c r="H83" s="30" t="inlineStr">
        <is>
          <t>Machop  Lv 16  (12%)</t>
        </is>
      </c>
      <c r="I83" s="30" t="inlineStr">
        <is>
          <t>Woobat  Lv 15  (10%)</t>
        </is>
      </c>
      <c r="J83" s="30" t="inlineStr">
        <is>
          <t>Onix  Lv 16  (10%)</t>
        </is>
      </c>
      <c r="K83" s="30" t="inlineStr">
        <is>
          <t>Rhyhorn  Lv 16  (7%)</t>
        </is>
      </c>
      <c r="L83" s="30" t="inlineStr">
        <is>
          <t>Abra  Lv 16  (5%)</t>
        </is>
      </c>
    </row>
    <row r="84">
      <c r="E84" s="30" t="inlineStr">
        <is>
          <t>Meditite  Lv 16  (4%)</t>
        </is>
      </c>
      <c r="F84" s="30" t="inlineStr">
        <is>
          <t>Riolu  Lv 15  (2%)</t>
        </is>
      </c>
    </row>
    <row r="85">
      <c r="A85" s="7" t="n"/>
      <c r="B85" s="6" t="n"/>
      <c r="C85" s="76" t="inlineStr">
        <is>
          <t>Rock Smash</t>
        </is>
      </c>
      <c r="D85" s="6" t="n">
        <v>20</v>
      </c>
      <c r="E85" s="30" t="inlineStr">
        <is>
          <t>Geodude  Lv 5-20  (70%)</t>
        </is>
      </c>
      <c r="F85" s="30" t="inlineStr">
        <is>
          <t>Nosepass  Lv 10-20  (30%)</t>
        </is>
      </c>
    </row>
    <row r="86">
      <c r="A86" s="7" t="inlineStr">
        <is>
          <t>Fiery Path</t>
        </is>
      </c>
      <c r="B86" s="6" t="inlineStr">
        <is>
          <t>Split 5</t>
        </is>
      </c>
      <c r="C86" s="75" t="inlineStr">
        <is>
          <t>Land</t>
        </is>
      </c>
      <c r="D86" s="6" t="n">
        <v>10</v>
      </c>
      <c r="E86" s="30" t="inlineStr">
        <is>
          <t>Numel  Lv 15-16  (30%)</t>
        </is>
      </c>
      <c r="F86" s="30" t="inlineStr">
        <is>
          <t>Koffing  Lv 15-16  (25%)</t>
        </is>
      </c>
      <c r="G86" s="30" t="inlineStr">
        <is>
          <t>Torkoal  Lv 14-16  (18%)</t>
        </is>
      </c>
      <c r="H86" s="30" t="inlineStr">
        <is>
          <t>Machop  Lv 15-16  (15%)</t>
        </is>
      </c>
      <c r="I86" s="30" t="inlineStr">
        <is>
          <t>Slugma  Lv 15  (10%)</t>
        </is>
      </c>
      <c r="J86" s="30" t="inlineStr">
        <is>
          <t>Grimer  Lv 14  (2%)</t>
        </is>
      </c>
    </row>
    <row r="87">
      <c r="A87" s="7" t="inlineStr">
        <is>
          <t>Meteor Falls B1 F2R</t>
        </is>
      </c>
      <c r="B87" s="6" t="inlineStr">
        <is>
          <t>Unassigned</t>
        </is>
      </c>
      <c r="C87" s="75" t="inlineStr">
        <is>
          <t>Land</t>
        </is>
      </c>
      <c r="D87" s="6" t="n">
        <v>10</v>
      </c>
      <c r="E87" s="30" t="inlineStr">
        <is>
          <t>Golbat  Lv 33-40  (50%)</t>
        </is>
      </c>
      <c r="F87" s="30" t="inlineStr">
        <is>
          <t>Bagon  Lv 25-35  (25%)</t>
        </is>
      </c>
      <c r="G87" s="30" t="inlineStr">
        <is>
          <t>Solrock  Lv 35-39  (25%)</t>
        </is>
      </c>
    </row>
    <row r="88">
      <c r="A88" s="7" t="n"/>
      <c r="B88" s="6" t="n"/>
      <c r="C88" s="73" t="inlineStr">
        <is>
          <t>Water</t>
        </is>
      </c>
      <c r="D88" s="6" t="n">
        <v>4</v>
      </c>
      <c r="E88" s="30" t="inlineStr">
        <is>
          <t>Golbat  Lv 30-35  (90%)</t>
        </is>
      </c>
      <c r="F88" s="30" t="inlineStr">
        <is>
          <t>Solrock  Lv 5-35  (10%)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Goldeen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Goldeen  Lv 10-30  (20%)</t>
        </is>
      </c>
      <c r="G90" s="30" t="inlineStr">
        <is>
          <t>Barboach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Barboach  Lv 25-35  (80%)</t>
        </is>
      </c>
      <c r="F91" s="30" t="inlineStr">
        <is>
          <t>Whiscash  Lv 30-45  (20%)</t>
        </is>
      </c>
    </row>
    <row r="92">
      <c r="A92" s="7" t="inlineStr">
        <is>
          <t>Jagged Pass</t>
        </is>
      </c>
      <c r="B92" s="6" t="inlineStr">
        <is>
          <t>Split 5</t>
        </is>
      </c>
      <c r="C92" s="75" t="inlineStr">
        <is>
          <t>Land</t>
        </is>
      </c>
      <c r="D92" s="6" t="n">
        <v>20</v>
      </c>
      <c r="E92" s="30" t="inlineStr">
        <is>
          <t>Numel  Lv 20-22  (55%)</t>
        </is>
      </c>
      <c r="F92" s="30" t="inlineStr">
        <is>
          <t>Machop  Lv 20-22  (25%)</t>
        </is>
      </c>
      <c r="G92" s="30" t="inlineStr">
        <is>
          <t>Spoink  Lv 20-22  (20%)</t>
        </is>
      </c>
    </row>
    <row r="93">
      <c r="A93" s="7" t="inlineStr">
        <is>
          <t>Route 106</t>
        </is>
      </c>
      <c r="B93" s="6" t="inlineStr">
        <is>
          <t>Split 3</t>
        </is>
      </c>
      <c r="C93" s="73" t="inlineStr">
        <is>
          <t>Water</t>
        </is>
      </c>
      <c r="D93" s="6" t="n">
        <v>4</v>
      </c>
      <c r="E93" s="30" t="inlineStr">
        <is>
          <t>Tentacool  Lv 5-35  (60%)</t>
        </is>
      </c>
      <c r="F93" s="30" t="inlineStr">
        <is>
          <t>Wingull  Lv 10-30  (35%)</t>
        </is>
      </c>
      <c r="G93" s="30" t="inlineStr">
        <is>
          <t>Pelipper  Lv 25-30  (5%)</t>
        </is>
      </c>
    </row>
    <row r="94">
      <c r="A94" s="7" t="n"/>
      <c r="B94" s="6" t="n"/>
      <c r="C94" s="72" t="inlineStr">
        <is>
          <t>Old Rod</t>
        </is>
      </c>
      <c r="D94" s="6" t="n">
        <v>30</v>
      </c>
      <c r="E94" s="30" t="inlineStr">
        <is>
          <t>Magikarp  Lv 5-10  (70%)</t>
        </is>
      </c>
      <c r="F94" s="30" t="inlineStr">
        <is>
          <t>Tentacool  Lv 5-10  (30%)</t>
        </is>
      </c>
    </row>
    <row r="95">
      <c r="A95" s="7" t="n"/>
      <c r="B95" s="6" t="n"/>
      <c r="C95" s="73" t="inlineStr">
        <is>
          <t>Good Rod</t>
        </is>
      </c>
      <c r="D95" s="6" t="n">
        <v>30</v>
      </c>
      <c r="E95" s="30" t="inlineStr">
        <is>
          <t>Magikarp  Lv 10-30  (60%)</t>
        </is>
      </c>
      <c r="F95" s="30" t="inlineStr">
        <is>
          <t>Tentacool  Lv 10-30  (20%)</t>
        </is>
      </c>
      <c r="G95" s="30" t="inlineStr">
        <is>
          <t>Wailmer  Lv 10-30  (20%)</t>
        </is>
      </c>
    </row>
    <row r="96">
      <c r="A96" s="7" t="n"/>
      <c r="B96" s="6" t="n"/>
      <c r="C96" s="74" t="inlineStr">
        <is>
          <t>Super Rod</t>
        </is>
      </c>
      <c r="D96" s="6" t="n">
        <v>30</v>
      </c>
      <c r="E96" s="30" t="inlineStr">
        <is>
          <t>Wailmer  Lv 20-45  (100%)</t>
        </is>
      </c>
    </row>
    <row r="97">
      <c r="A97" s="7" t="inlineStr">
        <is>
          <t>Route 107</t>
        </is>
      </c>
      <c r="B97" s="6" t="inlineStr">
        <is>
          <t>Split 3</t>
        </is>
      </c>
      <c r="C97" s="73" t="inlineStr">
        <is>
          <t>Water</t>
        </is>
      </c>
      <c r="D97" s="6" t="n">
        <v>4</v>
      </c>
      <c r="E97" s="30" t="inlineStr">
        <is>
          <t>Tentacool  Lv 5-35  (60%)</t>
        </is>
      </c>
      <c r="F97" s="30" t="inlineStr">
        <is>
          <t>Wingull  Lv 10-30  (35%)</t>
        </is>
      </c>
      <c r="G97" s="30" t="inlineStr">
        <is>
          <t>Pelipper  Lv 25-30  (5%)</t>
        </is>
      </c>
    </row>
    <row r="98">
      <c r="A98" s="7" t="n"/>
      <c r="B98" s="6" t="n"/>
      <c r="C98" s="72" t="inlineStr">
        <is>
          <t>Old Rod</t>
        </is>
      </c>
      <c r="D98" s="6" t="n">
        <v>30</v>
      </c>
      <c r="E98" s="30" t="inlineStr">
        <is>
          <t>Magikarp  Lv 5-10  (70%)</t>
        </is>
      </c>
      <c r="F98" s="30" t="inlineStr">
        <is>
          <t>Tentacool  Lv 5-10  (30%)</t>
        </is>
      </c>
    </row>
    <row r="99">
      <c r="A99" s="7" t="n"/>
      <c r="B99" s="6" t="n"/>
      <c r="C99" s="73" t="inlineStr">
        <is>
          <t>Good Rod</t>
        </is>
      </c>
      <c r="D99" s="6" t="n">
        <v>30</v>
      </c>
      <c r="E99" s="30" t="inlineStr">
        <is>
          <t>Magikarp  Lv 10-30  (60%)</t>
        </is>
      </c>
      <c r="F99" s="30" t="inlineStr">
        <is>
          <t>Tentacool  Lv 10-30  (20%)</t>
        </is>
      </c>
      <c r="G99" s="30" t="inlineStr">
        <is>
          <t>Wailmer  Lv 10-30  (20%)</t>
        </is>
      </c>
    </row>
    <row r="100">
      <c r="A100" s="7" t="n"/>
      <c r="B100" s="6" t="n"/>
      <c r="C100" s="74" t="inlineStr">
        <is>
          <t>Super Rod</t>
        </is>
      </c>
      <c r="D100" s="6" t="n">
        <v>30</v>
      </c>
      <c r="E100" s="30" t="inlineStr">
        <is>
          <t>Wailmer  Lv 20-45  (100%)</t>
        </is>
      </c>
    </row>
    <row r="101">
      <c r="A101" s="7" t="inlineStr">
        <is>
          <t>Route 108</t>
        </is>
      </c>
      <c r="B101" s="6" t="inlineStr">
        <is>
          <t>Split 4</t>
        </is>
      </c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Route 109</t>
        </is>
      </c>
      <c r="B105" s="6" t="inlineStr">
        <is>
          <t>Split 4</t>
        </is>
      </c>
      <c r="C105" s="73" t="inlineStr">
        <is>
          <t>Water</t>
        </is>
      </c>
      <c r="D105" s="6" t="n">
        <v>4</v>
      </c>
      <c r="E105" s="30" t="inlineStr">
        <is>
          <t>Tentacool  Lv 5-35  (60%)</t>
        </is>
      </c>
      <c r="F105" s="30" t="inlineStr">
        <is>
          <t>Wingull  Lv 10-30  (35%)</t>
        </is>
      </c>
      <c r="G105" s="30" t="inlineStr">
        <is>
          <t>Pelipper  Lv 25-30  (5%)</t>
        </is>
      </c>
    </row>
    <row r="106">
      <c r="A106" s="7" t="n"/>
      <c r="B106" s="6" t="n"/>
      <c r="C106" s="72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Tentacool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Tentacool  Lv 10-30  (20%)</t>
        </is>
      </c>
      <c r="G107" s="30" t="inlineStr">
        <is>
          <t>Wailmer  Lv 10-30  (20%)</t>
        </is>
      </c>
    </row>
    <row r="108">
      <c r="A108" s="7" t="n"/>
      <c r="B108" s="6" t="n"/>
      <c r="C108" s="74" t="inlineStr">
        <is>
          <t>Super Rod</t>
        </is>
      </c>
      <c r="D108" s="6" t="n">
        <v>30</v>
      </c>
      <c r="E108" s="30" t="inlineStr">
        <is>
          <t>Wailmer  Lv 20-45  (100%)</t>
        </is>
      </c>
    </row>
    <row r="109">
      <c r="A109" s="7" t="inlineStr">
        <is>
          <t>Route 115</t>
        </is>
      </c>
      <c r="B109" s="6" t="inlineStr">
        <is>
          <t>Unassigned</t>
        </is>
      </c>
      <c r="C109" s="75" t="inlineStr">
        <is>
          <t>Land</t>
        </is>
      </c>
      <c r="D109" s="6" t="n">
        <v>20</v>
      </c>
      <c r="E109" s="30" t="inlineStr">
        <is>
          <t>Taillow  Lv 23-25  (40%)</t>
        </is>
      </c>
      <c r="F109" s="30" t="inlineStr">
        <is>
          <t>Swablu  Lv 23-25  (30%)</t>
        </is>
      </c>
      <c r="G109" s="30" t="inlineStr">
        <is>
          <t>Swellow  Lv 25  (10%)</t>
        </is>
      </c>
      <c r="H109" s="30" t="inlineStr">
        <is>
          <t>Jigglypuff  Lv 24-25  (10%)</t>
        </is>
      </c>
      <c r="I109" s="30" t="inlineStr">
        <is>
          <t>Wingull  Lv 24-26  (10%)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2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Squirtle  Lv 14  (60%)</t>
        </is>
      </c>
      <c r="F112" s="30" t="inlineStr">
        <is>
          <t>Horsea  Lv 15  (20%)</t>
        </is>
      </c>
      <c r="G112" s="30" t="inlineStr">
        <is>
          <t>Skrelp  Lv 15  (20%)</t>
        </is>
      </c>
    </row>
    <row r="113">
      <c r="A113" s="7" t="n"/>
      <c r="B113" s="6" t="n"/>
      <c r="C113" s="74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New Mauville Inside</t>
        </is>
      </c>
      <c r="B114" s="6" t="inlineStr">
        <is>
          <t>Split 4</t>
        </is>
      </c>
      <c r="C114" s="75" t="inlineStr">
        <is>
          <t>Land</t>
        </is>
      </c>
      <c r="D114" s="6" t="n">
        <v>10</v>
      </c>
      <c r="E114" s="30" t="inlineStr">
        <is>
          <t>Voltorb  Lv 22-26  (49%)</t>
        </is>
      </c>
      <c r="F114" s="30" t="inlineStr">
        <is>
          <t>Magnemite  Lv 22-26  (49%)</t>
        </is>
      </c>
      <c r="G114" s="30" t="inlineStr">
        <is>
          <t>Electrode  Lv 26  (1%)</t>
        </is>
      </c>
      <c r="H114" s="30" t="inlineStr">
        <is>
          <t>Magneton  Lv 26  (1%)</t>
        </is>
      </c>
    </row>
    <row r="115">
      <c r="A115" s="7" t="inlineStr">
        <is>
          <t>Route 119</t>
        </is>
      </c>
      <c r="B115" s="6" t="inlineStr">
        <is>
          <t>Split 6</t>
        </is>
      </c>
      <c r="C115" s="75" t="inlineStr">
        <is>
          <t>Land</t>
        </is>
      </c>
      <c r="D115" s="6" t="n">
        <v>15</v>
      </c>
      <c r="E115" s="30" t="inlineStr">
        <is>
          <t>Zigzagoon  Lv 25-27  (30%)</t>
        </is>
      </c>
      <c r="F115" s="30" t="inlineStr">
        <is>
          <t>Linoone  Lv 25-27  (30%)</t>
        </is>
      </c>
      <c r="G115" s="30" t="inlineStr">
        <is>
          <t>Oddish  Lv 24-27  (30%)</t>
        </is>
      </c>
      <c r="H115" s="30" t="inlineStr">
        <is>
          <t>Tropius  Lv 25-27  (9%)</t>
        </is>
      </c>
      <c r="I115" s="30" t="inlineStr">
        <is>
          <t>Kecleon  Lv 25  (1%)</t>
        </is>
      </c>
    </row>
    <row r="116">
      <c r="A116" s="7" t="n"/>
      <c r="B116" s="6" t="n"/>
      <c r="C116" s="73" t="inlineStr">
        <is>
          <t>Water</t>
        </is>
      </c>
      <c r="D116" s="6" t="n">
        <v>4</v>
      </c>
      <c r="E116" s="30" t="inlineStr">
        <is>
          <t>Tentacool  Lv 5-35  (60%)</t>
        </is>
      </c>
      <c r="F116" s="30" t="inlineStr">
        <is>
          <t>Wingull  Lv 10-30  (35%)</t>
        </is>
      </c>
      <c r="G116" s="30" t="inlineStr">
        <is>
          <t>Pelipper  Lv 25-30  (5%)</t>
        </is>
      </c>
    </row>
    <row r="117">
      <c r="A117" s="7" t="n"/>
      <c r="B117" s="6" t="n"/>
      <c r="C117" s="72" t="inlineStr">
        <is>
          <t>Old Rod</t>
        </is>
      </c>
      <c r="D117" s="6" t="n">
        <v>30</v>
      </c>
      <c r="E117" s="30" t="inlineStr">
        <is>
          <t>Magikarp  Lv 5-10  (70%)</t>
        </is>
      </c>
      <c r="F117" s="30" t="inlineStr">
        <is>
          <t>Tentacool  Lv 5-10  (30%)</t>
        </is>
      </c>
    </row>
    <row r="118">
      <c r="A118" s="7" t="n"/>
      <c r="B118" s="6" t="n"/>
      <c r="C118" s="73" t="inlineStr">
        <is>
          <t>Good Rod</t>
        </is>
      </c>
      <c r="D118" s="6" t="n">
        <v>30</v>
      </c>
      <c r="E118" s="30" t="inlineStr">
        <is>
          <t>Magikarp  Lv 10-30  (60%)</t>
        </is>
      </c>
      <c r="F118" s="30" t="inlineStr">
        <is>
          <t>Tentacool  Lv 10-30  (20%)</t>
        </is>
      </c>
      <c r="G118" s="30" t="inlineStr">
        <is>
          <t>Carvanha  Lv 10-30  (20%)</t>
        </is>
      </c>
    </row>
    <row r="119">
      <c r="A119" s="7" t="n"/>
      <c r="B119" s="6" t="n"/>
      <c r="C119" s="74" t="inlineStr">
        <is>
          <t>Super Rod</t>
        </is>
      </c>
      <c r="D119" s="6" t="n">
        <v>30</v>
      </c>
      <c r="E119" s="30" t="inlineStr">
        <is>
          <t>Carvanha  Lv 20-45  (100%)</t>
        </is>
      </c>
    </row>
    <row r="120">
      <c r="A120" s="7" t="inlineStr">
        <is>
          <t>Route 120</t>
        </is>
      </c>
      <c r="B120" s="6" t="inlineStr">
        <is>
          <t>Split 7</t>
        </is>
      </c>
      <c r="C120" s="75" t="inlineStr">
        <is>
          <t>Land</t>
        </is>
      </c>
      <c r="D120" s="6" t="n">
        <v>20</v>
      </c>
      <c r="E120" s="30" t="inlineStr">
        <is>
          <t>Mightyena  Lv 25-27  (30%)</t>
        </is>
      </c>
      <c r="F120" s="30" t="inlineStr">
        <is>
          <t>Oddish  Lv 25-27  (25%)</t>
        </is>
      </c>
      <c r="G120" s="30" t="inlineStr">
        <is>
          <t>Poochyena  Lv 25  (20%)</t>
        </is>
      </c>
      <c r="H120" s="30" t="inlineStr">
        <is>
          <t>Marill  Lv 25-27  (15%)</t>
        </is>
      </c>
      <c r="I120" s="30" t="inlineStr">
        <is>
          <t>Absol  Lv 25-27  (8%)</t>
        </is>
      </c>
      <c r="J120" s="30" t="inlineStr">
        <is>
          <t>Kecleon  Lv 25  (1%)</t>
        </is>
      </c>
      <c r="K120" s="30" t="inlineStr">
        <is>
          <t>Seedot  Lv 25  (1%)</t>
        </is>
      </c>
    </row>
    <row r="121">
      <c r="A121" s="7" t="n"/>
      <c r="B121" s="6" t="n"/>
      <c r="C121" s="73" t="inlineStr">
        <is>
          <t>Water</t>
        </is>
      </c>
      <c r="D121" s="6" t="n">
        <v>4</v>
      </c>
      <c r="E121" s="30" t="inlineStr">
        <is>
          <t>Marill  Lv 5-35  (99%)</t>
        </is>
      </c>
      <c r="F121" s="30" t="inlineStr">
        <is>
          <t>Goldeen  Lv 20-30  (1%)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Goldeen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Goldeen  Lv 10-30  (20%)</t>
        </is>
      </c>
      <c r="G123" s="30" t="inlineStr">
        <is>
          <t>Barboach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Barboach  Lv 20-45  (100%)</t>
        </is>
      </c>
    </row>
    <row r="125">
      <c r="A125" s="7" t="inlineStr">
        <is>
          <t>Route 121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Route 122</t>
        </is>
      </c>
      <c r="B130" s="6" t="inlineStr">
        <is>
          <t>Split 7</t>
        </is>
      </c>
      <c r="C130" s="73" t="inlineStr">
        <is>
          <t>Water</t>
        </is>
      </c>
      <c r="D130" s="6" t="n">
        <v>4</v>
      </c>
      <c r="E130" s="30" t="inlineStr">
        <is>
          <t>Tentacool  Lv 5-35  (60%)</t>
        </is>
      </c>
      <c r="F130" s="30" t="inlineStr">
        <is>
          <t>Wingull  Lv 10-30  (35%)</t>
        </is>
      </c>
      <c r="G130" s="30" t="inlineStr">
        <is>
          <t>Pelipper  Lv 25-30  (5%)</t>
        </is>
      </c>
    </row>
    <row r="131">
      <c r="A131" s="7" t="n"/>
      <c r="B131" s="6" t="n"/>
      <c r="C131" s="72" t="inlineStr">
        <is>
          <t>Old Rod</t>
        </is>
      </c>
      <c r="D131" s="6" t="n">
        <v>30</v>
      </c>
      <c r="E131" s="30" t="inlineStr">
        <is>
          <t>Magikarp  Lv 5-10  (70%)</t>
        </is>
      </c>
      <c r="F131" s="30" t="inlineStr">
        <is>
          <t>Tentacool  Lv 5-10  (30%)</t>
        </is>
      </c>
    </row>
    <row r="132">
      <c r="A132" s="7" t="n"/>
      <c r="B132" s="6" t="n"/>
      <c r="C132" s="73" t="inlineStr">
        <is>
          <t>Good Rod</t>
        </is>
      </c>
      <c r="D132" s="6" t="n">
        <v>30</v>
      </c>
      <c r="E132" s="30" t="inlineStr">
        <is>
          <t>Magikarp  Lv 10-30  (60%)</t>
        </is>
      </c>
      <c r="F132" s="30" t="inlineStr">
        <is>
          <t>Tentacool  Lv 10-30  (20%)</t>
        </is>
      </c>
      <c r="G132" s="30" t="inlineStr">
        <is>
          <t>Wailmer  Lv 10-30  (20%)</t>
        </is>
      </c>
    </row>
    <row r="133">
      <c r="A133" s="7" t="n"/>
      <c r="B133" s="6" t="n"/>
      <c r="C133" s="74" t="inlineStr">
        <is>
          <t>Super Rod</t>
        </is>
      </c>
      <c r="D133" s="6" t="n">
        <v>30</v>
      </c>
      <c r="E133" s="30" t="inlineStr">
        <is>
          <t>Wailmer  Lv 25-45  (60%)</t>
        </is>
      </c>
      <c r="F133" s="30" t="inlineStr">
        <is>
          <t>Sharpedo  Lv 30-35  (40%)</t>
        </is>
      </c>
    </row>
    <row r="134">
      <c r="A134" s="7" t="inlineStr">
        <is>
          <t>Route 123</t>
        </is>
      </c>
      <c r="B134" s="6" t="inlineStr">
        <is>
          <t>Split 7</t>
        </is>
      </c>
      <c r="C134" s="75" t="inlineStr">
        <is>
          <t>Land</t>
        </is>
      </c>
      <c r="D134" s="6" t="n">
        <v>20</v>
      </c>
      <c r="E134" s="30" t="inlineStr">
        <is>
          <t>Shuppet  Lv 26-28  (30%)</t>
        </is>
      </c>
      <c r="F134" s="30" t="inlineStr">
        <is>
          <t>Poochyena  Lv 26  (20%)</t>
        </is>
      </c>
      <c r="G134" s="30" t="inlineStr">
        <is>
          <t>Mightyena  Lv 26-28  (20%)</t>
        </is>
      </c>
      <c r="H134" s="30" t="inlineStr">
        <is>
          <t>Oddish  Lv 26-28  (15%)</t>
        </is>
      </c>
      <c r="I134" s="30" t="inlineStr">
        <is>
          <t>Wingull  Lv 26-28  (9%)</t>
        </is>
      </c>
      <c r="J134" s="30" t="inlineStr">
        <is>
          <t>Gloom  Lv 28  (5%)</t>
        </is>
      </c>
      <c r="K134" s="30" t="inlineStr">
        <is>
          <t>Kecleon  Lv 25  (1%)</t>
        </is>
      </c>
    </row>
    <row r="135">
      <c r="A135" s="7" t="n"/>
      <c r="B135" s="6" t="n"/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2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4" t="inlineStr">
        <is>
          <t>Super Rod</t>
        </is>
      </c>
      <c r="D138" s="6" t="n">
        <v>30</v>
      </c>
      <c r="E138" s="30" t="inlineStr">
        <is>
          <t>Wailmer  Lv 20-45  (100%)</t>
        </is>
      </c>
    </row>
    <row r="139">
      <c r="A139" s="7" t="inlineStr">
        <is>
          <t>Mt Pyre 2F</t>
        </is>
      </c>
      <c r="B139" s="6" t="inlineStr">
        <is>
          <t>Split 7</t>
        </is>
      </c>
      <c r="C139" s="75" t="inlineStr">
        <is>
          <t>Land</t>
        </is>
      </c>
      <c r="D139" s="6" t="n">
        <v>10</v>
      </c>
      <c r="E139" s="30" t="inlineStr">
        <is>
          <t>Shuppet  Lv 22-29  (100%)</t>
        </is>
      </c>
    </row>
    <row r="140">
      <c r="A140" s="7" t="inlineStr">
        <is>
          <t>Mt Pyre 3F</t>
        </is>
      </c>
      <c r="B140" s="6" t="inlineStr">
        <is>
          <t>Split 7</t>
        </is>
      </c>
      <c r="C140" s="75" t="inlineStr">
        <is>
          <t>Land</t>
        </is>
      </c>
      <c r="D140" s="6" t="n">
        <v>10</v>
      </c>
      <c r="E140" s="30" t="inlineStr">
        <is>
          <t>Shuppet  Lv 22-29  (100%)</t>
        </is>
      </c>
    </row>
    <row r="141">
      <c r="A141" s="7" t="inlineStr">
        <is>
          <t>Mt Pyre 4F</t>
        </is>
      </c>
      <c r="B141" s="6" t="inlineStr">
        <is>
          <t>Split 7</t>
        </is>
      </c>
      <c r="C141" s="75" t="inlineStr">
        <is>
          <t>Land</t>
        </is>
      </c>
      <c r="D141" s="6" t="n">
        <v>10</v>
      </c>
      <c r="E141" s="30" t="inlineStr">
        <is>
          <t>Shuppet  Lv 22-29  (90%)</t>
        </is>
      </c>
      <c r="F141" s="30" t="inlineStr">
        <is>
          <t>Duskull  Lv 25-29  (10%)</t>
        </is>
      </c>
    </row>
    <row r="142">
      <c r="A142" s="7" t="inlineStr">
        <is>
          <t>Mt Pyre 5F</t>
        </is>
      </c>
      <c r="B142" s="6" t="inlineStr">
        <is>
          <t>Split 7</t>
        </is>
      </c>
      <c r="C142" s="75" t="inlineStr">
        <is>
          <t>Land</t>
        </is>
      </c>
      <c r="D142" s="6" t="n">
        <v>10</v>
      </c>
      <c r="E142" s="30" t="inlineStr">
        <is>
          <t>Shuppet  Lv 22-29  (90%)</t>
        </is>
      </c>
      <c r="F142" s="30" t="inlineStr">
        <is>
          <t>Duskull  Lv 25-29  (10%)</t>
        </is>
      </c>
    </row>
    <row r="143">
      <c r="A143" s="7" t="inlineStr">
        <is>
          <t>Mt Pyre 6F</t>
        </is>
      </c>
      <c r="B143" s="6" t="inlineStr">
        <is>
          <t>Split 7</t>
        </is>
      </c>
      <c r="C143" s="75" t="inlineStr">
        <is>
          <t>Land</t>
        </is>
      </c>
      <c r="D143" s="6" t="n">
        <v>10</v>
      </c>
      <c r="E143" s="30" t="inlineStr">
        <is>
          <t>Shuppet  Lv 22-29  (90%)</t>
        </is>
      </c>
      <c r="F143" s="30" t="inlineStr">
        <is>
          <t>Duskull  Lv 25-29  (10%)</t>
        </is>
      </c>
    </row>
    <row r="144">
      <c r="A144" s="7" t="inlineStr">
        <is>
          <t>Mt Pyre Exterior</t>
        </is>
      </c>
      <c r="B144" s="6" t="inlineStr">
        <is>
          <t>Split 7</t>
        </is>
      </c>
      <c r="C144" s="75" t="inlineStr">
        <is>
          <t>Land</t>
        </is>
      </c>
      <c r="D144" s="6" t="n">
        <v>10</v>
      </c>
      <c r="E144" s="30" t="inlineStr">
        <is>
          <t>Shuppet  Lv 27-29  (60%)</t>
        </is>
      </c>
      <c r="F144" s="30" t="inlineStr">
        <is>
          <t>Vulpix  Lv 25-29  (30%)</t>
        </is>
      </c>
      <c r="G144" s="30" t="inlineStr">
        <is>
          <t>Wingull  Lv 26-28  (10%)</t>
        </is>
      </c>
    </row>
    <row r="145">
      <c r="A145" s="7" t="inlineStr">
        <is>
          <t>Mt Pyre Summit</t>
        </is>
      </c>
      <c r="B145" s="6" t="inlineStr">
        <is>
          <t>Split 7</t>
        </is>
      </c>
      <c r="C145" s="75" t="inlineStr">
        <is>
          <t>Land</t>
        </is>
      </c>
      <c r="D145" s="6" t="n">
        <v>10</v>
      </c>
      <c r="E145" s="30" t="inlineStr">
        <is>
          <t>Shuppet  Lv 24-30  (85%)</t>
        </is>
      </c>
      <c r="F145" s="30" t="inlineStr">
        <is>
          <t>Duskull  Lv 26-30  (13%)</t>
        </is>
      </c>
      <c r="G145" s="30" t="inlineStr">
        <is>
          <t>Chimecho  Lv 28  (2%)</t>
        </is>
      </c>
    </row>
    <row r="146">
      <c r="A146" s="7" t="inlineStr">
        <is>
          <t>Granite Cave Stevens Room</t>
        </is>
      </c>
      <c r="B146" s="6" t="inlineStr">
        <is>
          <t>Split 3</t>
        </is>
      </c>
      <c r="C146" s="75" t="inlineStr">
        <is>
          <t>Land</t>
        </is>
      </c>
      <c r="D146" s="6" t="n">
        <v>20</v>
      </c>
      <c r="E146" s="30" t="inlineStr">
        <is>
          <t>Makuhita  Lv 15  (18%)</t>
        </is>
      </c>
      <c r="F146" s="30" t="inlineStr">
        <is>
          <t>Zubat  Lv 15  (17%)</t>
        </is>
      </c>
      <c r="G146" s="30" t="inlineStr">
        <is>
          <t>Geodude  Lv 17  (15%)</t>
        </is>
      </c>
      <c r="H146" s="30" t="inlineStr">
        <is>
          <t>Machop  Lv 16  (12%)</t>
        </is>
      </c>
      <c r="I146" s="30" t="inlineStr">
        <is>
          <t>Woobat  Lv 15  (10%)</t>
        </is>
      </c>
      <c r="J146" s="30" t="inlineStr">
        <is>
          <t>Onix  Lv 16  (10%)</t>
        </is>
      </c>
      <c r="K146" s="30" t="inlineStr">
        <is>
          <t>Rhyhorn  Lv 16  (7%)</t>
        </is>
      </c>
      <c r="L146" s="30" t="inlineStr">
        <is>
          <t>Abra  Lv 16  (5%)</t>
        </is>
      </c>
    </row>
    <row r="147">
      <c r="E147" s="30" t="inlineStr">
        <is>
          <t>Meditite  Lv 16  (4%)</t>
        </is>
      </c>
      <c r="F147" s="30" t="inlineStr">
        <is>
          <t>Riolu  Lv 15  (2%)</t>
        </is>
      </c>
    </row>
    <row r="148">
      <c r="A148" s="7" t="inlineStr">
        <is>
          <t>Route 125</t>
        </is>
      </c>
      <c r="B148" s="6" t="inlineStr">
        <is>
          <t>Split 8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(5%)</t>
        </is>
      </c>
    </row>
    <row r="149">
      <c r="A149" s="7" t="n"/>
      <c r="B149" s="6" t="n"/>
      <c r="C149" s="72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126</t>
        </is>
      </c>
      <c r="B152" s="6" t="inlineStr">
        <is>
          <t>Split 8</t>
        </is>
      </c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2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4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127</t>
        </is>
      </c>
      <c r="B156" s="6" t="inlineStr">
        <is>
          <t>Split 8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2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4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128</t>
        </is>
      </c>
      <c r="B160" s="6" t="inlineStr">
        <is>
          <t>Split 8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2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Luvdisc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4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Luvdisc  Lv 30-35  (40%)</t>
        </is>
      </c>
      <c r="G163" s="30" t="inlineStr">
        <is>
          <t>Corsola  Lv 30-35  (15%)</t>
        </is>
      </c>
    </row>
    <row r="164">
      <c r="A164" s="7" t="inlineStr">
        <is>
          <t>Route 129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(4%)</t>
        </is>
      </c>
      <c r="H164" s="30" t="inlineStr">
        <is>
          <t>Wailord  Lv 25-30  (1%)</t>
        </is>
      </c>
    </row>
    <row r="165">
      <c r="A165" s="7" t="n"/>
      <c r="B165" s="6" t="n"/>
      <c r="C165" s="72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4" t="inlineStr">
        <is>
          <t>Super Rod</t>
        </is>
      </c>
      <c r="D167" s="6" t="n">
        <v>30</v>
      </c>
      <c r="E167" s="30" t="inlineStr">
        <is>
          <t>Wailmer  Lv 25-45  (60%)</t>
        </is>
      </c>
      <c r="F167" s="30" t="inlineStr">
        <is>
          <t>Sharpedo  Lv 30-35  (40%)</t>
        </is>
      </c>
    </row>
    <row r="168">
      <c r="A168" s="7" t="inlineStr">
        <is>
          <t>Route 130</t>
        </is>
      </c>
      <c r="B168" s="6" t="inlineStr">
        <is>
          <t>Unassigned</t>
        </is>
      </c>
      <c r="C168" s="75" t="inlineStr">
        <is>
          <t>Land</t>
        </is>
      </c>
      <c r="D168" s="6" t="n">
        <v>20</v>
      </c>
      <c r="E168" s="30" t="inlineStr">
        <is>
          <t>Wynaut  Lv 5-50  (100%)</t>
        </is>
      </c>
    </row>
    <row r="169">
      <c r="A169" s="7" t="n"/>
      <c r="B169" s="6" t="n"/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2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25-45  (60%)</t>
        </is>
      </c>
      <c r="F172" s="30" t="inlineStr">
        <is>
          <t>Sharpedo  Lv 30-35  (40%)</t>
        </is>
      </c>
    </row>
    <row r="173">
      <c r="A173" s="7" t="inlineStr">
        <is>
          <t>Route 131</t>
        </is>
      </c>
      <c r="B173" s="6" t="inlineStr">
        <is>
          <t>Unassigned</t>
        </is>
      </c>
      <c r="C173" s="73" t="inlineStr">
        <is>
          <t>Water</t>
        </is>
      </c>
      <c r="D173" s="6" t="n">
        <v>4</v>
      </c>
      <c r="E173" s="30" t="inlineStr">
        <is>
          <t>Tentacool  Lv 5-35  (60%)</t>
        </is>
      </c>
      <c r="F173" s="30" t="inlineStr">
        <is>
          <t>Wingull  Lv 10-30  (35%)</t>
        </is>
      </c>
      <c r="G173" s="30" t="inlineStr">
        <is>
          <t>Pelipper  Lv 25-30  (5%)</t>
        </is>
      </c>
    </row>
    <row r="174">
      <c r="A174" s="7" t="n"/>
      <c r="B174" s="6" t="n"/>
      <c r="C174" s="72" t="inlineStr">
        <is>
          <t>Old Rod</t>
        </is>
      </c>
      <c r="D174" s="6" t="n">
        <v>30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30</v>
      </c>
      <c r="E175" s="30" t="inlineStr">
        <is>
          <t>Magikarp  Lv 10-30  (60%)</t>
        </is>
      </c>
      <c r="F175" s="30" t="inlineStr">
        <is>
          <t>Tentacool  Lv 10-30  (20%)</t>
        </is>
      </c>
      <c r="G175" s="30" t="inlineStr">
        <is>
          <t>Wailmer  Lv 10-30  (20%)</t>
        </is>
      </c>
    </row>
    <row r="176">
      <c r="A176" s="7" t="n"/>
      <c r="B176" s="6" t="n"/>
      <c r="C176" s="74" t="inlineStr">
        <is>
          <t>Super Rod</t>
        </is>
      </c>
      <c r="D176" s="6" t="n">
        <v>30</v>
      </c>
      <c r="E176" s="30" t="inlineStr">
        <is>
          <t>Wailmer  Lv 25-45  (60%)</t>
        </is>
      </c>
      <c r="F176" s="30" t="inlineStr">
        <is>
          <t>Sharpedo  Lv 30-35  (40%)</t>
        </is>
      </c>
    </row>
    <row r="177">
      <c r="A177" s="7" t="inlineStr">
        <is>
          <t>Route 132</t>
        </is>
      </c>
      <c r="B177" s="6" t="inlineStr">
        <is>
          <t>Unassigned</t>
        </is>
      </c>
      <c r="C177" s="73" t="inlineStr">
        <is>
          <t>Water</t>
        </is>
      </c>
      <c r="D177" s="6" t="n">
        <v>4</v>
      </c>
      <c r="E177" s="30" t="inlineStr">
        <is>
          <t>Tentacool  Lv 5-35  (60%)</t>
        </is>
      </c>
      <c r="F177" s="30" t="inlineStr">
        <is>
          <t>Wingull  Lv 10-30  (35%)</t>
        </is>
      </c>
      <c r="G177" s="30" t="inlineStr">
        <is>
          <t>Pelipper  Lv 25-30  (5%)</t>
        </is>
      </c>
    </row>
    <row r="178">
      <c r="A178" s="7" t="n"/>
      <c r="B178" s="6" t="n"/>
      <c r="C178" s="72" t="inlineStr">
        <is>
          <t>Old Rod</t>
        </is>
      </c>
      <c r="D178" s="6" t="n">
        <v>30</v>
      </c>
      <c r="E178" s="30" t="inlineStr">
        <is>
          <t>Magikarp  Lv 5-10  (70%)</t>
        </is>
      </c>
      <c r="F178" s="30" t="inlineStr">
        <is>
          <t>Tentacool  Lv 5-10  (30%)</t>
        </is>
      </c>
    </row>
    <row r="179">
      <c r="A179" s="7" t="n"/>
      <c r="B179" s="6" t="n"/>
      <c r="C179" s="73" t="inlineStr">
        <is>
          <t>Good Rod</t>
        </is>
      </c>
      <c r="D179" s="6" t="n">
        <v>30</v>
      </c>
      <c r="E179" s="30" t="inlineStr">
        <is>
          <t>Magikarp  Lv 10-30  (60%)</t>
        </is>
      </c>
      <c r="F179" s="30" t="inlineStr">
        <is>
          <t>Tentacool  Lv 10-30  (20%)</t>
        </is>
      </c>
      <c r="G179" s="30" t="inlineStr">
        <is>
          <t>Wailmer  Lv 10-30  (20%)</t>
        </is>
      </c>
    </row>
    <row r="180">
      <c r="A180" s="7" t="n"/>
      <c r="B180" s="6" t="n"/>
      <c r="C180" s="74" t="inlineStr">
        <is>
          <t>Super Rod</t>
        </is>
      </c>
      <c r="D180" s="6" t="n">
        <v>30</v>
      </c>
      <c r="E180" s="30" t="inlineStr">
        <is>
          <t>Wailmer  Lv 30-45  (45%)</t>
        </is>
      </c>
      <c r="F180" s="30" t="inlineStr">
        <is>
          <t>Sharpedo  Lv 30-35  (40%)</t>
        </is>
      </c>
      <c r="G180" s="30" t="inlineStr">
        <is>
          <t>Horsea  Lv 25-30  (15%)</t>
        </is>
      </c>
    </row>
    <row r="181">
      <c r="A181" s="7" t="inlineStr">
        <is>
          <t>Route 133</t>
        </is>
      </c>
      <c r="B181" s="6" t="inlineStr">
        <is>
          <t>Unassigned</t>
        </is>
      </c>
      <c r="C181" s="73" t="inlineStr">
        <is>
          <t>Water</t>
        </is>
      </c>
      <c r="D181" s="6" t="n">
        <v>4</v>
      </c>
      <c r="E181" s="30" t="inlineStr">
        <is>
          <t>Tentacool  Lv 5-35  (60%)</t>
        </is>
      </c>
      <c r="F181" s="30" t="inlineStr">
        <is>
          <t>Wingull  Lv 10-30  (35%)</t>
        </is>
      </c>
      <c r="G181" s="30" t="inlineStr">
        <is>
          <t>Pelipper  Lv 25-30  (5%)</t>
        </is>
      </c>
    </row>
    <row r="182">
      <c r="A182" s="7" t="n"/>
      <c r="B182" s="6" t="n"/>
      <c r="C182" s="72" t="inlineStr">
        <is>
          <t>Old Rod</t>
        </is>
      </c>
      <c r="D182" s="6" t="n">
        <v>30</v>
      </c>
      <c r="E182" s="30" t="inlineStr">
        <is>
          <t>Magikarp  Lv 5-10  (70%)</t>
        </is>
      </c>
      <c r="F182" s="30" t="inlineStr">
        <is>
          <t>Tentacool  Lv 5-10  (30%)</t>
        </is>
      </c>
    </row>
    <row r="183">
      <c r="A183" s="7" t="n"/>
      <c r="B183" s="6" t="n"/>
      <c r="C183" s="73" t="inlineStr">
        <is>
          <t>Good Rod</t>
        </is>
      </c>
      <c r="D183" s="6" t="n">
        <v>30</v>
      </c>
      <c r="E183" s="30" t="inlineStr">
        <is>
          <t>Magikarp  Lv 10-30  (60%)</t>
        </is>
      </c>
      <c r="F183" s="30" t="inlineStr">
        <is>
          <t>Tentacool  Lv 10-30  (20%)</t>
        </is>
      </c>
      <c r="G183" s="30" t="inlineStr">
        <is>
          <t>Wailmer  Lv 10-30  (20%)</t>
        </is>
      </c>
    </row>
    <row r="184">
      <c r="A184" s="7" t="n"/>
      <c r="B184" s="6" t="n"/>
      <c r="C184" s="74" t="inlineStr">
        <is>
          <t>Super Rod</t>
        </is>
      </c>
      <c r="D184" s="6" t="n">
        <v>30</v>
      </c>
      <c r="E184" s="30" t="inlineStr">
        <is>
          <t>Wailmer  Lv 30-45  (45%)</t>
        </is>
      </c>
      <c r="F184" s="30" t="inlineStr">
        <is>
          <t>Sharpedo  Lv 30-35  (40%)</t>
        </is>
      </c>
      <c r="G184" s="30" t="inlineStr">
        <is>
          <t>Horsea  Lv 25-30  (15%)</t>
        </is>
      </c>
    </row>
    <row r="185">
      <c r="A185" s="7" t="inlineStr">
        <is>
          <t>Route 134</t>
        </is>
      </c>
      <c r="B185" s="6" t="inlineStr">
        <is>
          <t>Unassigned</t>
        </is>
      </c>
      <c r="C185" s="73" t="inlineStr">
        <is>
          <t>Water</t>
        </is>
      </c>
      <c r="D185" s="6" t="n">
        <v>4</v>
      </c>
      <c r="E185" s="30" t="inlineStr">
        <is>
          <t>Tentacool  Lv 5-35  (60%)</t>
        </is>
      </c>
      <c r="F185" s="30" t="inlineStr">
        <is>
          <t>Wingull  Lv 10-30  (35%)</t>
        </is>
      </c>
      <c r="G185" s="30" t="inlineStr">
        <is>
          <t>Pelipper  Lv 25-30  (5%)</t>
        </is>
      </c>
    </row>
    <row r="186">
      <c r="A186" s="7" t="n"/>
      <c r="B186" s="6" t="n"/>
      <c r="C186" s="72" t="inlineStr">
        <is>
          <t>Old Rod</t>
        </is>
      </c>
      <c r="D186" s="6" t="n">
        <v>30</v>
      </c>
      <c r="E186" s="30" t="inlineStr">
        <is>
          <t>Magikarp  Lv 5-10  (70%)</t>
        </is>
      </c>
      <c r="F186" s="30" t="inlineStr">
        <is>
          <t>Tentacool  Lv 5-10  (30%)</t>
        </is>
      </c>
    </row>
    <row r="187">
      <c r="A187" s="7" t="n"/>
      <c r="B187" s="6" t="n"/>
      <c r="C187" s="73" t="inlineStr">
        <is>
          <t>Good Rod</t>
        </is>
      </c>
      <c r="D187" s="6" t="n">
        <v>30</v>
      </c>
      <c r="E187" s="30" t="inlineStr">
        <is>
          <t>Magikarp  Lv 10-30  (60%)</t>
        </is>
      </c>
      <c r="F187" s="30" t="inlineStr">
        <is>
          <t>Tentacool  Lv 10-30  (20%)</t>
        </is>
      </c>
      <c r="G187" s="30" t="inlineStr">
        <is>
          <t>Wailmer  Lv 10-30  (20%)</t>
        </is>
      </c>
    </row>
    <row r="188">
      <c r="A188" s="7" t="n"/>
      <c r="B188" s="6" t="n"/>
      <c r="C188" s="74" t="inlineStr">
        <is>
          <t>Super Rod</t>
        </is>
      </c>
      <c r="D188" s="6" t="n">
        <v>30</v>
      </c>
      <c r="E188" s="30" t="inlineStr">
        <is>
          <t>Wailmer  Lv 30-45  (45%)</t>
        </is>
      </c>
      <c r="F188" s="30" t="inlineStr">
        <is>
          <t>Sharpedo  Lv 30-35  (40%)</t>
        </is>
      </c>
      <c r="G188" s="30" t="inlineStr">
        <is>
          <t>Horsea  Lv 25-30  (15%)</t>
        </is>
      </c>
    </row>
    <row r="189">
      <c r="A189" s="7" t="inlineStr">
        <is>
          <t>Abandoned Ship Hidden Floor Corridors</t>
        </is>
      </c>
      <c r="B189" s="6" t="inlineStr">
        <is>
          <t>Split 4</t>
        </is>
      </c>
      <c r="C189" s="73" t="inlineStr">
        <is>
          <t>Water</t>
        </is>
      </c>
      <c r="D189" s="6" t="n">
        <v>4</v>
      </c>
      <c r="E189" s="30" t="inlineStr">
        <is>
          <t>Tentacool  Lv 5-35  (99%)</t>
        </is>
      </c>
      <c r="F189" s="30" t="inlineStr">
        <is>
          <t>Tentacruel  Lv 30-35  (1%)</t>
        </is>
      </c>
    </row>
    <row r="190">
      <c r="A190" s="7" t="n"/>
      <c r="B190" s="6" t="n"/>
      <c r="C190" s="72" t="inlineStr">
        <is>
          <t>Old Rod</t>
        </is>
      </c>
      <c r="D190" s="6" t="n">
        <v>20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20</v>
      </c>
      <c r="E191" s="30" t="inlineStr">
        <is>
          <t>Magikarp  Lv 10-30  (60%)</t>
        </is>
      </c>
      <c r="F191" s="30" t="inlineStr">
        <is>
          <t>Tentacool  Lv 10-30  (40%)</t>
        </is>
      </c>
    </row>
    <row r="192">
      <c r="A192" s="7" t="n"/>
      <c r="B192" s="6" t="n"/>
      <c r="C192" s="74" t="inlineStr">
        <is>
          <t>Super Rod</t>
        </is>
      </c>
      <c r="D192" s="6" t="n">
        <v>20</v>
      </c>
      <c r="E192" s="30" t="inlineStr">
        <is>
          <t>Tentacool  Lv 25-35  (80%)</t>
        </is>
      </c>
      <c r="F192" s="30" t="inlineStr">
        <is>
          <t>Tentacruel  Lv 20-35  (20%)</t>
        </is>
      </c>
    </row>
    <row r="193">
      <c r="A193" s="7" t="inlineStr">
        <is>
          <t>Seafloor Cavern Room 1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inlineStr">
        <is>
          <t>Seafloor Cavern Room 2</t>
        </is>
      </c>
      <c r="B194" s="6" t="inlineStr">
        <is>
          <t>Split 8</t>
        </is>
      </c>
      <c r="C194" s="75" t="inlineStr">
        <is>
          <t>Land</t>
        </is>
      </c>
      <c r="D194" s="6" t="n">
        <v>4</v>
      </c>
      <c r="E194" s="30" t="inlineStr">
        <is>
          <t>Zubat  Lv 28-35  (90%)</t>
        </is>
      </c>
      <c r="F194" s="30" t="inlineStr">
        <is>
          <t>Golbat  Lv 33-36  (10%)</t>
        </is>
      </c>
    </row>
    <row r="195">
      <c r="A195" s="7" t="inlineStr">
        <is>
          <t>Seafloor Cavern Room 3</t>
        </is>
      </c>
      <c r="B195" s="6" t="inlineStr">
        <is>
          <t>Split 8</t>
        </is>
      </c>
      <c r="C195" s="75" t="inlineStr">
        <is>
          <t>Land</t>
        </is>
      </c>
      <c r="D195" s="6" t="n">
        <v>4</v>
      </c>
      <c r="E195" s="30" t="inlineStr">
        <is>
          <t>Zubat  Lv 28-35  (90%)</t>
        </is>
      </c>
      <c r="F195" s="30" t="inlineStr">
        <is>
          <t>Golbat  Lv 33-36  (10%)</t>
        </is>
      </c>
    </row>
    <row r="196">
      <c r="A196" s="7" t="inlineStr">
        <is>
          <t>Seafloor Cavern Room 4</t>
        </is>
      </c>
      <c r="B196" s="6" t="inlineStr">
        <is>
          <t>Split 8</t>
        </is>
      </c>
      <c r="C196" s="75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Seafloor Cavern Room 5</t>
        </is>
      </c>
      <c r="B197" s="6" t="inlineStr">
        <is>
          <t>Split 8</t>
        </is>
      </c>
      <c r="C197" s="75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Seafloor Cavern Room 6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n"/>
      <c r="B199" s="6" t="n"/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Seafloor Cavern Room 7</t>
        </is>
      </c>
      <c r="B203" s="6" t="inlineStr">
        <is>
          <t>Split 8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n"/>
      <c r="B204" s="6" t="n"/>
      <c r="C204" s="73" t="inlineStr">
        <is>
          <t>Water</t>
        </is>
      </c>
      <c r="D204" s="6" t="n">
        <v>4</v>
      </c>
      <c r="E204" s="30" t="inlineStr">
        <is>
          <t>Tentacool  Lv 5-35  (60%)</t>
        </is>
      </c>
      <c r="F204" s="30" t="inlineStr">
        <is>
          <t>Zubat  Lv 5-35  (35%)</t>
        </is>
      </c>
      <c r="G204" s="30" t="inlineStr">
        <is>
          <t>Golbat  Lv 30-35  (5%)</t>
        </is>
      </c>
    </row>
    <row r="205">
      <c r="A205" s="7" t="n"/>
      <c r="B205" s="6" t="n"/>
      <c r="C205" s="72" t="inlineStr">
        <is>
          <t>Old Rod</t>
        </is>
      </c>
      <c r="D205" s="6" t="n">
        <v>10</v>
      </c>
      <c r="E205" s="30" t="inlineStr">
        <is>
          <t>Magikarp  Lv 5-10  (70%)</t>
        </is>
      </c>
      <c r="F205" s="30" t="inlineStr">
        <is>
          <t>Tentacool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10</v>
      </c>
      <c r="E206" s="30" t="inlineStr">
        <is>
          <t>Magikarp  Lv 10-30  (60%)</t>
        </is>
      </c>
      <c r="F206" s="30" t="inlineStr">
        <is>
          <t>Tentacool  Lv 10-30  (20%)</t>
        </is>
      </c>
      <c r="G206" s="30" t="inlineStr">
        <is>
          <t>Wailmer  Lv 10-30  (20%)</t>
        </is>
      </c>
    </row>
    <row r="207">
      <c r="A207" s="7" t="n"/>
      <c r="B207" s="6" t="n"/>
      <c r="C207" s="74" t="inlineStr">
        <is>
          <t>Super Rod</t>
        </is>
      </c>
      <c r="D207" s="6" t="n">
        <v>10</v>
      </c>
      <c r="E207" s="30" t="inlineStr">
        <is>
          <t>Wailmer  Lv 20-45  (100%)</t>
        </is>
      </c>
    </row>
    <row r="208">
      <c r="A208" s="7" t="inlineStr">
        <is>
          <t>Seafloor Cavern Room 8</t>
        </is>
      </c>
      <c r="B208" s="6" t="inlineStr">
        <is>
          <t>Split 8</t>
        </is>
      </c>
      <c r="C208" s="75" t="inlineStr">
        <is>
          <t>Land</t>
        </is>
      </c>
      <c r="D208" s="6" t="n">
        <v>4</v>
      </c>
      <c r="E208" s="30" t="inlineStr">
        <is>
          <t>Zubat  Lv 28-35  (90%)</t>
        </is>
      </c>
      <c r="F208" s="30" t="inlineStr">
        <is>
          <t>Golbat  Lv 33-36  (10%)</t>
        </is>
      </c>
    </row>
    <row r="209">
      <c r="A209" s="7" t="inlineStr">
        <is>
          <t>Seafloor Cavern Entrance</t>
        </is>
      </c>
      <c r="B209" s="6" t="inlineStr">
        <is>
          <t>Split 8</t>
        </is>
      </c>
      <c r="C209" s="73" t="inlineStr">
        <is>
          <t>Water</t>
        </is>
      </c>
      <c r="D209" s="6" t="n">
        <v>4</v>
      </c>
      <c r="E209" s="30" t="inlineStr">
        <is>
          <t>Tentacool  Lv 5-35  (60%)</t>
        </is>
      </c>
      <c r="F209" s="30" t="inlineStr">
        <is>
          <t>Zubat  Lv 5-35  (35%)</t>
        </is>
      </c>
      <c r="G209" s="30" t="inlineStr">
        <is>
          <t>Golbat  Lv 30-35  (5%)</t>
        </is>
      </c>
    </row>
    <row r="210">
      <c r="A210" s="7" t="n"/>
      <c r="B210" s="6" t="n"/>
      <c r="C210" s="72" t="inlineStr">
        <is>
          <t>Old Rod</t>
        </is>
      </c>
      <c r="D210" s="6" t="n">
        <v>10</v>
      </c>
      <c r="E210" s="30" t="inlineStr">
        <is>
          <t>Magikarp  Lv 5-10  (70%)</t>
        </is>
      </c>
      <c r="F210" s="30" t="inlineStr">
        <is>
          <t>Tentacool  Lv 5-10  (30%)</t>
        </is>
      </c>
    </row>
    <row r="211">
      <c r="A211" s="7" t="n"/>
      <c r="B211" s="6" t="n"/>
      <c r="C211" s="73" t="inlineStr">
        <is>
          <t>Good Rod</t>
        </is>
      </c>
      <c r="D211" s="6" t="n">
        <v>10</v>
      </c>
      <c r="E211" s="30" t="inlineStr">
        <is>
          <t>Magikarp  Lv 10-30  (60%)</t>
        </is>
      </c>
      <c r="F211" s="30" t="inlineStr">
        <is>
          <t>Tentacool  Lv 10-30  (20%)</t>
        </is>
      </c>
      <c r="G211" s="30" t="inlineStr">
        <is>
          <t>Wailmer  Lv 10-30  (20%)</t>
        </is>
      </c>
    </row>
    <row r="212">
      <c r="A212" s="7" t="n"/>
      <c r="B212" s="6" t="n"/>
      <c r="C212" s="74" t="inlineStr">
        <is>
          <t>Super Rod</t>
        </is>
      </c>
      <c r="D212" s="6" t="n">
        <v>10</v>
      </c>
      <c r="E212" s="30" t="inlineStr">
        <is>
          <t>Wailmer  Lv 20-45  (100%)</t>
        </is>
      </c>
    </row>
    <row r="213">
      <c r="A213" s="7" t="inlineStr">
        <is>
          <t>Cave Of Origin Entrance</t>
        </is>
      </c>
      <c r="B213" s="6" t="inlineStr">
        <is>
          <t>Unassigned</t>
        </is>
      </c>
      <c r="C213" s="75" t="inlineStr">
        <is>
          <t>Land</t>
        </is>
      </c>
      <c r="D213" s="6" t="n">
        <v>4</v>
      </c>
      <c r="E213" s="30" t="inlineStr">
        <is>
          <t>Zubat  Lv 28-35  (90%)</t>
        </is>
      </c>
      <c r="F213" s="30" t="inlineStr">
        <is>
          <t>Golbat  Lv 33-36  (10%)</t>
        </is>
      </c>
    </row>
    <row r="214">
      <c r="A214" s="7" t="inlineStr">
        <is>
          <t>Cave Of Origin 1F</t>
        </is>
      </c>
      <c r="B214" s="6" t="inlineStr">
        <is>
          <t>Unassigned</t>
        </is>
      </c>
      <c r="C214" s="75" t="inlineStr">
        <is>
          <t>Land</t>
        </is>
      </c>
      <c r="D214" s="6" t="n">
        <v>4</v>
      </c>
      <c r="E214" s="30" t="inlineStr">
        <is>
          <t>Zubat  Lv 30-34  (60%)</t>
        </is>
      </c>
      <c r="F214" s="30" t="inlineStr">
        <is>
          <t>Sableye  Lv 30-34  (30%)</t>
        </is>
      </c>
      <c r="G214" s="30" t="inlineStr">
        <is>
          <t>Golbat  Lv 33-36  (10%)</t>
        </is>
      </c>
    </row>
    <row r="215">
      <c r="A215" s="7" t="inlineStr">
        <is>
          <t>Cave Of Origin Unused Ruby Sapphire Map 1</t>
        </is>
      </c>
      <c r="B215" s="6" t="inlineStr">
        <is>
          <t>Unassigned</t>
        </is>
      </c>
      <c r="C215" s="75" t="inlineStr">
        <is>
          <t>Land</t>
        </is>
      </c>
      <c r="D215" s="6" t="n">
        <v>4</v>
      </c>
      <c r="E215" s="30" t="inlineStr">
        <is>
          <t>Zubat  Lv 30-34  (60%)</t>
        </is>
      </c>
      <c r="F215" s="30" t="inlineStr">
        <is>
          <t>Sableye  Lv 30-34  (30%)</t>
        </is>
      </c>
      <c r="G215" s="30" t="inlineStr">
        <is>
          <t>Golbat  Lv 33-36  (10%)</t>
        </is>
      </c>
    </row>
    <row r="216">
      <c r="A216" s="7" t="inlineStr">
        <is>
          <t>Cave Of Origin Unused Ruby Sapphire Map 2</t>
        </is>
      </c>
      <c r="B216" s="6" t="inlineStr">
        <is>
          <t>Unassigned</t>
        </is>
      </c>
      <c r="C216" s="75" t="inlineStr">
        <is>
          <t>Land</t>
        </is>
      </c>
      <c r="D216" s="6" t="n">
        <v>4</v>
      </c>
      <c r="E216" s="30" t="inlineStr">
        <is>
          <t>Zubat  Lv 30-34  (60%)</t>
        </is>
      </c>
      <c r="F216" s="30" t="inlineStr">
        <is>
          <t>Sableye  Lv 30-34  (30%)</t>
        </is>
      </c>
      <c r="G216" s="30" t="inlineStr">
        <is>
          <t>Golbat  Lv 33-36  (10%)</t>
        </is>
      </c>
    </row>
    <row r="217">
      <c r="A217" s="7" t="inlineStr">
        <is>
          <t>Cave Of Origin Unused Ruby Sapphire Map 3</t>
        </is>
      </c>
      <c r="B217" s="6" t="inlineStr">
        <is>
          <t>Unassigned</t>
        </is>
      </c>
      <c r="C217" s="75" t="inlineStr">
        <is>
          <t>Land</t>
        </is>
      </c>
      <c r="D217" s="6" t="n">
        <v>4</v>
      </c>
      <c r="E217" s="30" t="inlineStr">
        <is>
          <t>Zubat  Lv 30-34  (60%)</t>
        </is>
      </c>
      <c r="F217" s="30" t="inlineStr">
        <is>
          <t>Sableye  Lv 30-34  (30%)</t>
        </is>
      </c>
      <c r="G217" s="30" t="inlineStr">
        <is>
          <t>Golbat  Lv 33-36  (10%)</t>
        </is>
      </c>
    </row>
    <row r="218">
      <c r="A218" s="7" t="inlineStr">
        <is>
          <t>New Mauville Entrance</t>
        </is>
      </c>
      <c r="B218" s="6" t="inlineStr">
        <is>
          <t>Split 4</t>
        </is>
      </c>
      <c r="C218" s="75" t="inlineStr">
        <is>
          <t>Land</t>
        </is>
      </c>
      <c r="D218" s="6" t="n">
        <v>10</v>
      </c>
      <c r="E218" s="30" t="inlineStr">
        <is>
          <t>Voltorb  Lv 22-26  (50%)</t>
        </is>
      </c>
      <c r="F218" s="30" t="inlineStr">
        <is>
          <t>Magnemite  Lv 22-26  (50%)</t>
        </is>
      </c>
    </row>
    <row r="219">
      <c r="A219" s="7" t="inlineStr">
        <is>
          <t>Safari Zone Southwest</t>
        </is>
      </c>
      <c r="B219" s="6" t="inlineStr">
        <is>
          <t>Postgame</t>
        </is>
      </c>
      <c r="C219" s="75" t="inlineStr">
        <is>
          <t>Land</t>
        </is>
      </c>
      <c r="D219" s="6" t="n">
        <v>25</v>
      </c>
      <c r="E219" s="30" t="inlineStr">
        <is>
          <t>Oddish  Lv 25-27  (40%)</t>
        </is>
      </c>
      <c r="F219" s="30" t="inlineStr">
        <is>
          <t>Girafarig  Lv 25-27  (20%)</t>
        </is>
      </c>
      <c r="G219" s="30" t="inlineStr">
        <is>
          <t>Natu  Lv 25  (10%)</t>
        </is>
      </c>
      <c r="H219" s="30" t="inlineStr">
        <is>
          <t>Doduo  Lv 27  (10%)</t>
        </is>
      </c>
      <c r="I219" s="30" t="inlineStr">
        <is>
          <t>Wobbuffet  Lv 27-29  (10%)</t>
        </is>
      </c>
      <c r="J219" s="30" t="inlineStr">
        <is>
          <t>Gloom  Lv 25  (5%)</t>
        </is>
      </c>
      <c r="K219" s="30" t="inlineStr">
        <is>
          <t>Pikachu  Lv 25-27  (5%)</t>
        </is>
      </c>
    </row>
    <row r="220">
      <c r="A220" s="7" t="n"/>
      <c r="B220" s="6" t="n"/>
      <c r="C220" s="73" t="inlineStr">
        <is>
          <t>Water</t>
        </is>
      </c>
      <c r="D220" s="6" t="n">
        <v>9</v>
      </c>
      <c r="E220" s="30" t="inlineStr">
        <is>
          <t>Psyduck  Lv 20-35  (100%)</t>
        </is>
      </c>
    </row>
    <row r="221">
      <c r="A221" s="7" t="n"/>
      <c r="B221" s="6" t="n"/>
      <c r="C221" s="72" t="inlineStr">
        <is>
          <t>Old Rod</t>
        </is>
      </c>
      <c r="D221" s="6" t="n">
        <v>35</v>
      </c>
      <c r="E221" s="30" t="inlineStr">
        <is>
          <t>Magikarp  Lv 5-10  (70%)</t>
        </is>
      </c>
      <c r="F221" s="30" t="inlineStr">
        <is>
          <t>Goldeen  Lv 5-10  (30%)</t>
        </is>
      </c>
    </row>
    <row r="222">
      <c r="A222" s="7" t="n"/>
      <c r="B222" s="6" t="n"/>
      <c r="C222" s="73" t="inlineStr">
        <is>
          <t>Good Rod</t>
        </is>
      </c>
      <c r="D222" s="6" t="n">
        <v>35</v>
      </c>
      <c r="E222" s="30" t="inlineStr">
        <is>
          <t>Magikarp  Lv 10-30  (60%)</t>
        </is>
      </c>
      <c r="F222" s="30" t="inlineStr">
        <is>
          <t>Goldeen  Lv 10-30  (40%)</t>
        </is>
      </c>
    </row>
    <row r="223">
      <c r="A223" s="7" t="n"/>
      <c r="B223" s="6" t="n"/>
      <c r="C223" s="74" t="inlineStr">
        <is>
          <t>Super Rod</t>
        </is>
      </c>
      <c r="D223" s="6" t="n">
        <v>35</v>
      </c>
      <c r="E223" s="30" t="inlineStr">
        <is>
          <t>Goldeen  Lv 25-35  (80%)</t>
        </is>
      </c>
      <c r="F223" s="30" t="inlineStr">
        <is>
          <t>Seaking  Lv 25-40  (20%)</t>
        </is>
      </c>
    </row>
    <row r="224">
      <c r="A224" s="7" t="inlineStr">
        <is>
          <t>Safari Zone North</t>
        </is>
      </c>
      <c r="B224" s="6" t="inlineStr">
        <is>
          <t>Postgame</t>
        </is>
      </c>
      <c r="C224" s="75" t="inlineStr">
        <is>
          <t>Land</t>
        </is>
      </c>
      <c r="D224" s="6" t="n">
        <v>25</v>
      </c>
      <c r="E224" s="30" t="inlineStr">
        <is>
          <t>Phanpy  Lv 27-29  (30%)</t>
        </is>
      </c>
      <c r="F224" s="30" t="inlineStr">
        <is>
          <t>Oddish  Lv 27-29  (30%)</t>
        </is>
      </c>
      <c r="G224" s="30" t="inlineStr">
        <is>
          <t>Natu  Lv 27-29  (15%)</t>
        </is>
      </c>
      <c r="H224" s="30" t="inlineStr">
        <is>
          <t>Gloom  Lv 29-31  (15%)</t>
        </is>
      </c>
      <c r="I224" s="30" t="inlineStr">
        <is>
          <t>Xatu  Lv 29-31  (5%)</t>
        </is>
      </c>
      <c r="J224" s="30" t="inlineStr">
        <is>
          <t>Heracross  Lv 27-29  (5%)</t>
        </is>
      </c>
    </row>
    <row r="225">
      <c r="A225" s="7" t="n"/>
      <c r="B225" s="6" t="n"/>
      <c r="C225" s="76" t="inlineStr">
        <is>
          <t>Rock Smash</t>
        </is>
      </c>
      <c r="D225" s="6" t="n">
        <v>25</v>
      </c>
      <c r="E225" s="30" t="inlineStr">
        <is>
          <t>Geodude  Lv 5-30  (100%)</t>
        </is>
      </c>
    </row>
    <row r="226">
      <c r="A226" s="7" t="inlineStr">
        <is>
          <t>Safari Zone Northwest</t>
        </is>
      </c>
      <c r="B226" s="6" t="inlineStr">
        <is>
          <t>Postgame</t>
        </is>
      </c>
      <c r="C226" s="75" t="inlineStr">
        <is>
          <t>Land</t>
        </is>
      </c>
      <c r="D226" s="6" t="n">
        <v>25</v>
      </c>
      <c r="E226" s="30" t="inlineStr">
        <is>
          <t>Rhyhorn  Lv 27-29  (30%)</t>
        </is>
      </c>
      <c r="F226" s="30" t="inlineStr">
        <is>
          <t>Oddish  Lv 27-29  (30%)</t>
        </is>
      </c>
      <c r="G226" s="30" t="inlineStr">
        <is>
          <t>Doduo  Lv 27-29  (15%)</t>
        </is>
      </c>
      <c r="H226" s="30" t="inlineStr">
        <is>
          <t>Gloom  Lv 29-31  (15%)</t>
        </is>
      </c>
      <c r="I226" s="30" t="inlineStr">
        <is>
          <t>Dodrio  Lv 29-31  (5%)</t>
        </is>
      </c>
      <c r="J226" s="30" t="inlineStr">
        <is>
          <t>Pinsir  Lv 27-29  (5%)</t>
        </is>
      </c>
    </row>
    <row r="227">
      <c r="A227" s="7" t="n"/>
      <c r="B227" s="6" t="n"/>
      <c r="C227" s="73" t="inlineStr">
        <is>
          <t>Water</t>
        </is>
      </c>
      <c r="D227" s="6" t="n">
        <v>9</v>
      </c>
      <c r="E227" s="30" t="inlineStr">
        <is>
          <t>Psyduck  Lv 20-35  (95%)</t>
        </is>
      </c>
      <c r="F227" s="30" t="inlineStr">
        <is>
          <t>Golduck  Lv 25-40  (5%)</t>
        </is>
      </c>
    </row>
    <row r="228">
      <c r="A228" s="7" t="n"/>
      <c r="B228" s="6" t="n"/>
      <c r="C228" s="72" t="inlineStr">
        <is>
          <t>Old Rod</t>
        </is>
      </c>
      <c r="D228" s="6" t="n">
        <v>35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35</v>
      </c>
      <c r="E229" s="30" t="inlineStr">
        <is>
          <t>Magikarp  Lv 10-30  (60%)</t>
        </is>
      </c>
      <c r="F229" s="30" t="inlineStr">
        <is>
          <t>Goldeen  Lv 10-30  (40%)</t>
        </is>
      </c>
    </row>
    <row r="230">
      <c r="A230" s="7" t="n"/>
      <c r="B230" s="6" t="n"/>
      <c r="C230" s="74" t="inlineStr">
        <is>
          <t>Super Rod</t>
        </is>
      </c>
      <c r="D230" s="6" t="n">
        <v>35</v>
      </c>
      <c r="E230" s="30" t="inlineStr">
        <is>
          <t>Goldeen  Lv 25-35  (80%)</t>
        </is>
      </c>
      <c r="F230" s="30" t="inlineStr">
        <is>
          <t>Seaking  Lv 25-40  (20%)</t>
        </is>
      </c>
    </row>
    <row r="231">
      <c r="A231" s="7" t="inlineStr">
        <is>
          <t>Victory Road B1F</t>
        </is>
      </c>
      <c r="B231" s="6" t="inlineStr">
        <is>
          <t>Elite Four &amp; Champion</t>
        </is>
      </c>
      <c r="C231" s="75" t="inlineStr">
        <is>
          <t>Land</t>
        </is>
      </c>
      <c r="D231" s="6" t="n">
        <v>10</v>
      </c>
      <c r="E231" s="30" t="inlineStr">
        <is>
          <t>Golbat  Lv 38-42  (35%)</t>
        </is>
      </c>
      <c r="F231" s="30" t="inlineStr">
        <is>
          <t>Hariyama  Lv 38-42  (35%)</t>
        </is>
      </c>
      <c r="G231" s="30" t="inlineStr">
        <is>
          <t>Lairon  Lv 40-42  (25%)</t>
        </is>
      </c>
      <c r="H231" s="30" t="inlineStr">
        <is>
          <t>Mawile  Lv 38  (5%)</t>
        </is>
      </c>
    </row>
    <row r="232">
      <c r="A232" s="7" t="n"/>
      <c r="B232" s="6" t="n"/>
      <c r="C232" s="76" t="inlineStr">
        <is>
          <t>Rock Smash</t>
        </is>
      </c>
      <c r="D232" s="6" t="n">
        <v>20</v>
      </c>
      <c r="E232" s="30" t="inlineStr">
        <is>
          <t>Graveler  Lv 30-40  (70%)</t>
        </is>
      </c>
      <c r="F232" s="30" t="inlineStr">
        <is>
          <t>Geodude  Lv 30-40  (30%)</t>
        </is>
      </c>
    </row>
    <row r="233">
      <c r="A233" s="7" t="inlineStr">
        <is>
          <t>Victory Road B2F</t>
        </is>
      </c>
      <c r="B233" s="6" t="inlineStr">
        <is>
          <t>Elite Four &amp; Champion</t>
        </is>
      </c>
      <c r="C233" s="75" t="inlineStr">
        <is>
          <t>Land</t>
        </is>
      </c>
      <c r="D233" s="6" t="n">
        <v>10</v>
      </c>
      <c r="E233" s="30" t="inlineStr">
        <is>
          <t>Golbat  Lv 40-44  (35%)</t>
        </is>
      </c>
      <c r="F233" s="30" t="inlineStr">
        <is>
          <t>Sableye  Lv 40-44  (35%)</t>
        </is>
      </c>
      <c r="G233" s="30" t="inlineStr">
        <is>
          <t>Lairon  Lv 40-44  (25%)</t>
        </is>
      </c>
      <c r="H233" s="30" t="inlineStr">
        <is>
          <t>Mawile  Lv 42-44  (5%)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25-40  (100%)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Zubat  Lv 14-20  (80%)</t>
        </is>
      </c>
      <c r="F238" s="30" t="inlineStr">
        <is>
          <t>Solrock  Lv 14-18  (20%)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Zubat  Lv 5-35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20-45  (100%)</t>
        </is>
      </c>
    </row>
    <row r="243">
      <c r="A243" s="7" t="inlineStr">
        <is>
          <t>Meteor Falls 1 F2R</t>
        </is>
      </c>
      <c r="B243" s="6" t="inlineStr">
        <is>
          <t>Unassigned</t>
        </is>
      </c>
      <c r="C243" s="75" t="inlineStr">
        <is>
          <t>Land</t>
        </is>
      </c>
      <c r="D243" s="6" t="n">
        <v>10</v>
      </c>
      <c r="E243" s="30" t="inlineStr">
        <is>
          <t>Golbat  Lv 33-40  (65%)</t>
        </is>
      </c>
      <c r="F243" s="30" t="inlineStr">
        <is>
          <t>Solrock  Lv 33-39  (35%)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Golbat  Lv 30-35  (90%)</t>
        </is>
      </c>
      <c r="F244" s="30" t="inlineStr">
        <is>
          <t>Solrock  Lv 5-35  (10%)</t>
        </is>
      </c>
    </row>
    <row r="245">
      <c r="A245" s="7" t="n"/>
      <c r="B245" s="6" t="n"/>
      <c r="C245" s="72" t="inlineStr">
        <is>
          <t>Old Rod</t>
        </is>
      </c>
      <c r="D245" s="6" t="n">
        <v>30</v>
      </c>
      <c r="E245" s="30" t="inlineStr">
        <is>
          <t>Magikarp  Lv 5-10  (70%)</t>
        </is>
      </c>
      <c r="F245" s="30" t="inlineStr">
        <is>
          <t>Goldeen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30</v>
      </c>
      <c r="E246" s="30" t="inlineStr">
        <is>
          <t>Magikarp  Lv 10-30  (60%)</t>
        </is>
      </c>
      <c r="F246" s="30" t="inlineStr">
        <is>
          <t>Goldeen  Lv 10-30  (20%)</t>
        </is>
      </c>
      <c r="G246" s="30" t="inlineStr">
        <is>
          <t>Barboach  Lv 10-30  (20%)</t>
        </is>
      </c>
    </row>
    <row r="247">
      <c r="A247" s="7" t="n"/>
      <c r="B247" s="6" t="n"/>
      <c r="C247" s="74" t="inlineStr">
        <is>
          <t>Super Rod</t>
        </is>
      </c>
      <c r="D247" s="6" t="n">
        <v>30</v>
      </c>
      <c r="E247" s="30" t="inlineStr">
        <is>
          <t>Barboach  Lv 25-35  (80%)</t>
        </is>
      </c>
      <c r="F247" s="30" t="inlineStr">
        <is>
          <t>Whiscash  Lv 30-45  (20%)</t>
        </is>
      </c>
    </row>
    <row r="248">
      <c r="A248" s="7" t="inlineStr">
        <is>
          <t>Meteor Falls B1 F1R</t>
        </is>
      </c>
      <c r="B248" s="6" t="inlineStr">
        <is>
          <t>Unassigned</t>
        </is>
      </c>
      <c r="C248" s="75" t="inlineStr">
        <is>
          <t>Land</t>
        </is>
      </c>
      <c r="D248" s="6" t="n">
        <v>10</v>
      </c>
      <c r="E248" s="30" t="inlineStr">
        <is>
          <t>Golbat  Lv 33-40  (65%)</t>
        </is>
      </c>
      <c r="F248" s="30" t="inlineStr">
        <is>
          <t>Solrock  Lv 33-39  (35%)</t>
        </is>
      </c>
    </row>
    <row r="249">
      <c r="A249" s="7" t="n"/>
      <c r="B249" s="6" t="n"/>
      <c r="C249" s="73" t="inlineStr">
        <is>
          <t>Water</t>
        </is>
      </c>
      <c r="D249" s="6" t="n">
        <v>4</v>
      </c>
      <c r="E249" s="30" t="inlineStr">
        <is>
          <t>Golbat  Lv 30-35  (90%)</t>
        </is>
      </c>
      <c r="F249" s="30" t="inlineStr">
        <is>
          <t>Solrock  Lv 5-35  (10%)</t>
        </is>
      </c>
    </row>
    <row r="250">
      <c r="A250" s="7" t="n"/>
      <c r="B250" s="6" t="n"/>
      <c r="C250" s="72" t="inlineStr">
        <is>
          <t>Old Rod</t>
        </is>
      </c>
      <c r="D250" s="6" t="n">
        <v>30</v>
      </c>
      <c r="E250" s="30" t="inlineStr">
        <is>
          <t>Magikarp  Lv 5-10  (70%)</t>
        </is>
      </c>
      <c r="F250" s="30" t="inlineStr">
        <is>
          <t>Goldeen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30</v>
      </c>
      <c r="E251" s="30" t="inlineStr">
        <is>
          <t>Magikarp  Lv 10-30  (60%)</t>
        </is>
      </c>
      <c r="F251" s="30" t="inlineStr">
        <is>
          <t>Goldeen  Lv 10-30  (20%)</t>
        </is>
      </c>
      <c r="G251" s="30" t="inlineStr">
        <is>
          <t>Barboach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30</v>
      </c>
      <c r="E252" s="30" t="inlineStr">
        <is>
          <t>Barboach  Lv 25-35  (80%)</t>
        </is>
      </c>
      <c r="F252" s="30" t="inlineStr">
        <is>
          <t>Whiscash  Lv 30-45  (20%)</t>
        </is>
      </c>
    </row>
    <row r="253">
      <c r="A253" s="7" t="inlineStr">
        <is>
          <t>Shoal Cave Low Tide Stairs Room</t>
        </is>
      </c>
      <c r="B253" s="6" t="inlineStr">
        <is>
          <t>Split 7</t>
        </is>
      </c>
      <c r="C253" s="75" t="inlineStr">
        <is>
          <t>Land</t>
        </is>
      </c>
      <c r="D253" s="6" t="n">
        <v>10</v>
      </c>
      <c r="E253" s="30" t="inlineStr">
        <is>
          <t>Spheal  Lv 26-32  (50%)</t>
        </is>
      </c>
      <c r="F253" s="30" t="inlineStr">
        <is>
          <t>Zubat  Lv 26-32  (45%)</t>
        </is>
      </c>
      <c r="G253" s="30" t="inlineStr">
        <is>
          <t>Golbat  Lv 32  (5%)</t>
        </is>
      </c>
    </row>
    <row r="254">
      <c r="A254" s="7" t="inlineStr">
        <is>
          <t>Shoal Cave Low Tide Lower Room</t>
        </is>
      </c>
      <c r="B254" s="6" t="inlineStr">
        <is>
          <t>Split 7</t>
        </is>
      </c>
      <c r="C254" s="75" t="inlineStr">
        <is>
          <t>Land</t>
        </is>
      </c>
      <c r="D254" s="6" t="n">
        <v>10</v>
      </c>
      <c r="E254" s="30" t="inlineStr">
        <is>
          <t>Spheal  Lv 26-32  (50%)</t>
        </is>
      </c>
      <c r="F254" s="30" t="inlineStr">
        <is>
          <t>Zubat  Lv 26-32  (45%)</t>
        </is>
      </c>
      <c r="G254" s="30" t="inlineStr">
        <is>
          <t>Golbat  Lv 32  (5%)</t>
        </is>
      </c>
    </row>
    <row r="255">
      <c r="A255" s="7" t="inlineStr">
        <is>
          <t>Shoal Cave Low Tide Inner Room</t>
        </is>
      </c>
      <c r="B255" s="6" t="inlineStr">
        <is>
          <t>Split 7</t>
        </is>
      </c>
      <c r="C255" s="75" t="inlineStr">
        <is>
          <t>Land</t>
        </is>
      </c>
      <c r="D255" s="6" t="n">
        <v>10</v>
      </c>
      <c r="E255" s="30" t="inlineStr">
        <is>
          <t>Spheal  Lv 26-32  (50%)</t>
        </is>
      </c>
      <c r="F255" s="30" t="inlineStr">
        <is>
          <t>Zubat  Lv 26-32  (45%)</t>
        </is>
      </c>
      <c r="G255" s="30" t="inlineStr">
        <is>
          <t>Golbat  Lv 32  (5%)</t>
        </is>
      </c>
    </row>
    <row r="256">
      <c r="A256" s="7" t="n"/>
      <c r="B256" s="6" t="n"/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Zubat  Lv 5-35  (30%)</t>
        </is>
      </c>
      <c r="G256" s="30" t="inlineStr">
        <is>
          <t>Spheal  Lv 25-35  (10%)</t>
        </is>
      </c>
    </row>
    <row r="257">
      <c r="A257" s="7" t="n"/>
      <c r="B257" s="6" t="n"/>
      <c r="C257" s="72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4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Shoal Cave Low Tide Entrance Room</t>
        </is>
      </c>
      <c r="B260" s="6" t="inlineStr">
        <is>
          <t>Split 7</t>
        </is>
      </c>
      <c r="C260" s="75" t="inlineStr">
        <is>
          <t>Land</t>
        </is>
      </c>
      <c r="D260" s="6" t="n">
        <v>10</v>
      </c>
      <c r="E260" s="30" t="inlineStr">
        <is>
          <t>Spheal  Lv 26-32  (50%)</t>
        </is>
      </c>
      <c r="F260" s="30" t="inlineStr">
        <is>
          <t>Zubat  Lv 26-32  (45%)</t>
        </is>
      </c>
      <c r="G260" s="30" t="inlineStr">
        <is>
          <t>Golbat  Lv 32  (5%)</t>
        </is>
      </c>
    </row>
    <row r="261">
      <c r="A261" s="7" t="n"/>
      <c r="B261" s="6" t="n"/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Zubat  Lv 5-35  (30%)</t>
        </is>
      </c>
      <c r="G261" s="30" t="inlineStr">
        <is>
          <t>Spheal  Lv 25-35  (10%)</t>
        </is>
      </c>
    </row>
    <row r="262">
      <c r="A262" s="7" t="n"/>
      <c r="B262" s="6" t="n"/>
      <c r="C262" s="72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20-45  (100%)</t>
        </is>
      </c>
    </row>
    <row r="265">
      <c r="A265" s="7" t="inlineStr">
        <is>
          <t>Lilycove City</t>
        </is>
      </c>
      <c r="B265" s="6" t="inlineStr">
        <is>
          <t>Split 7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2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(85%)</t>
        </is>
      </c>
      <c r="F268" s="30" t="inlineStr">
        <is>
          <t>Staryu  Lv 25-30  (15%)</t>
        </is>
      </c>
    </row>
    <row r="269">
      <c r="A269" s="7" t="inlineStr">
        <is>
          <t>Dewford Town</t>
        </is>
      </c>
      <c r="B269" s="6" t="inlineStr">
        <is>
          <t>Split 3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2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Tentacool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20-45  (100%)</t>
        </is>
      </c>
    </row>
    <row r="273">
      <c r="A273" s="7" t="inlineStr">
        <is>
          <t>Slateport City</t>
        </is>
      </c>
      <c r="B273" s="6" t="inlineStr">
        <is>
          <t>Split 4</t>
        </is>
      </c>
      <c r="C273" s="73" t="inlineStr">
        <is>
          <t>Water</t>
        </is>
      </c>
      <c r="D273" s="6" t="n">
        <v>4</v>
      </c>
      <c r="E273" s="30" t="inlineStr">
        <is>
          <t>Tentacool  Lv 5-35  (60%)</t>
        </is>
      </c>
      <c r="F273" s="30" t="inlineStr">
        <is>
          <t>Wingull  Lv 10-30  (35%)</t>
        </is>
      </c>
      <c r="G273" s="30" t="inlineStr">
        <is>
          <t>Pelipper  Lv 25-30  (5%)</t>
        </is>
      </c>
    </row>
    <row r="274">
      <c r="A274" s="7" t="n"/>
      <c r="B274" s="6" t="n"/>
      <c r="C274" s="72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Tentacool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Tentacool  Lv 10-30  (20%)</t>
        </is>
      </c>
      <c r="G275" s="30" t="inlineStr">
        <is>
          <t>Wailmer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Wailmer  Lv 20-45  (100%)</t>
        </is>
      </c>
    </row>
    <row r="277">
      <c r="A277" s="7" t="inlineStr">
        <is>
          <t>Mossdeep City</t>
        </is>
      </c>
      <c r="B277" s="6" t="inlineStr">
        <is>
          <t>Split 7</t>
        </is>
      </c>
      <c r="C277" s="73" t="inlineStr">
        <is>
          <t>Water</t>
        </is>
      </c>
      <c r="D277" s="6" t="n">
        <v>4</v>
      </c>
      <c r="E277" s="30" t="inlineStr">
        <is>
          <t>Tentacool  Lv 5-35  (60%)</t>
        </is>
      </c>
      <c r="F277" s="30" t="inlineStr">
        <is>
          <t>Wingull  Lv 10-30  (35%)</t>
        </is>
      </c>
      <c r="G277" s="30" t="inlineStr">
        <is>
          <t>Pelipper  Lv 25-30  (5%)</t>
        </is>
      </c>
    </row>
    <row r="278">
      <c r="A278" s="7" t="n"/>
      <c r="B278" s="6" t="n"/>
      <c r="C278" s="72" t="inlineStr">
        <is>
          <t>Old Rod</t>
        </is>
      </c>
      <c r="D278" s="6" t="n">
        <v>10</v>
      </c>
      <c r="E278" s="30" t="inlineStr">
        <is>
          <t>Magikarp  Lv 5-10  (70%)</t>
        </is>
      </c>
      <c r="F278" s="30" t="inlineStr">
        <is>
          <t>Tentacool  Lv 5-10  (30%)</t>
        </is>
      </c>
    </row>
    <row r="279">
      <c r="A279" s="7" t="n"/>
      <c r="B279" s="6" t="n"/>
      <c r="C279" s="73" t="inlineStr">
        <is>
          <t>Good Rod</t>
        </is>
      </c>
      <c r="D279" s="6" t="n">
        <v>10</v>
      </c>
      <c r="E279" s="30" t="inlineStr">
        <is>
          <t>Magikarp  Lv 10-30  (60%)</t>
        </is>
      </c>
      <c r="F279" s="30" t="inlineStr">
        <is>
          <t>Tentacool  Lv 10-30  (20%)</t>
        </is>
      </c>
      <c r="G279" s="30" t="inlineStr">
        <is>
          <t>Wailmer  Lv 10-30  (20%)</t>
        </is>
      </c>
    </row>
    <row r="280">
      <c r="A280" s="7" t="n"/>
      <c r="B280" s="6" t="n"/>
      <c r="C280" s="74" t="inlineStr">
        <is>
          <t>Super Rod</t>
        </is>
      </c>
      <c r="D280" s="6" t="n">
        <v>10</v>
      </c>
      <c r="E280" s="30" t="inlineStr">
        <is>
          <t>Wailmer  Lv 25-45  (60%)</t>
        </is>
      </c>
      <c r="F280" s="30" t="inlineStr">
        <is>
          <t>Sharpedo  Lv 30-35  (40%)</t>
        </is>
      </c>
    </row>
    <row r="281">
      <c r="A281" s="7" t="inlineStr">
        <is>
          <t>Pacifidlog Town</t>
        </is>
      </c>
      <c r="B281" s="6" t="inlineStr">
        <is>
          <t>Unassigned</t>
        </is>
      </c>
      <c r="C281" s="73" t="inlineStr">
        <is>
          <t>Water</t>
        </is>
      </c>
      <c r="D281" s="6" t="n">
        <v>4</v>
      </c>
      <c r="E281" s="30" t="inlineStr">
        <is>
          <t>Tentacool  Lv 5-35  (60%)</t>
        </is>
      </c>
      <c r="F281" s="30" t="inlineStr">
        <is>
          <t>Wingull  Lv 10-30  (35%)</t>
        </is>
      </c>
      <c r="G281" s="30" t="inlineStr">
        <is>
          <t>Pelipper  Lv 25-30  (5%)</t>
        </is>
      </c>
    </row>
    <row r="282">
      <c r="A282" s="7" t="n"/>
      <c r="B282" s="6" t="n"/>
      <c r="C282" s="72" t="inlineStr">
        <is>
          <t>Old Rod</t>
        </is>
      </c>
      <c r="D282" s="6" t="n">
        <v>10</v>
      </c>
      <c r="E282" s="30" t="inlineStr">
        <is>
          <t>Magikarp  Lv 5-10  (70%)</t>
        </is>
      </c>
      <c r="F282" s="30" t="inlineStr">
        <is>
          <t>Tentacool  Lv 5-10  (30%)</t>
        </is>
      </c>
    </row>
    <row r="283">
      <c r="A283" s="7" t="n"/>
      <c r="B283" s="6" t="n"/>
      <c r="C283" s="73" t="inlineStr">
        <is>
          <t>Good Rod</t>
        </is>
      </c>
      <c r="D283" s="6" t="n">
        <v>10</v>
      </c>
      <c r="E283" s="30" t="inlineStr">
        <is>
          <t>Magikarp  Lv 10-30  (60%)</t>
        </is>
      </c>
      <c r="F283" s="30" t="inlineStr">
        <is>
          <t>Tentacool  Lv 10-30  (20%)</t>
        </is>
      </c>
      <c r="G283" s="30" t="inlineStr">
        <is>
          <t>Wailmer  Lv 10-30  (20%)</t>
        </is>
      </c>
    </row>
    <row r="284">
      <c r="A284" s="7" t="n"/>
      <c r="B284" s="6" t="n"/>
      <c r="C284" s="74" t="inlineStr">
        <is>
          <t>Super Rod</t>
        </is>
      </c>
      <c r="D284" s="6" t="n">
        <v>10</v>
      </c>
      <c r="E284" s="30" t="inlineStr">
        <is>
          <t>Wailmer  Lv 25-45  (60%)</t>
        </is>
      </c>
      <c r="F284" s="30" t="inlineStr">
        <is>
          <t>Sharpedo  Lv 30-35  (40%)</t>
        </is>
      </c>
    </row>
    <row r="285">
      <c r="A285" s="7" t="inlineStr">
        <is>
          <t>Ever Grande City</t>
        </is>
      </c>
      <c r="B285" s="6" t="inlineStr">
        <is>
          <t>Elite Four &amp; Champion</t>
        </is>
      </c>
      <c r="C285" s="73" t="inlineStr">
        <is>
          <t>Water</t>
        </is>
      </c>
      <c r="D285" s="6" t="n">
        <v>4</v>
      </c>
      <c r="E285" s="30" t="inlineStr">
        <is>
          <t>Tentacool  Lv 5-35  (60%)</t>
        </is>
      </c>
      <c r="F285" s="30" t="inlineStr">
        <is>
          <t>Wingull  Lv 10-30  (35%)</t>
        </is>
      </c>
      <c r="G285" s="30" t="inlineStr">
        <is>
          <t>Pelipper  Lv 25-30  (5%)</t>
        </is>
      </c>
    </row>
    <row r="286">
      <c r="A286" s="7" t="n"/>
      <c r="B286" s="6" t="n"/>
      <c r="C286" s="72" t="inlineStr">
        <is>
          <t>Old Rod</t>
        </is>
      </c>
      <c r="D286" s="6" t="n">
        <v>10</v>
      </c>
      <c r="E286" s="30" t="inlineStr">
        <is>
          <t>Magikarp  Lv 5-10  (70%)</t>
        </is>
      </c>
      <c r="F286" s="30" t="inlineStr">
        <is>
          <t>Tentacool  Lv 5-10  (30%)</t>
        </is>
      </c>
    </row>
    <row r="287">
      <c r="A287" s="7" t="n"/>
      <c r="B287" s="6" t="n"/>
      <c r="C287" s="73" t="inlineStr">
        <is>
          <t>Good Rod</t>
        </is>
      </c>
      <c r="D287" s="6" t="n">
        <v>10</v>
      </c>
      <c r="E287" s="30" t="inlineStr">
        <is>
          <t>Magikarp  Lv 10-30  (60%)</t>
        </is>
      </c>
      <c r="F287" s="30" t="inlineStr">
        <is>
          <t>Luvdisc  Lv 10-30  (20%)</t>
        </is>
      </c>
      <c r="G287" s="30" t="inlineStr">
        <is>
          <t>Wailmer  Lv 10-30  (20%)</t>
        </is>
      </c>
    </row>
    <row r="288">
      <c r="A288" s="7" t="n"/>
      <c r="B288" s="6" t="n"/>
      <c r="C288" s="74" t="inlineStr">
        <is>
          <t>Super Rod</t>
        </is>
      </c>
      <c r="D288" s="6" t="n">
        <v>10</v>
      </c>
      <c r="E288" s="30" t="inlineStr">
        <is>
          <t>Wailmer  Lv 30-45  (45%)</t>
        </is>
      </c>
      <c r="F288" s="30" t="inlineStr">
        <is>
          <t>Luvdisc  Lv 30-35  (40%)</t>
        </is>
      </c>
      <c r="G288" s="30" t="inlineStr">
        <is>
          <t>Corsola  Lv 30-35  (15%)</t>
        </is>
      </c>
    </row>
    <row r="289">
      <c r="A289" s="7" t="inlineStr">
        <is>
          <t>Petalburg City</t>
        </is>
      </c>
      <c r="B289" s="6" t="inlineStr">
        <is>
          <t>Split 1</t>
        </is>
      </c>
      <c r="C289" s="73" t="inlineStr">
        <is>
          <t>Water</t>
        </is>
      </c>
      <c r="D289" s="6" t="n">
        <v>1</v>
      </c>
      <c r="E289" s="30" t="inlineStr">
        <is>
          <t>Marill  Lv 5-35  (100%)</t>
        </is>
      </c>
    </row>
    <row r="290">
      <c r="A290" s="7" t="n"/>
      <c r="B290" s="6" t="n"/>
      <c r="C290" s="72" t="inlineStr">
        <is>
          <t>Old Rod</t>
        </is>
      </c>
      <c r="D290" s="6" t="n">
        <v>10</v>
      </c>
      <c r="E290" s="30" t="inlineStr">
        <is>
          <t>Magikarp  Lv 5-10  (70%)</t>
        </is>
      </c>
      <c r="F290" s="30" t="inlineStr">
        <is>
          <t>Goldeen  Lv 5-10  (30%)</t>
        </is>
      </c>
    </row>
    <row r="291">
      <c r="A291" s="7" t="n"/>
      <c r="B291" s="6" t="n"/>
      <c r="C291" s="73" t="inlineStr">
        <is>
          <t>Good Rod</t>
        </is>
      </c>
      <c r="D291" s="6" t="n">
        <v>10</v>
      </c>
      <c r="E291" s="30" t="inlineStr">
        <is>
          <t>Marill  Lv 5  (100%)</t>
        </is>
      </c>
    </row>
    <row r="292">
      <c r="A292" s="7" t="n"/>
      <c r="B292" s="6" t="n"/>
      <c r="C292" s="74" t="inlineStr">
        <is>
          <t>Super Rod</t>
        </is>
      </c>
      <c r="D292" s="6" t="n">
        <v>10</v>
      </c>
      <c r="E292" s="30" t="inlineStr">
        <is>
          <t>Corphish  Lv 20-45  (100%)</t>
        </is>
      </c>
    </row>
    <row r="293">
      <c r="A293" s="7" t="n"/>
      <c r="B293" s="6" t="n"/>
      <c r="C293" s="75" t="inlineStr">
        <is>
          <t>Land</t>
        </is>
      </c>
      <c r="D293" s="6" t="n">
        <v>20</v>
      </c>
      <c r="E293" s="30" t="inlineStr">
        <is>
          <t>Spheal  Lv 5  (24%)</t>
        </is>
      </c>
      <c r="F293" s="30" t="inlineStr">
        <is>
          <t>Shellos  Lv 5  (20%)</t>
        </is>
      </c>
      <c r="G293" s="30" t="inlineStr">
        <is>
          <t>Bibarel  Lv 5  (15%)</t>
        </is>
      </c>
      <c r="H293" s="30" t="inlineStr">
        <is>
          <t>Froakie  Lv 6  (15%)</t>
        </is>
      </c>
      <c r="I293" s="30" t="inlineStr">
        <is>
          <t>Croagunk  Lv 5  (10%)</t>
        </is>
      </c>
      <c r="J293" s="30" t="inlineStr">
        <is>
          <t>Stunfisk  Lv 6  (10%)</t>
        </is>
      </c>
      <c r="K293" s="30" t="inlineStr">
        <is>
          <t>Oshawott  Lv 6  (6%)</t>
        </is>
      </c>
    </row>
    <row r="294">
      <c r="A294" s="7" t="inlineStr">
        <is>
          <t>Petalburg Coast</t>
        </is>
      </c>
      <c r="B294" s="6" t="inlineStr">
        <is>
          <t>Split 1</t>
        </is>
      </c>
      <c r="C294" s="75" t="inlineStr">
        <is>
          <t>Land</t>
        </is>
      </c>
      <c r="D294" s="6" t="n">
        <v>20</v>
      </c>
      <c r="E294" s="30" t="inlineStr">
        <is>
          <t>Roggenrola  Lv 7  (20%)</t>
        </is>
      </c>
      <c r="F294" s="30" t="inlineStr">
        <is>
          <t>Binacle  Lv 8  (20%)</t>
        </is>
      </c>
      <c r="G294" s="30" t="inlineStr">
        <is>
          <t>Nosepass  Lv 8  (15%)</t>
        </is>
      </c>
      <c r="H294" s="30" t="inlineStr">
        <is>
          <t>Sandile  Lv 7  (10%)</t>
        </is>
      </c>
      <c r="I294" s="30" t="inlineStr">
        <is>
          <t>Helioptile  Lv 7  (10%)</t>
        </is>
      </c>
      <c r="J294" s="30" t="inlineStr">
        <is>
          <t>Aron  Lv 8  (10%)</t>
        </is>
      </c>
      <c r="K294" s="30" t="inlineStr">
        <is>
          <t>Inkay  Lv 7  (5%)</t>
        </is>
      </c>
      <c r="L294" s="30" t="inlineStr">
        <is>
          <t>Onix  Lv 8  (5%)</t>
        </is>
      </c>
    </row>
    <row r="295">
      <c r="E295" s="30" t="inlineStr">
        <is>
          <t>Gligar  Lv 7  (4%)</t>
        </is>
      </c>
      <c r="F295" s="30" t="inlineStr">
        <is>
          <t>Absol  Lv 7  (1%)</t>
        </is>
      </c>
    </row>
    <row r="296">
      <c r="A296" s="7" t="n"/>
      <c r="B296" s="6" t="n"/>
      <c r="C296" s="73" t="inlineStr">
        <is>
          <t>Water</t>
        </is>
      </c>
      <c r="D296" s="6" t="n">
        <v>4</v>
      </c>
      <c r="E296" s="30" t="inlineStr">
        <is>
          <t>Wingull  Lv 30-34  (60%)</t>
        </is>
      </c>
      <c r="F296" s="30" t="inlineStr">
        <is>
          <t>Tentacool  Lv 30-34  (30%)</t>
        </is>
      </c>
      <c r="G296" s="30" t="inlineStr">
        <is>
          <t>Shellder  Lv 30-34  (5%)</t>
        </is>
      </c>
      <c r="H296" s="30" t="inlineStr">
        <is>
          <t>Clauncher  Lv 30-34  (4%)</t>
        </is>
      </c>
      <c r="I296" s="30" t="inlineStr">
        <is>
          <t>Skrelp  Lv 30-34  (1%)</t>
        </is>
      </c>
    </row>
    <row r="297">
      <c r="A297" s="7" t="n"/>
      <c r="B297" s="6" t="n"/>
      <c r="C297" s="72" t="inlineStr">
        <is>
          <t>Old Rod</t>
        </is>
      </c>
      <c r="D297" s="6" t="n">
        <v>30</v>
      </c>
      <c r="E297" s="30" t="inlineStr">
        <is>
          <t>Magikarp  Lv 5-10  (100%)</t>
        </is>
      </c>
    </row>
    <row r="298">
      <c r="A298" s="7" t="n"/>
      <c r="B298" s="6" t="n"/>
      <c r="C298" s="73" t="inlineStr">
        <is>
          <t>Good Rod</t>
        </is>
      </c>
      <c r="D298" s="6" t="n">
        <v>30</v>
      </c>
      <c r="E298" s="30" t="inlineStr">
        <is>
          <t>Shellder  Lv 10-12  (60%)</t>
        </is>
      </c>
      <c r="F298" s="30" t="inlineStr">
        <is>
          <t>Skrelp  Lv 10-12  (20%)</t>
        </is>
      </c>
      <c r="G298" s="30" t="inlineStr">
        <is>
          <t>Clauncher  Lv 10-12  (20%)</t>
        </is>
      </c>
    </row>
    <row r="299">
      <c r="A299" s="7" t="n"/>
      <c r="B299" s="6" t="n"/>
      <c r="C299" s="74" t="inlineStr">
        <is>
          <t>Super Rod</t>
        </is>
      </c>
      <c r="D299" s="6" t="n">
        <v>30</v>
      </c>
      <c r="E299" s="30" t="inlineStr">
        <is>
          <t>Cloyster  Lv 42-48  (40%)</t>
        </is>
      </c>
      <c r="F299" s="30" t="inlineStr">
        <is>
          <t>Clawitzer  Lv 42-48  (40%)</t>
        </is>
      </c>
      <c r="G299" s="30" t="inlineStr">
        <is>
          <t>Dragalge  Lv 42-48  (15%)</t>
        </is>
      </c>
      <c r="H299" s="30" t="inlineStr">
        <is>
          <t>Staryu  Lv 42-48  (4%)</t>
        </is>
      </c>
      <c r="I299" s="30" t="inlineStr">
        <is>
          <t>Clamperl  Lv 42-48  (1%)</t>
        </is>
      </c>
    </row>
    <row r="300">
      <c r="A300" s="7" t="inlineStr">
        <is>
          <t>Trainer Grove</t>
        </is>
      </c>
      <c r="B300" s="6" t="inlineStr">
        <is>
          <t>Split 1</t>
        </is>
      </c>
      <c r="C300" s="75" t="inlineStr">
        <is>
          <t>Land</t>
        </is>
      </c>
      <c r="D300" s="6" t="n">
        <v>20</v>
      </c>
      <c r="E300" s="30" t="inlineStr">
        <is>
          <t>Sandshrew  Lv 8  (20%)</t>
        </is>
      </c>
      <c r="F300" s="30" t="inlineStr">
        <is>
          <t>Bidoof  Lv 8  (20%)</t>
        </is>
      </c>
      <c r="G300" s="30" t="inlineStr">
        <is>
          <t>Natu  Lv 9  (15%)</t>
        </is>
      </c>
      <c r="H300" s="30" t="inlineStr">
        <is>
          <t>Mienfoo  Lv 8  (10%)</t>
        </is>
      </c>
      <c r="I300" s="30" t="inlineStr">
        <is>
          <t>Phanpy  Lv 9  (10%)</t>
        </is>
      </c>
      <c r="J300" s="30" t="inlineStr">
        <is>
          <t>Minccino  Lv 8  (10%)</t>
        </is>
      </c>
      <c r="K300" s="30" t="inlineStr">
        <is>
          <t>Makuhita  Lv 9  (5%)</t>
        </is>
      </c>
      <c r="L300" s="30" t="inlineStr">
        <is>
          <t>Pancham  Lv 8  (5%)</t>
        </is>
      </c>
    </row>
    <row r="301">
      <c r="E301" s="30" t="inlineStr">
        <is>
          <t>Espurr  Lv 9  (4%)</t>
        </is>
      </c>
      <c r="F301" s="30" t="inlineStr">
        <is>
          <t>Zorua  Lv 8  (1%)</t>
        </is>
      </c>
    </row>
    <row r="302">
      <c r="A302" s="7" t="inlineStr">
        <is>
          <t>Underwater Route 124</t>
        </is>
      </c>
      <c r="B302" s="6" t="inlineStr">
        <is>
          <t>Unassigned</t>
        </is>
      </c>
      <c r="C302" s="73" t="inlineStr">
        <is>
          <t>Water</t>
        </is>
      </c>
      <c r="D302" s="6" t="n">
        <v>4</v>
      </c>
      <c r="E302" s="30" t="inlineStr">
        <is>
          <t>Clamperl  Lv 20-35  (65%)</t>
        </is>
      </c>
      <c r="F302" s="30" t="inlineStr">
        <is>
          <t>Chinchou  Lv 20-30  (30%)</t>
        </is>
      </c>
      <c r="G302" s="30" t="inlineStr">
        <is>
          <t>Relicanth  Lv 30-35  (5%)</t>
        </is>
      </c>
    </row>
    <row r="303">
      <c r="A303" s="7" t="inlineStr">
        <is>
          <t>Shoal Cave Low Tide Ice Room</t>
        </is>
      </c>
      <c r="B303" s="6" t="inlineStr">
        <is>
          <t>Split 7</t>
        </is>
      </c>
      <c r="C303" s="75" t="inlineStr">
        <is>
          <t>Land</t>
        </is>
      </c>
      <c r="D303" s="6" t="n">
        <v>10</v>
      </c>
      <c r="E303" s="30" t="inlineStr">
        <is>
          <t>Spheal  Lv 26-32  (45%)</t>
        </is>
      </c>
      <c r="F303" s="30" t="inlineStr">
        <is>
          <t>Zubat  Lv 26-30  (40%)</t>
        </is>
      </c>
      <c r="G303" s="30" t="inlineStr">
        <is>
          <t>Snorunt  Lv 26-30  (10%)</t>
        </is>
      </c>
      <c r="H303" s="30" t="inlineStr">
        <is>
          <t>Golbat  Lv 30-32  (5%)</t>
        </is>
      </c>
    </row>
    <row r="304">
      <c r="A304" s="7" t="inlineStr">
        <is>
          <t>Sky Pillar 1F</t>
        </is>
      </c>
      <c r="B304" s="6" t="inlineStr">
        <is>
          <t>Unassigned</t>
        </is>
      </c>
      <c r="C304" s="75" t="inlineStr">
        <is>
          <t>Land</t>
        </is>
      </c>
      <c r="D304" s="6" t="n">
        <v>10</v>
      </c>
      <c r="E304" s="30" t="inlineStr">
        <is>
          <t>Sableye  Lv 33-34  (30%)</t>
        </is>
      </c>
      <c r="F304" s="30" t="inlineStr">
        <is>
          <t>Golbat  Lv 34-35  (30%)</t>
        </is>
      </c>
      <c r="G304" s="30" t="inlineStr">
        <is>
          <t>Claydol  Lv 36-38  (25%)</t>
        </is>
      </c>
      <c r="H304" s="30" t="inlineStr">
        <is>
          <t>Banette  Lv 37-38  (15%)</t>
        </is>
      </c>
    </row>
    <row r="305">
      <c r="A305" s="7" t="inlineStr">
        <is>
          <t>Sootopolis City</t>
        </is>
      </c>
      <c r="B305" s="6" t="inlineStr">
        <is>
          <t>Split 8</t>
        </is>
      </c>
      <c r="C305" s="73" t="inlineStr">
        <is>
          <t>Water</t>
        </is>
      </c>
      <c r="D305" s="6" t="n">
        <v>1</v>
      </c>
      <c r="E305" s="30" t="inlineStr">
        <is>
          <t>Magikarp  Lv 5-35  (100%)</t>
        </is>
      </c>
    </row>
    <row r="306">
      <c r="A306" s="7" t="n"/>
      <c r="B306" s="6" t="n"/>
      <c r="C306" s="72" t="inlineStr">
        <is>
          <t>Old Rod</t>
        </is>
      </c>
      <c r="D306" s="6" t="n">
        <v>10</v>
      </c>
      <c r="E306" s="30" t="inlineStr">
        <is>
          <t>Magikarp  Lv 5-10  (70%)</t>
        </is>
      </c>
      <c r="F306" s="30" t="inlineStr">
        <is>
          <t>Tentacool  Lv 5-10  (30%)</t>
        </is>
      </c>
    </row>
    <row r="307">
      <c r="A307" s="7" t="n"/>
      <c r="B307" s="6" t="n"/>
      <c r="C307" s="73" t="inlineStr">
        <is>
          <t>Good Rod</t>
        </is>
      </c>
      <c r="D307" s="6" t="n">
        <v>10</v>
      </c>
      <c r="E307" s="30" t="inlineStr">
        <is>
          <t>Magikarp  Lv 10-30  (100%)</t>
        </is>
      </c>
    </row>
    <row r="308">
      <c r="A308" s="7" t="n"/>
      <c r="B308" s="6" t="n"/>
      <c r="C308" s="74" t="inlineStr">
        <is>
          <t>Super Rod</t>
        </is>
      </c>
      <c r="D308" s="6" t="n">
        <v>10</v>
      </c>
      <c r="E308" s="30" t="inlineStr">
        <is>
          <t>Magikarp  Lv 30-35  (80%)</t>
        </is>
      </c>
      <c r="F308" s="30" t="inlineStr">
        <is>
          <t>Gyarados  Lv 5-45  (20%)</t>
        </is>
      </c>
    </row>
    <row r="309">
      <c r="A309" s="7" t="inlineStr">
        <is>
          <t>Sky Pillar 3F</t>
        </is>
      </c>
      <c r="B309" s="6" t="inlineStr">
        <is>
          <t>Unassigned</t>
        </is>
      </c>
      <c r="C309" s="75" t="inlineStr">
        <is>
          <t>Land</t>
        </is>
      </c>
      <c r="D309" s="6" t="n">
        <v>10</v>
      </c>
      <c r="E309" s="30" t="inlineStr">
        <is>
          <t>Sableye  Lv 33-34  (30%)</t>
        </is>
      </c>
      <c r="F309" s="30" t="inlineStr">
        <is>
          <t>Golbat  Lv 34-35  (30%)</t>
        </is>
      </c>
      <c r="G309" s="30" t="inlineStr">
        <is>
          <t>Claydol  Lv 36-38  (25%)</t>
        </is>
      </c>
      <c r="H309" s="30" t="inlineStr">
        <is>
          <t>Banette  Lv 37-38  (15%)</t>
        </is>
      </c>
    </row>
    <row r="310">
      <c r="A310" s="7" t="inlineStr">
        <is>
          <t>Sky Pillar 5F</t>
        </is>
      </c>
      <c r="B310" s="6" t="inlineStr">
        <is>
          <t>Unassigned</t>
        </is>
      </c>
      <c r="C310" s="75" t="inlineStr">
        <is>
          <t>Land</t>
        </is>
      </c>
      <c r="D310" s="6" t="n">
        <v>10</v>
      </c>
      <c r="E310" s="30" t="inlineStr">
        <is>
          <t>Sableye  Lv 33-34  (30%)</t>
        </is>
      </c>
      <c r="F310" s="30" t="inlineStr">
        <is>
          <t>Golbat  Lv 34-35  (30%)</t>
        </is>
      </c>
      <c r="G310" s="30" t="inlineStr">
        <is>
          <t>Claydol  Lv 36-37  (19%)</t>
        </is>
      </c>
      <c r="H310" s="30" t="inlineStr">
        <is>
          <t>Banette  Lv 37-38  (15%)</t>
        </is>
      </c>
      <c r="I310" s="30" t="inlineStr">
        <is>
          <t>Altaria  Lv 38-39  (6%)</t>
        </is>
      </c>
    </row>
    <row r="311">
      <c r="A311" s="7" t="inlineStr">
        <is>
          <t>Safari Zone Southeast</t>
        </is>
      </c>
      <c r="B311" s="6" t="inlineStr">
        <is>
          <t>Postgame</t>
        </is>
      </c>
      <c r="C311" s="75" t="inlineStr">
        <is>
          <t>Land</t>
        </is>
      </c>
      <c r="D311" s="6" t="n">
        <v>25</v>
      </c>
      <c r="E311" s="30" t="inlineStr">
        <is>
          <t>Sunkern  Lv 33-35  (30%)</t>
        </is>
      </c>
      <c r="F311" s="30" t="inlineStr">
        <is>
          <t>Mareep  Lv 34-36  (30%)</t>
        </is>
      </c>
      <c r="G311" s="30" t="inlineStr">
        <is>
          <t>Aipom  Lv 34  (10%)</t>
        </is>
      </c>
      <c r="H311" s="30" t="inlineStr">
        <is>
          <t>Spinarak  Lv 33  (10%)</t>
        </is>
      </c>
      <c r="I311" s="30" t="inlineStr">
        <is>
          <t>Hoothoot  Lv 35  (5%)</t>
        </is>
      </c>
      <c r="J311" s="30" t="inlineStr">
        <is>
          <t>Snubbull  Lv 34  (5%)</t>
        </is>
      </c>
      <c r="K311" s="30" t="inlineStr">
        <is>
          <t>Stantler  Lv 36-39  (5%)</t>
        </is>
      </c>
      <c r="L311" s="30" t="inlineStr">
        <is>
          <t>Gligar  Lv 37-40  (5%)</t>
        </is>
      </c>
    </row>
    <row r="312">
      <c r="A312" s="7" t="n"/>
      <c r="B312" s="6" t="n"/>
      <c r="C312" s="73" t="inlineStr">
        <is>
          <t>Water</t>
        </is>
      </c>
      <c r="D312" s="6" t="n">
        <v>9</v>
      </c>
      <c r="E312" s="30" t="inlineStr">
        <is>
          <t>Wooper  Lv 25-30  (60%)</t>
        </is>
      </c>
      <c r="F312" s="30" t="inlineStr">
        <is>
          <t>Marill  Lv 25-35  (39%)</t>
        </is>
      </c>
      <c r="G312" s="30" t="inlineStr">
        <is>
          <t>Quagsire  Lv 35-40  (1%)</t>
        </is>
      </c>
    </row>
    <row r="313">
      <c r="A313" s="7" t="n"/>
      <c r="B313" s="6" t="n"/>
      <c r="C313" s="72" t="inlineStr">
        <is>
          <t>Old Rod</t>
        </is>
      </c>
      <c r="D313" s="6" t="n">
        <v>35</v>
      </c>
      <c r="E313" s="30" t="inlineStr">
        <is>
          <t>Magikarp  Lv 25-30  (70%)</t>
        </is>
      </c>
      <c r="F313" s="30" t="inlineStr">
        <is>
          <t>Goldeen  Lv 25-30  (30%)</t>
        </is>
      </c>
    </row>
    <row r="314">
      <c r="A314" s="7" t="n"/>
      <c r="B314" s="6" t="n"/>
      <c r="C314" s="73" t="inlineStr">
        <is>
          <t>Good Rod</t>
        </is>
      </c>
      <c r="D314" s="6" t="n">
        <v>35</v>
      </c>
      <c r="E314" s="30" t="inlineStr">
        <is>
          <t>Magikarp  Lv 25-30  (60%)</t>
        </is>
      </c>
      <c r="F314" s="30" t="inlineStr">
        <is>
          <t>Goldeen  Lv 25-30  (20%)</t>
        </is>
      </c>
      <c r="G314" s="30" t="inlineStr">
        <is>
          <t>Remoraid  Lv 30-35  (20%)</t>
        </is>
      </c>
    </row>
    <row r="315">
      <c r="A315" s="7" t="n"/>
      <c r="B315" s="6" t="n"/>
      <c r="C315" s="74" t="inlineStr">
        <is>
          <t>Super Rod</t>
        </is>
      </c>
      <c r="D315" s="6" t="n">
        <v>35</v>
      </c>
      <c r="E315" s="30" t="inlineStr">
        <is>
          <t>Remoraid  Lv 25-35  (59%)</t>
        </is>
      </c>
      <c r="F315" s="30" t="inlineStr">
        <is>
          <t>Goldeen  Lv 25-30  (40%)</t>
        </is>
      </c>
      <c r="G315" s="30" t="inlineStr">
        <is>
          <t>Octillery  Lv 35-40  (1%)</t>
        </is>
      </c>
    </row>
    <row r="316">
      <c r="A316" s="7" t="inlineStr">
        <is>
          <t>Safari Zone Northeast</t>
        </is>
      </c>
      <c r="B316" s="6" t="inlineStr">
        <is>
          <t>Postgame</t>
        </is>
      </c>
      <c r="C316" s="75" t="inlineStr">
        <is>
          <t>Land</t>
        </is>
      </c>
      <c r="D316" s="6" t="n">
        <v>25</v>
      </c>
      <c r="E316" s="30" t="inlineStr">
        <is>
          <t>Aipom  Lv 33-35  (30%)</t>
        </is>
      </c>
      <c r="F316" s="30" t="inlineStr">
        <is>
          <t>Teddiursa  Lv 34-36  (30%)</t>
        </is>
      </c>
      <c r="G316" s="30" t="inlineStr">
        <is>
          <t>Sunkern  Lv 34  (10%)</t>
        </is>
      </c>
      <c r="H316" s="30" t="inlineStr">
        <is>
          <t>Ledyba  Lv 33  (10%)</t>
        </is>
      </c>
      <c r="I316" s="30" t="inlineStr">
        <is>
          <t>Hoothoot  Lv 35  (5%)</t>
        </is>
      </c>
      <c r="J316" s="30" t="inlineStr">
        <is>
          <t>Pineco  Lv 34  (5%)</t>
        </is>
      </c>
      <c r="K316" s="30" t="inlineStr">
        <is>
          <t>Houndour  Lv 36-39  (5%)</t>
        </is>
      </c>
      <c r="L316" s="30" t="inlineStr">
        <is>
          <t>Miltank  Lv 37-40  (5%)</t>
        </is>
      </c>
    </row>
    <row r="317">
      <c r="A317" s="7" t="n"/>
      <c r="B317" s="6" t="n"/>
      <c r="C317" s="76" t="inlineStr">
        <is>
          <t>Rock Smash</t>
        </is>
      </c>
      <c r="D317" s="6" t="n">
        <v>25</v>
      </c>
      <c r="E317" s="30" t="inlineStr">
        <is>
          <t>Shuckle  Lv 20-40  (100%)</t>
        </is>
      </c>
    </row>
    <row r="318">
      <c r="A318" s="7" t="inlineStr">
        <is>
          <t>Magma Hideout 1F</t>
        </is>
      </c>
      <c r="B318" s="6" t="inlineStr">
        <is>
          <t>Split 5</t>
        </is>
      </c>
      <c r="C318" s="75" t="inlineStr">
        <is>
          <t>Land</t>
        </is>
      </c>
      <c r="D318" s="6" t="n">
        <v>10</v>
      </c>
      <c r="E318" s="30" t="inlineStr">
        <is>
          <t>Geodude  Lv 27-30  (55%)</t>
        </is>
      </c>
      <c r="F318" s="30" t="inlineStr">
        <is>
          <t>Torkoal  Lv 28-30  (30%)</t>
        </is>
      </c>
      <c r="G318" s="30" t="inlineStr">
        <is>
          <t>Graveler  Lv 30-33  (15%)</t>
        </is>
      </c>
    </row>
    <row r="319">
      <c r="A319" s="7" t="inlineStr">
        <is>
          <t>Magma Hideout 2 F1R</t>
        </is>
      </c>
      <c r="B319" s="6" t="inlineStr">
        <is>
          <t>Split 5</t>
        </is>
      </c>
      <c r="C319" s="75" t="inlineStr">
        <is>
          <t>Land</t>
        </is>
      </c>
      <c r="D319" s="6" t="n">
        <v>10</v>
      </c>
      <c r="E319" s="30" t="inlineStr">
        <is>
          <t>Geodude  Lv 27-30  (55%)</t>
        </is>
      </c>
      <c r="F319" s="30" t="inlineStr">
        <is>
          <t>Torkoal  Lv 28-30  (30%)</t>
        </is>
      </c>
      <c r="G319" s="30" t="inlineStr">
        <is>
          <t>Graveler  Lv 30-33  (15%)</t>
        </is>
      </c>
    </row>
    <row r="320">
      <c r="A320" s="7" t="inlineStr">
        <is>
          <t>Magma Hideout 2 F2R</t>
        </is>
      </c>
      <c r="B320" s="6" t="inlineStr">
        <is>
          <t>Split 5</t>
        </is>
      </c>
      <c r="C320" s="75" t="inlineStr">
        <is>
          <t>Land</t>
        </is>
      </c>
      <c r="D320" s="6" t="n">
        <v>10</v>
      </c>
      <c r="E320" s="30" t="inlineStr">
        <is>
          <t>Geodude  Lv 27-30  (55%)</t>
        </is>
      </c>
      <c r="F320" s="30" t="inlineStr">
        <is>
          <t>Torkoal  Lv 28-30  (30%)</t>
        </is>
      </c>
      <c r="G320" s="30" t="inlineStr">
        <is>
          <t>Graveler  Lv 30-33  (15%)</t>
        </is>
      </c>
    </row>
    <row r="321">
      <c r="A321" s="7" t="inlineStr">
        <is>
          <t>Magma Hideout 3 F1R</t>
        </is>
      </c>
      <c r="B321" s="6" t="inlineStr">
        <is>
          <t>Split 5</t>
        </is>
      </c>
      <c r="C321" s="75" t="inlineStr">
        <is>
          <t>Land</t>
        </is>
      </c>
      <c r="D321" s="6" t="n">
        <v>10</v>
      </c>
      <c r="E321" s="30" t="inlineStr">
        <is>
          <t>Geodude  Lv 27-30  (55%)</t>
        </is>
      </c>
      <c r="F321" s="30" t="inlineStr">
        <is>
          <t>Torkoal  Lv 28-30  (30%)</t>
        </is>
      </c>
      <c r="G321" s="30" t="inlineStr">
        <is>
          <t>Graveler  Lv 30-33  (15%)</t>
        </is>
      </c>
    </row>
    <row r="322">
      <c r="A322" s="7" t="inlineStr">
        <is>
          <t>Magma Hideout 3 F2R</t>
        </is>
      </c>
      <c r="B322" s="6" t="inlineStr">
        <is>
          <t>Split 5</t>
        </is>
      </c>
      <c r="C322" s="75" t="inlineStr">
        <is>
          <t>Land</t>
        </is>
      </c>
      <c r="D322" s="6" t="n">
        <v>10</v>
      </c>
      <c r="E322" s="30" t="inlineStr">
        <is>
          <t>Geodude  Lv 27-30  (55%)</t>
        </is>
      </c>
      <c r="F322" s="30" t="inlineStr">
        <is>
          <t>Torkoal  Lv 28-30  (30%)</t>
        </is>
      </c>
      <c r="G322" s="30" t="inlineStr">
        <is>
          <t>Graveler  Lv 30-33  (15%)</t>
        </is>
      </c>
    </row>
    <row r="323">
      <c r="A323" s="7" t="inlineStr">
        <is>
          <t>Magma Hideout 4F</t>
        </is>
      </c>
      <c r="B323" s="6" t="inlineStr">
        <is>
          <t>Split 5</t>
        </is>
      </c>
      <c r="C323" s="75" t="inlineStr">
        <is>
          <t>Land</t>
        </is>
      </c>
      <c r="D323" s="6" t="n">
        <v>10</v>
      </c>
      <c r="E323" s="30" t="inlineStr">
        <is>
          <t>Geodude  Lv 27-30  (55%)</t>
        </is>
      </c>
      <c r="F323" s="30" t="inlineStr">
        <is>
          <t>Torkoal  Lv 28-30  (30%)</t>
        </is>
      </c>
      <c r="G323" s="30" t="inlineStr">
        <is>
          <t>Graveler  Lv 30-33  (15%)</t>
        </is>
      </c>
    </row>
    <row r="324">
      <c r="A324" s="7" t="inlineStr">
        <is>
          <t>Magma Hideout 3 F3R</t>
        </is>
      </c>
      <c r="B324" s="6" t="inlineStr">
        <is>
          <t>Split 5</t>
        </is>
      </c>
      <c r="C324" s="75" t="inlineStr">
        <is>
          <t>Land</t>
        </is>
      </c>
      <c r="D324" s="6" t="n">
        <v>10</v>
      </c>
      <c r="E324" s="30" t="inlineStr">
        <is>
          <t>Geodude  Lv 27-30  (55%)</t>
        </is>
      </c>
      <c r="F324" s="30" t="inlineStr">
        <is>
          <t>Torkoal  Lv 28-30  (30%)</t>
        </is>
      </c>
      <c r="G324" s="30" t="inlineStr">
        <is>
          <t>Graveler  Lv 30-33  (15%)</t>
        </is>
      </c>
    </row>
    <row r="325">
      <c r="A325" s="7" t="inlineStr">
        <is>
          <t>Magma Hideout 2 F3R</t>
        </is>
      </c>
      <c r="B325" s="6" t="inlineStr">
        <is>
          <t>Split 5</t>
        </is>
      </c>
      <c r="C325" s="75" t="inlineStr">
        <is>
          <t>Land</t>
        </is>
      </c>
      <c r="D325" s="6" t="n">
        <v>10</v>
      </c>
      <c r="E325" s="30" t="inlineStr">
        <is>
          <t>Geodude  Lv 27-30  (55%)</t>
        </is>
      </c>
      <c r="F325" s="30" t="inlineStr">
        <is>
          <t>Torkoal  Lv 28-30  (30%)</t>
        </is>
      </c>
      <c r="G325" s="30" t="inlineStr">
        <is>
          <t>Graveler  Lv 30-33  (15%)</t>
        </is>
      </c>
    </row>
    <row r="326">
      <c r="A326" s="7" t="inlineStr">
        <is>
          <t>Mirage Tower 1F</t>
        </is>
      </c>
      <c r="B326" s="6" t="inlineStr">
        <is>
          <t>Split 5</t>
        </is>
      </c>
      <c r="C326" s="75" t="inlineStr">
        <is>
          <t>Land</t>
        </is>
      </c>
      <c r="D326" s="6" t="n">
        <v>10</v>
      </c>
      <c r="E326" s="30" t="inlineStr">
        <is>
          <t>Sandshrew  Lv 20-24  (50%)</t>
        </is>
      </c>
      <c r="F326" s="30" t="inlineStr">
        <is>
          <t>Trapinch  Lv 20-24  (50%)</t>
        </is>
      </c>
    </row>
    <row r="327">
      <c r="A327" s="7" t="inlineStr">
        <is>
          <t>Mirage Tower 2F</t>
        </is>
      </c>
      <c r="B327" s="6" t="inlineStr">
        <is>
          <t>Split 5</t>
        </is>
      </c>
      <c r="C327" s="75" t="inlineStr">
        <is>
          <t>Land</t>
        </is>
      </c>
      <c r="D327" s="6" t="n">
        <v>10</v>
      </c>
      <c r="E327" s="30" t="inlineStr">
        <is>
          <t>Sandshrew  Lv 20-24  (50%)</t>
        </is>
      </c>
      <c r="F327" s="30" t="inlineStr">
        <is>
          <t>Trapinch  Lv 20-24  (50%)</t>
        </is>
      </c>
    </row>
    <row r="328">
      <c r="A328" s="7" t="inlineStr">
        <is>
          <t>Mirage Tower 3F</t>
        </is>
      </c>
      <c r="B328" s="6" t="inlineStr">
        <is>
          <t>Split 5</t>
        </is>
      </c>
      <c r="C328" s="75" t="inlineStr">
        <is>
          <t>Land</t>
        </is>
      </c>
      <c r="D328" s="6" t="n">
        <v>10</v>
      </c>
      <c r="E328" s="30" t="inlineStr">
        <is>
          <t>Sandshrew  Lv 20-24  (50%)</t>
        </is>
      </c>
      <c r="F328" s="30" t="inlineStr">
        <is>
          <t>Trapinch  Lv 20-24  (50%)</t>
        </is>
      </c>
    </row>
    <row r="329">
      <c r="A329" s="7" t="inlineStr">
        <is>
          <t>Mirage Tower 4F</t>
        </is>
      </c>
      <c r="B329" s="6" t="inlineStr">
        <is>
          <t>Split 5</t>
        </is>
      </c>
      <c r="C329" s="75" t="inlineStr">
        <is>
          <t>Land</t>
        </is>
      </c>
      <c r="D329" s="6" t="n">
        <v>10</v>
      </c>
      <c r="E329" s="30" t="inlineStr">
        <is>
          <t>Sandshrew  Lv 20-24  (50%)</t>
        </is>
      </c>
      <c r="F329" s="30" t="inlineStr">
        <is>
          <t>Trapinch  Lv 20-24  (50%)</t>
        </is>
      </c>
    </row>
    <row r="330">
      <c r="A330" s="7" t="inlineStr">
        <is>
          <t>Desert Underpass</t>
        </is>
      </c>
      <c r="B330" s="6" t="inlineStr">
        <is>
          <t>Postgame</t>
        </is>
      </c>
      <c r="C330" s="75" t="inlineStr">
        <is>
          <t>Land</t>
        </is>
      </c>
      <c r="D330" s="6" t="n">
        <v>10</v>
      </c>
      <c r="E330" s="30" t="inlineStr">
        <is>
          <t>Ditto  Lv 38-45  (50%)</t>
        </is>
      </c>
      <c r="F330" s="30" t="inlineStr">
        <is>
          <t>Whismur  Lv 35-38  (34%)</t>
        </is>
      </c>
      <c r="G330" s="30" t="inlineStr">
        <is>
          <t>Loudred  Lv 38-44  (16%)</t>
        </is>
      </c>
    </row>
    <row r="331">
      <c r="A331" s="7" t="inlineStr">
        <is>
          <t>Artisan Cave B1F</t>
        </is>
      </c>
      <c r="B331" s="6" t="inlineStr">
        <is>
          <t>Unassigned</t>
        </is>
      </c>
      <c r="C331" s="75" t="inlineStr">
        <is>
          <t>Land</t>
        </is>
      </c>
      <c r="D331" s="6" t="n">
        <v>10</v>
      </c>
      <c r="E331" s="30" t="inlineStr">
        <is>
          <t>Smeargle  Lv 40-50  (100%)</t>
        </is>
      </c>
    </row>
    <row r="332">
      <c r="A332" s="7" t="inlineStr">
        <is>
          <t>Artisan Cave 1F</t>
        </is>
      </c>
      <c r="B332" s="6" t="inlineStr">
        <is>
          <t>Unassigned</t>
        </is>
      </c>
      <c r="C332" s="75" t="inlineStr">
        <is>
          <t>Land</t>
        </is>
      </c>
      <c r="D332" s="6" t="n">
        <v>10</v>
      </c>
      <c r="E332" s="30" t="inlineStr">
        <is>
          <t>Smeargle  Lv 40-50  (100%)</t>
        </is>
      </c>
    </row>
    <row r="333">
      <c r="A333" s="7" t="inlineStr">
        <is>
          <t>Altering Cave</t>
        </is>
      </c>
      <c r="B333" s="6" t="inlineStr">
        <is>
          <t>Postgame</t>
        </is>
      </c>
      <c r="C333" s="75" t="inlineStr">
        <is>
          <t>Land</t>
        </is>
      </c>
      <c r="D333" s="6" t="n">
        <v>7</v>
      </c>
      <c r="E333" s="30" t="inlineStr">
        <is>
          <t>Zubat  Lv 6-16  (100%)</t>
        </is>
      </c>
      <c r="F333" s="30" t="inlineStr">
        <is>
          <t>Mareep  Lv 3-13  (100%)</t>
        </is>
      </c>
      <c r="G333" s="30" t="inlineStr">
        <is>
          <t>Pineco  Lv 19-29  (100%)</t>
        </is>
      </c>
      <c r="H333" s="30" t="inlineStr">
        <is>
          <t>Houndour  Lv 12-22  (100%)</t>
        </is>
      </c>
      <c r="I333" s="30" t="inlineStr">
        <is>
          <t>Teddiursa  Lv 6-16  (100%)</t>
        </is>
      </c>
      <c r="J333" s="30" t="inlineStr">
        <is>
          <t>Aipom  Lv 18-28  (100%)</t>
        </is>
      </c>
      <c r="K333" s="30" t="inlineStr">
        <is>
          <t>Shuckle  Lv 18-28  (100%)</t>
        </is>
      </c>
      <c r="L333" s="30" t="inlineStr">
        <is>
          <t>Stantler  Lv 18-28  (100%)</t>
        </is>
      </c>
    </row>
    <row r="334">
      <c r="E334" s="30" t="inlineStr">
        <is>
          <t>Smeargle  Lv 18-28  (100%)</t>
        </is>
      </c>
    </row>
    <row r="335">
      <c r="A335" s="7" t="inlineStr">
        <is>
          <t>Meteor Falls Stevens Cave</t>
        </is>
      </c>
      <c r="B335" s="6" t="inlineStr">
        <is>
          <t>Unassigned</t>
        </is>
      </c>
      <c r="C335" s="75" t="inlineStr">
        <is>
          <t>Land</t>
        </is>
      </c>
      <c r="D335" s="6" t="n">
        <v>10</v>
      </c>
      <c r="E335" s="30" t="inlineStr">
        <is>
          <t>Golbat  Lv 33-40  (65%)</t>
        </is>
      </c>
      <c r="F335" s="30" t="inlineStr">
        <is>
          <t>Solrock  Lv 33-39  (35%)</t>
        </is>
      </c>
    </row>
    <row r="336">
      <c r="A336" s="7" t="inlineStr">
        <is>
          <t>No map assigned (unused table)</t>
        </is>
      </c>
      <c r="B336" s="6" t="inlineStr">
        <is>
          <t>Unassigned</t>
        </is>
      </c>
      <c r="C336" s="75" t="inlineStr">
        <is>
          <t>Land</t>
        </is>
      </c>
      <c r="D336" s="6" t="n">
        <v>4</v>
      </c>
      <c r="E336" s="30" t="inlineStr">
        <is>
          <t>Charmeleon  Lv 5  (110%)</t>
        </is>
      </c>
      <c r="F336" s="30" t="inlineStr">
        <is>
          <t>Charmander  Lv 5  (100%)</t>
        </is>
      </c>
      <c r="G336" s="30" t="inlineStr">
        <is>
          <t>Venusaur  Lv 5  (95%)</t>
        </is>
      </c>
      <c r="H336" s="30" t="inlineStr">
        <is>
          <t>Charizard  Lv 5  (90%)</t>
        </is>
      </c>
      <c r="I336" s="30" t="inlineStr">
        <is>
          <t>Ivysaur  Lv 5  (80%)</t>
        </is>
      </c>
      <c r="J336" s="30" t="inlineStr">
        <is>
          <t>Bulbasaur  Lv 5  (60%)</t>
        </is>
      </c>
      <c r="K336" s="30" t="inlineStr">
        <is>
          <t>Squirtle  Lv 5  (40%)</t>
        </is>
      </c>
      <c r="L336" s="30" t="inlineStr">
        <is>
          <t>Wartortle  Lv 5  (25%)</t>
        </is>
      </c>
    </row>
    <row r="337">
      <c r="A337" s="7" t="n"/>
      <c r="B337" s="6" t="n"/>
      <c r="C337" s="75" t="inlineStr">
        <is>
          <t>Land</t>
        </is>
      </c>
      <c r="D337" s="6" t="n">
        <v>8</v>
      </c>
      <c r="E337" s="30" t="inlineStr">
        <is>
          <t>Wartortle  Lv 5  (40%)</t>
        </is>
      </c>
      <c r="F337" s="30" t="inlineStr">
        <is>
          <t>Squirtle  Lv 5  (30%)</t>
        </is>
      </c>
      <c r="G337" s="30" t="inlineStr">
        <is>
          <t>Charizard  Lv 5  (20%)</t>
        </is>
      </c>
      <c r="H337" s="30" t="inlineStr">
        <is>
          <t>Charmeleon  Lv 5  (10%)</t>
        </is>
      </c>
    </row>
    <row r="338">
      <c r="A338" s="7" t="n"/>
      <c r="B338" s="6" t="n"/>
      <c r="C338" s="75" t="inlineStr">
        <is>
          <t>Land</t>
        </is>
      </c>
      <c r="D338" s="6" t="n">
        <v>10</v>
      </c>
      <c r="E338" s="30" t="inlineStr">
        <is>
          <t>Seviper  Lv 5  (104%)</t>
        </is>
      </c>
      <c r="F338" s="30" t="inlineStr">
        <is>
          <t>Milotic  Lv 5  (104%)</t>
        </is>
      </c>
      <c r="G338" s="30" t="inlineStr">
        <is>
          <t>Dusclops  Lv 5  (48%)</t>
        </is>
      </c>
      <c r="H338" s="30" t="inlineStr">
        <is>
          <t>Electrode  Lv 5  (48%)</t>
        </is>
      </c>
      <c r="I338" s="30" t="inlineStr">
        <is>
          <t>Breloom  Lv 5  (48%)</t>
        </is>
      </c>
      <c r="J338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3</t>
        </is>
      </c>
      <c r="D2" s="32" t="inlineStr">
        <is>
          <t>Split 3</t>
        </is>
      </c>
      <c r="E2" s="32" t="inlineStr">
        <is>
          <t>MAP_GRANITE_CAVE_1F, MAP_GRANITE_CAVE_B1F, MAP_GRANITE_CAVE_B2F, MAP_GRANITE_CAVE_STEVENS_ROOM</t>
        </is>
      </c>
      <c r="F2" s="32" t="n">
        <v>16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1</t>
        </is>
      </c>
      <c r="D3" s="77" t="inlineStr">
        <is>
          <t>Split 1, Split 7</t>
        </is>
      </c>
      <c r="E3" s="77" t="inlineStr">
        <is>
          <t>MAP_PETALBURG_COAST, MAP_ROUTE120</t>
        </is>
      </c>
      <c r="F3" s="77" t="n">
        <v>7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1</t>
        </is>
      </c>
      <c r="D7" s="77" t="inlineStr">
        <is>
          <t>Split 1, Elite Four &amp; Champion</t>
        </is>
      </c>
      <c r="E7" s="77" t="inlineStr">
        <is>
          <t>MAP_PETALBURG_COAST, MAP_VICTORY_ROAD_1F</t>
        </is>
      </c>
      <c r="F7" s="77" t="n">
        <v>8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4</t>
        </is>
      </c>
      <c r="D11" s="77" t="inlineStr">
        <is>
          <t>Split 4, 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MAP_ROUTE117,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Bellsprout</t>
        </is>
      </c>
      <c r="B13" s="77" t="inlineStr">
        <is>
          <t>Wild</t>
        </is>
      </c>
      <c r="C13" s="77" t="inlineStr">
        <is>
          <t>Split 2</t>
        </is>
      </c>
      <c r="D13" s="77" t="inlineStr">
        <is>
          <t>Split 2</t>
        </is>
      </c>
      <c r="E13" s="77" t="inlineStr">
        <is>
          <t>MAP_RUSTBORO_CITY</t>
        </is>
      </c>
      <c r="F13" s="77" t="n">
        <v>12</v>
      </c>
      <c r="G13" s="77" t="inlineStr">
        <is>
          <t>Lv 21 -&gt; Weepinbell</t>
        </is>
      </c>
      <c r="H13" s="77" t="inlineStr">
        <is>
          <t>see Evolution Changes sheet</t>
        </is>
      </c>
    </row>
    <row r="14">
      <c r="A14" s="32" t="inlineStr">
        <is>
          <t>Bibarel</t>
        </is>
      </c>
      <c r="B14" s="32" t="inlineStr">
        <is>
          <t>Wild</t>
        </is>
      </c>
      <c r="C14" s="32" t="inlineStr">
        <is>
          <t>Split 1</t>
        </is>
      </c>
      <c r="D14" s="32" t="inlineStr">
        <is>
          <t>Split 1</t>
        </is>
      </c>
      <c r="E14" s="32" t="inlineStr">
        <is>
          <t>MAP_PETALBURG_CITY</t>
        </is>
      </c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Bidoof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inlineStr">
        <is>
          <t>MAP_TRAINER_GROVE</t>
        </is>
      </c>
      <c r="F15" s="77" t="n">
        <v>8</v>
      </c>
      <c r="G15" s="77" t="inlineStr">
        <is>
          <t>Lv 15 -&gt; Bibarel</t>
        </is>
      </c>
      <c r="H15" s="77" t="inlineStr">
        <is>
          <t>see Evolution Changes sheet</t>
        </is>
      </c>
    </row>
    <row r="16">
      <c r="A16" s="32" t="inlineStr">
        <is>
          <t>Binacle</t>
        </is>
      </c>
      <c r="B16" s="32" t="inlineStr">
        <is>
          <t>Wild</t>
        </is>
      </c>
      <c r="C16" s="32" t="inlineStr">
        <is>
          <t>Split 1</t>
        </is>
      </c>
      <c r="D16" s="32" t="inlineStr">
        <is>
          <t>Split 1</t>
        </is>
      </c>
      <c r="E16" s="32" t="inlineStr">
        <is>
          <t>MAP_PETALBURG_COAST</t>
        </is>
      </c>
      <c r="F16" s="32" t="n">
        <v>8</v>
      </c>
      <c r="G16" s="32" t="inlineStr">
        <is>
          <t>Lv 33 -&gt; Barbaracle</t>
        </is>
      </c>
      <c r="H16" s="32" t="inlineStr">
        <is>
          <t>see Evolution Changes sheet</t>
        </is>
      </c>
    </row>
    <row r="17">
      <c r="A17" s="77" t="inlineStr">
        <is>
          <t>Breloom</t>
        </is>
      </c>
      <c r="B17" s="77" t="inlineStr">
        <is>
          <t>Wild</t>
        </is>
      </c>
      <c r="C17" s="77" t="inlineStr">
        <is>
          <t>Unassigned</t>
        </is>
      </c>
      <c r="D17" s="77" t="inlineStr">
        <is>
          <t>Unassigned</t>
        </is>
      </c>
      <c r="E17" s="77" t="n"/>
      <c r="F17" s="77" t="n">
        <v>5</v>
      </c>
      <c r="G17" s="77" t="n"/>
      <c r="H17" s="77" t="inlineStr">
        <is>
          <t>see Evolution Changes sheet</t>
        </is>
      </c>
    </row>
    <row r="18">
      <c r="A18" s="32" t="inlineStr">
        <is>
          <t>Bronzor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inlineStr">
        <is>
          <t>MAP_LOST_CAVE</t>
        </is>
      </c>
      <c r="F18" s="32" t="n">
        <v>14</v>
      </c>
      <c r="G18" s="32" t="inlineStr">
        <is>
          <t>Lv 33 -&gt; Bronzong</t>
        </is>
      </c>
      <c r="H18" s="32" t="inlineStr">
        <is>
          <t>see Evolution Changes sheet</t>
        </is>
      </c>
    </row>
    <row r="19">
      <c r="A19" s="77" t="inlineStr">
        <is>
          <t>Budew</t>
        </is>
      </c>
      <c r="B19" s="77" t="inlineStr">
        <is>
          <t>Wild</t>
        </is>
      </c>
      <c r="C19" s="77" t="inlineStr">
        <is>
          <t>Split 2</t>
        </is>
      </c>
      <c r="D19" s="77" t="inlineStr">
        <is>
          <t>Split 2</t>
        </is>
      </c>
      <c r="E19" s="77" t="inlineStr">
        <is>
          <t>MAP_RUSTBORO_CITY</t>
        </is>
      </c>
      <c r="F19" s="77" t="n">
        <v>12</v>
      </c>
      <c r="G19" s="77" t="inlineStr">
        <is>
          <t>Lv 16 -&gt; Roselia</t>
        </is>
      </c>
      <c r="H19" s="77" t="inlineStr">
        <is>
          <t>see Evolution Changes sheet</t>
        </is>
      </c>
    </row>
    <row r="20">
      <c r="A20" s="32" t="inlineStr">
        <is>
          <t>Bulbasaur</t>
        </is>
      </c>
      <c r="B20" s="32" t="inlineStr">
        <is>
          <t>Wild</t>
        </is>
      </c>
      <c r="C20" s="32" t="inlineStr">
        <is>
          <t>Split 2</t>
        </is>
      </c>
      <c r="D20" s="32" t="inlineStr">
        <is>
          <t>Split 2, Unassigned</t>
        </is>
      </c>
      <c r="E20" s="32" t="inlineStr">
        <is>
          <t>MAP_RUSTBORO_CITY</t>
        </is>
      </c>
      <c r="F20" s="32" t="n">
        <v>5</v>
      </c>
      <c r="G20" s="32" t="inlineStr">
        <is>
          <t>Lv 16 -&gt; Ivysaur</t>
        </is>
      </c>
      <c r="H20" s="32" t="inlineStr">
        <is>
          <t>see Evolution Changes sheet</t>
        </is>
      </c>
    </row>
    <row r="21">
      <c r="A21" s="77" t="inlineStr">
        <is>
          <t>Cacnea</t>
        </is>
      </c>
      <c r="B21" s="77" t="inlineStr">
        <is>
          <t>Wild</t>
        </is>
      </c>
      <c r="C21" s="77" t="inlineStr">
        <is>
          <t>Split 2</t>
        </is>
      </c>
      <c r="D21" s="77" t="inlineStr">
        <is>
          <t>Split 2, Split 5</t>
        </is>
      </c>
      <c r="E21" s="77" t="inlineStr">
        <is>
          <t>MAP_ROUTE104, MAP_ROUTE111</t>
        </is>
      </c>
      <c r="F21" s="77" t="n">
        <v>6</v>
      </c>
      <c r="G21" s="77" t="inlineStr">
        <is>
          <t>Lv 32 -&gt; Cacturne</t>
        </is>
      </c>
      <c r="H21" s="77" t="inlineStr">
        <is>
          <t>see Evolution Changes sheet</t>
        </is>
      </c>
    </row>
    <row r="22">
      <c r="A22" s="32" t="inlineStr">
        <is>
          <t>Carnivine</t>
        </is>
      </c>
      <c r="B22" s="32" t="inlineStr">
        <is>
          <t>Wild</t>
        </is>
      </c>
      <c r="C22" s="32" t="inlineStr">
        <is>
          <t>Split 2</t>
        </is>
      </c>
      <c r="D22" s="32" t="inlineStr">
        <is>
          <t>Split 2</t>
        </is>
      </c>
      <c r="E22" s="32" t="inlineStr">
        <is>
          <t>MAP_RUSTBORO_CITY</t>
        </is>
      </c>
      <c r="F22" s="32" t="n">
        <v>13</v>
      </c>
      <c r="G22" s="32" t="n"/>
      <c r="H22" s="32" t="inlineStr">
        <is>
          <t>see Evolution Changes sheet</t>
        </is>
      </c>
    </row>
    <row r="23">
      <c r="A23" s="77" t="inlineStr">
        <is>
          <t>Carvanha</t>
        </is>
      </c>
      <c r="B23" s="77" t="inlineStr">
        <is>
          <t>Wild</t>
        </is>
      </c>
      <c r="C23" s="77" t="inlineStr">
        <is>
          <t>Split 1</t>
        </is>
      </c>
      <c r="D23" s="77" t="inlineStr">
        <is>
          <t>Split 1, Split 6</t>
        </is>
      </c>
      <c r="E23" s="77" t="inlineStr">
        <is>
          <t>MAP_ROUTE102, MAP_ROUTE118, MAP_ROUTE119</t>
        </is>
      </c>
      <c r="F23" s="77" t="n">
        <v>4</v>
      </c>
      <c r="G23" s="77" t="inlineStr">
        <is>
          <t>Lv 30 -&gt; Sharpedo</t>
        </is>
      </c>
      <c r="H23" s="77" t="inlineStr">
        <is>
          <t>see Evolution Changes sheet</t>
        </is>
      </c>
    </row>
    <row r="24">
      <c r="A24" s="32" t="inlineStr">
        <is>
          <t>Caterpie</t>
        </is>
      </c>
      <c r="B24" s="32" t="inlineStr">
        <is>
          <t>Wild</t>
        </is>
      </c>
      <c r="C24" s="32" t="inlineStr">
        <is>
          <t>Split 1</t>
        </is>
      </c>
      <c r="D24" s="32" t="inlineStr">
        <is>
          <t>Split 1</t>
        </is>
      </c>
      <c r="E24" s="32" t="inlineStr">
        <is>
          <t>MAP_VIRIDIAN_FOREST</t>
        </is>
      </c>
      <c r="F24" s="32" t="n">
        <v>9</v>
      </c>
      <c r="G24" s="32" t="inlineStr">
        <is>
          <t>Lv 7 -&gt; Metapod</t>
        </is>
      </c>
      <c r="H24" s="32" t="inlineStr">
        <is>
          <t>see Evolution Changes sheet</t>
        </is>
      </c>
    </row>
    <row r="25">
      <c r="A25" s="77" t="inlineStr">
        <is>
          <t>Charizard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n"/>
      <c r="F25" s="77" t="n">
        <v>5</v>
      </c>
      <c r="G25" s="77" t="n"/>
      <c r="H25" s="77" t="inlineStr">
        <is>
          <t>see Evolution Changes sheet</t>
        </is>
      </c>
    </row>
    <row r="26">
      <c r="A26" s="32" t="inlineStr">
        <is>
          <t>Charmander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Unassigned</t>
        </is>
      </c>
      <c r="E26" s="32" t="inlineStr">
        <is>
          <t>MAP_OLDALE_TOWN</t>
        </is>
      </c>
      <c r="F26" s="32" t="n">
        <v>3</v>
      </c>
      <c r="G26" s="32" t="inlineStr">
        <is>
          <t>Lv 16 -&gt; Charmeleon</t>
        </is>
      </c>
      <c r="H26" s="32" t="inlineStr">
        <is>
          <t>see Evolution Changes sheet</t>
        </is>
      </c>
    </row>
    <row r="27">
      <c r="A27" s="77" t="inlineStr">
        <is>
          <t>Charmeleon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n"/>
      <c r="F27" s="77" t="n">
        <v>5</v>
      </c>
      <c r="G27" s="77" t="inlineStr">
        <is>
          <t>Lv 36 -&gt; Charizard</t>
        </is>
      </c>
      <c r="H27" s="77" t="inlineStr">
        <is>
          <t>see Evolution Changes sheet</t>
        </is>
      </c>
    </row>
    <row r="28">
      <c r="A28" s="32" t="inlineStr">
        <is>
          <t>Chikorita</t>
        </is>
      </c>
      <c r="B28" s="32" t="inlineStr">
        <is>
          <t>Gift, Trade, Wild</t>
        </is>
      </c>
      <c r="C28" s="32" t="inlineStr">
        <is>
          <t>Split 1</t>
        </is>
      </c>
      <c r="D28" s="32" t="inlineStr">
        <is>
          <t>Split 1, Split 2, Unassigned</t>
        </is>
      </c>
      <c r="E28" s="32" t="inlineStr">
        <is>
          <t>LittlerootTown_ProfessorBirchsLab, MAP_ROUTE104, StarterRoom</t>
        </is>
      </c>
      <c r="F28" s="32" t="n">
        <v>7</v>
      </c>
      <c r="G28" s="32" t="inlineStr">
        <is>
          <t>Lv 16 -&gt; Bayleef</t>
        </is>
      </c>
      <c r="H28" s="32" t="inlineStr">
        <is>
          <t>see Evolution Changes sheet</t>
        </is>
      </c>
    </row>
    <row r="29">
      <c r="A29" s="77" t="inlineStr">
        <is>
          <t>Chimecho</t>
        </is>
      </c>
      <c r="B29" s="77" t="inlineStr">
        <is>
          <t>Wild</t>
        </is>
      </c>
      <c r="C29" s="77" t="inlineStr">
        <is>
          <t>Split 7</t>
        </is>
      </c>
      <c r="D29" s="77" t="inlineStr">
        <is>
          <t>Split 7</t>
        </is>
      </c>
      <c r="E29" s="77" t="inlineStr">
        <is>
          <t>MAP_MT_PYRE_SUMMIT</t>
        </is>
      </c>
      <c r="F29" s="77" t="n">
        <v>28</v>
      </c>
      <c r="G29" s="77" t="n"/>
      <c r="H29" s="77" t="inlineStr">
        <is>
          <t>see Evolution Changes sheet</t>
        </is>
      </c>
    </row>
    <row r="30">
      <c r="A30" s="32" t="inlineStr">
        <is>
          <t>Chinchou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1, Split 2, Unassigned</t>
        </is>
      </c>
      <c r="E30" s="32" t="inlineStr">
        <is>
          <t>MAP_ROUTE103, MAP_ROUTE104, MAP_UNDERWATER_ROUTE124, MAP_UNDERWATER_ROUTE126</t>
        </is>
      </c>
      <c r="F30" s="32" t="n">
        <v>3</v>
      </c>
      <c r="G30" s="32" t="inlineStr">
        <is>
          <t>Lv 27 -&gt; Lanturn</t>
        </is>
      </c>
      <c r="H30" s="32" t="inlineStr">
        <is>
          <t>see Evolution Changes sheet</t>
        </is>
      </c>
    </row>
    <row r="31">
      <c r="A31" s="77" t="inlineStr">
        <is>
          <t>Chingling</t>
        </is>
      </c>
      <c r="B31" s="77" t="inlineStr">
        <is>
          <t>Wild</t>
        </is>
      </c>
      <c r="C31" s="77" t="inlineStr">
        <is>
          <t>Split 2</t>
        </is>
      </c>
      <c r="D31" s="77" t="inlineStr">
        <is>
          <t>Split 2, Unassigned</t>
        </is>
      </c>
      <c r="E31" s="77" t="inlineStr">
        <is>
          <t>MAP_LOST_CAVE, MAP_ROUTE116</t>
        </is>
      </c>
      <c r="F31" s="77" t="n">
        <v>15</v>
      </c>
      <c r="G31" s="77" t="inlineStr">
        <is>
          <t>Lv 18 -&gt; Chimecho</t>
        </is>
      </c>
      <c r="H31" s="77" t="inlineStr">
        <is>
          <t>see Evolution Changes sheet</t>
        </is>
      </c>
    </row>
    <row r="32">
      <c r="A32" s="32" t="inlineStr">
        <is>
          <t>Clamperl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1, Unassigned</t>
        </is>
      </c>
      <c r="E32" s="32" t="inlineStr">
        <is>
          <t>MAP_PETALBURG_COAST, MAP_UNDERWATER_ROUTE124, MAP_UNDERWATER_ROUTE126</t>
        </is>
      </c>
      <c r="F32" s="32" t="n">
        <v>20</v>
      </c>
      <c r="G32" s="32" t="inlineStr">
        <is>
          <t>Trade Item (Deep Sea Tooth) -&gt; Huntail; Trade Item (Deep Sea Scale) -&gt; Gorebyss; Item (Deep Sea Tooth) -&gt; Huntail; Item (Deep Sea Scale) -&gt; Gorebyss</t>
        </is>
      </c>
      <c r="H32" s="32" t="inlineStr">
        <is>
          <t>see Evolution Changes sheet</t>
        </is>
      </c>
    </row>
    <row r="33">
      <c r="A33" s="77" t="inlineStr">
        <is>
          <t>Clauncher</t>
        </is>
      </c>
      <c r="B33" s="77" t="inlineStr">
        <is>
          <t>Wild</t>
        </is>
      </c>
      <c r="C33" s="77" t="inlineStr">
        <is>
          <t>Split 1</t>
        </is>
      </c>
      <c r="D33" s="77" t="inlineStr">
        <is>
          <t>Split 1</t>
        </is>
      </c>
      <c r="E33" s="77" t="inlineStr">
        <is>
          <t>MAP_PETALBURG_COAST</t>
        </is>
      </c>
      <c r="F33" s="77" t="n">
        <v>10</v>
      </c>
      <c r="G33" s="77" t="inlineStr">
        <is>
          <t>Lv 37 -&gt; Clawitzer</t>
        </is>
      </c>
      <c r="H33" s="77" t="inlineStr">
        <is>
          <t>see Evolution Changes sheet</t>
        </is>
      </c>
    </row>
    <row r="34">
      <c r="A34" s="32" t="inlineStr">
        <is>
          <t>Clawitzer</t>
        </is>
      </c>
      <c r="B34" s="32" t="inlineStr">
        <is>
          <t>Wild</t>
        </is>
      </c>
      <c r="C34" s="32" t="inlineStr">
        <is>
          <t>Split 1</t>
        </is>
      </c>
      <c r="D34" s="32" t="inlineStr">
        <is>
          <t>Split 1</t>
        </is>
      </c>
      <c r="E34" s="32" t="inlineStr">
        <is>
          <t>MAP_PETALBURG_COAST</t>
        </is>
      </c>
      <c r="F34" s="32" t="n">
        <v>42</v>
      </c>
      <c r="G34" s="32" t="n"/>
      <c r="H34" s="32" t="inlineStr">
        <is>
          <t>see Evolution Changes sheet</t>
        </is>
      </c>
    </row>
    <row r="35">
      <c r="A35" s="77" t="inlineStr">
        <is>
          <t>Claydol</t>
        </is>
      </c>
      <c r="B35" s="77" t="inlineStr">
        <is>
          <t>Wild</t>
        </is>
      </c>
      <c r="C35" s="77" t="inlineStr">
        <is>
          <t>Unassigned</t>
        </is>
      </c>
      <c r="D35" s="77" t="inlineStr">
        <is>
          <t>Unassigned</t>
        </is>
      </c>
      <c r="E35" s="77" t="inlineStr">
        <is>
          <t>MAP_SKY_PILLAR_1F, MAP_SKY_PILLAR_3F, MAP_SKY_PILLAR_5F</t>
        </is>
      </c>
      <c r="F35" s="77" t="n">
        <v>36</v>
      </c>
      <c r="G35" s="77" t="n"/>
      <c r="H35" s="77" t="inlineStr">
        <is>
          <t>see Evolution Changes sheet</t>
        </is>
      </c>
    </row>
    <row r="36">
      <c r="A36" s="32" t="inlineStr">
        <is>
          <t>Cloyster</t>
        </is>
      </c>
      <c r="B36" s="32" t="inlineStr">
        <is>
          <t>Wild</t>
        </is>
      </c>
      <c r="C36" s="32" t="inlineStr">
        <is>
          <t>Split 1</t>
        </is>
      </c>
      <c r="D36" s="32" t="inlineStr">
        <is>
          <t>Split 1</t>
        </is>
      </c>
      <c r="E36" s="32" t="inlineStr">
        <is>
          <t>MAP_PETALBURG_COAST</t>
        </is>
      </c>
      <c r="F36" s="32" t="n">
        <v>42</v>
      </c>
      <c r="G36" s="32" t="n"/>
      <c r="H36" s="32" t="inlineStr">
        <is>
          <t>see Evolution Changes sheet</t>
        </is>
      </c>
    </row>
    <row r="37">
      <c r="A37" s="77" t="inlineStr">
        <is>
          <t>Corphish</t>
        </is>
      </c>
      <c r="B37" s="77" t="inlineStr">
        <is>
          <t>Wild</t>
        </is>
      </c>
      <c r="C37" s="77" t="inlineStr">
        <is>
          <t>Split 1</t>
        </is>
      </c>
      <c r="D37" s="77" t="inlineStr">
        <is>
          <t>Split 1, Split 4</t>
        </is>
      </c>
      <c r="E37" s="77" t="inlineStr">
        <is>
          <t>MAP_PETALBURG_CITY, MAP_ROUTE102, MAP_ROUTE117</t>
        </is>
      </c>
      <c r="F37" s="77" t="n">
        <v>20</v>
      </c>
      <c r="G37" s="77" t="inlineStr">
        <is>
          <t>Lv 30 -&gt; Crawdaunt</t>
        </is>
      </c>
      <c r="H37" s="77" t="inlineStr">
        <is>
          <t>see Evolution Changes sheet</t>
        </is>
      </c>
    </row>
    <row r="38">
      <c r="A38" s="32" t="inlineStr">
        <is>
          <t>Corsola</t>
        </is>
      </c>
      <c r="B38" s="32" t="inlineStr">
        <is>
          <t>Wild</t>
        </is>
      </c>
      <c r="C38" s="32" t="inlineStr">
        <is>
          <t>Split 8</t>
        </is>
      </c>
      <c r="D38" s="32" t="inlineStr">
        <is>
          <t>Split 8, Elite Four &amp; Champion</t>
        </is>
      </c>
      <c r="E38" s="32" t="inlineStr">
        <is>
          <t>MAP_EVER_GRANDE_CITY, MAP_ROUTE128</t>
        </is>
      </c>
      <c r="F38" s="32" t="n">
        <v>30</v>
      </c>
      <c r="G38" s="32" t="n"/>
      <c r="H38" s="32" t="inlineStr">
        <is>
          <t>see Evolution Changes sheet</t>
        </is>
      </c>
    </row>
    <row r="39">
      <c r="A39" s="77" t="inlineStr">
        <is>
          <t>Crawdaunt</t>
        </is>
      </c>
      <c r="B39" s="77" t="inlineStr">
        <is>
          <t>Wild</t>
        </is>
      </c>
      <c r="C39" s="77" t="inlineStr">
        <is>
          <t>Split 4</t>
        </is>
      </c>
      <c r="D39" s="77" t="inlineStr">
        <is>
          <t>Split 4</t>
        </is>
      </c>
      <c r="E39" s="77" t="inlineStr">
        <is>
          <t>MAP_ROUTE117</t>
        </is>
      </c>
      <c r="F39" s="77" t="n">
        <v>42</v>
      </c>
      <c r="G39" s="77" t="n"/>
      <c r="H39" s="77" t="inlineStr">
        <is>
          <t>see Evolution Changes sheet</t>
        </is>
      </c>
    </row>
    <row r="40">
      <c r="A40" s="32" t="inlineStr">
        <is>
          <t>Croagunk</t>
        </is>
      </c>
      <c r="B40" s="32" t="inlineStr">
        <is>
          <t>Wild</t>
        </is>
      </c>
      <c r="C40" s="32" t="inlineStr">
        <is>
          <t>Split 1</t>
        </is>
      </c>
      <c r="D40" s="32" t="inlineStr">
        <is>
          <t>Split 1</t>
        </is>
      </c>
      <c r="E40" s="32" t="inlineStr">
        <is>
          <t>MAP_PETALBURG_CITY</t>
        </is>
      </c>
      <c r="F40" s="32" t="n">
        <v>5</v>
      </c>
      <c r="G40" s="32" t="inlineStr">
        <is>
          <t>Lv 37 -&gt; Toxicroak</t>
        </is>
      </c>
      <c r="H40" s="32" t="inlineStr">
        <is>
          <t>see Evolution Changes sheet</t>
        </is>
      </c>
    </row>
    <row r="41">
      <c r="A41" s="77" t="inlineStr">
        <is>
          <t>Cyndaquil</t>
        </is>
      </c>
      <c r="B41" s="77" t="inlineStr">
        <is>
          <t>Gift, Trade</t>
        </is>
      </c>
      <c r="C41" s="77" t="inlineStr">
        <is>
          <t>Split 1</t>
        </is>
      </c>
      <c r="D41" s="77" t="inlineStr">
        <is>
          <t>Split 1, Unassigned</t>
        </is>
      </c>
      <c r="E41" s="77" t="inlineStr">
        <is>
          <t>LittlerootTown_ProfessorBirchsLab, StarterRoom</t>
        </is>
      </c>
      <c r="F41" s="77" t="n"/>
      <c r="G41" s="77" t="inlineStr">
        <is>
          <t>Lv 14 -&gt; Quilava</t>
        </is>
      </c>
      <c r="H41" s="77" t="inlineStr">
        <is>
          <t>see Evolution Changes sheet</t>
        </is>
      </c>
    </row>
    <row r="42">
      <c r="A42" s="32" t="inlineStr">
        <is>
          <t>Delibird</t>
        </is>
      </c>
      <c r="B42" s="32" t="inlineStr">
        <is>
          <t>Wild</t>
        </is>
      </c>
      <c r="C42" s="32" t="inlineStr">
        <is>
          <t>Split 1</t>
        </is>
      </c>
      <c r="D42" s="32" t="inlineStr">
        <is>
          <t>Split 1</t>
        </is>
      </c>
      <c r="E42" s="32" t="inlineStr">
        <is>
          <t>MAP_ROUTE101, MAP_ROUTE103</t>
        </is>
      </c>
      <c r="F42" s="32" t="n">
        <v>3</v>
      </c>
      <c r="G42" s="32" t="n"/>
      <c r="H42" s="32" t="inlineStr">
        <is>
          <t>see Evolution Changes sheet</t>
        </is>
      </c>
    </row>
    <row r="43">
      <c r="A43" s="77" t="inlineStr">
        <is>
          <t>Ditto</t>
        </is>
      </c>
      <c r="B43" s="77" t="inlineStr">
        <is>
          <t>Wild</t>
        </is>
      </c>
      <c r="C43" s="77" t="inlineStr">
        <is>
          <t>Postgame</t>
        </is>
      </c>
      <c r="D43" s="77" t="inlineStr">
        <is>
          <t>Postgame</t>
        </is>
      </c>
      <c r="E43" s="77" t="inlineStr">
        <is>
          <t>MAP_DESERT_UNDERPASS</t>
        </is>
      </c>
      <c r="F43" s="77" t="n">
        <v>38</v>
      </c>
      <c r="G43" s="77" t="n"/>
      <c r="H43" s="77" t="inlineStr">
        <is>
          <t>see Evolution Changes sheet</t>
        </is>
      </c>
    </row>
    <row r="44">
      <c r="A44" s="32" t="inlineStr">
        <is>
          <t>Dodrio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MAP_SAFARI_ZONE_NORTHWEST</t>
        </is>
      </c>
      <c r="F44" s="32" t="n">
        <v>29</v>
      </c>
      <c r="G44" s="32" t="n"/>
      <c r="H44" s="32" t="inlineStr">
        <is>
          <t>see Evolution Changes sheet</t>
        </is>
      </c>
    </row>
    <row r="45">
      <c r="A45" s="77" t="inlineStr">
        <is>
          <t>Doduo</t>
        </is>
      </c>
      <c r="B45" s="77" t="inlineStr">
        <is>
          <t>Wild</t>
        </is>
      </c>
      <c r="C45" s="77" t="inlineStr">
        <is>
          <t>Postgame</t>
        </is>
      </c>
      <c r="D45" s="77" t="inlineStr">
        <is>
          <t>Postgame</t>
        </is>
      </c>
      <c r="E45" s="77" t="inlineStr">
        <is>
          <t>MAP_SAFARI_ZONE_NORTHWEST, MAP_SAFARI_ZONE_SOUTH, MAP_SAFARI_ZONE_SOUTHWEST</t>
        </is>
      </c>
      <c r="F45" s="77" t="n">
        <v>25</v>
      </c>
      <c r="G45" s="77" t="inlineStr">
        <is>
          <t>Lv 31 -&gt; Dodrio</t>
        </is>
      </c>
      <c r="H45" s="77" t="inlineStr">
        <is>
          <t>see Evolution Changes sheet</t>
        </is>
      </c>
    </row>
    <row r="46">
      <c r="A46" s="32" t="inlineStr">
        <is>
          <t>Dragalge</t>
        </is>
      </c>
      <c r="B46" s="32" t="inlineStr">
        <is>
          <t>Wild</t>
        </is>
      </c>
      <c r="C46" s="32" t="inlineStr">
        <is>
          <t>Split 1</t>
        </is>
      </c>
      <c r="D46" s="32" t="inlineStr">
        <is>
          <t>Split 1</t>
        </is>
      </c>
      <c r="E46" s="32" t="inlineStr">
        <is>
          <t>MAP_PETALBURG_COAST</t>
        </is>
      </c>
      <c r="F46" s="32" t="n">
        <v>42</v>
      </c>
      <c r="G46" s="32" t="n"/>
      <c r="H46" s="32" t="inlineStr">
        <is>
          <t>see Evolution Changes sheet</t>
        </is>
      </c>
    </row>
    <row r="47">
      <c r="A47" s="77" t="inlineStr">
        <is>
          <t>Drilbur</t>
        </is>
      </c>
      <c r="B47" s="77" t="inlineStr">
        <is>
          <t>Wild</t>
        </is>
      </c>
      <c r="C47" s="77" t="inlineStr">
        <is>
          <t>Unassigned</t>
        </is>
      </c>
      <c r="D47" s="77" t="inlineStr">
        <is>
          <t>Unassigned</t>
        </is>
      </c>
      <c r="E47" s="77" t="inlineStr">
        <is>
          <t>MAP_LOST_CAVE</t>
        </is>
      </c>
      <c r="F47" s="77" t="n">
        <v>13</v>
      </c>
      <c r="G47" s="77" t="inlineStr">
        <is>
          <t>Lv 31 -&gt; Excadrill</t>
        </is>
      </c>
      <c r="H47" s="77" t="inlineStr">
        <is>
          <t>see Evolution Changes sheet</t>
        </is>
      </c>
    </row>
    <row r="48">
      <c r="A48" s="32" t="inlineStr">
        <is>
          <t>Dusclops</t>
        </is>
      </c>
      <c r="B48" s="32" t="inlineStr">
        <is>
          <t>Wild</t>
        </is>
      </c>
      <c r="C48" s="32" t="inlineStr">
        <is>
          <t>Unassigned</t>
        </is>
      </c>
      <c r="D48" s="32" t="inlineStr">
        <is>
          <t>Unassigned</t>
        </is>
      </c>
      <c r="E48" s="32" t="n"/>
      <c r="F48" s="32" t="n">
        <v>5</v>
      </c>
      <c r="G48" s="32" t="inlineStr">
        <is>
          <t>Trade Item (Reaper Cloth) -&gt; Dusknoir; Item (Reaper Cloth) -&gt; Dusknoir</t>
        </is>
      </c>
      <c r="H48" s="32" t="inlineStr">
        <is>
          <t>see Evolution Changes sheet</t>
        </is>
      </c>
    </row>
    <row r="49">
      <c r="A49" s="77" t="inlineStr">
        <is>
          <t>Duskull</t>
        </is>
      </c>
      <c r="B49" s="77" t="inlineStr">
        <is>
          <t>Wild</t>
        </is>
      </c>
      <c r="C49" s="77" t="inlineStr">
        <is>
          <t>Split 7</t>
        </is>
      </c>
      <c r="D49" s="77" t="inlineStr">
        <is>
          <t>Split 7</t>
        </is>
      </c>
      <c r="E49" s="77" t="inlineStr">
        <is>
          <t>MAP_MT_PYRE_4F, MAP_MT_PYRE_5F, MAP_MT_PYRE_6F, MAP_MT_PYRE_SUMMIT</t>
        </is>
      </c>
      <c r="F49" s="77" t="n">
        <v>25</v>
      </c>
      <c r="G49" s="77" t="inlineStr">
        <is>
          <t>Lv 37 -&gt; Dusclops</t>
        </is>
      </c>
      <c r="H49" s="77" t="inlineStr">
        <is>
          <t>see Evolution Changes sheet</t>
        </is>
      </c>
    </row>
    <row r="50">
      <c r="A50" s="32" t="inlineStr">
        <is>
          <t>Dwebble</t>
        </is>
      </c>
      <c r="B50" s="32" t="inlineStr">
        <is>
          <t>Gift</t>
        </is>
      </c>
      <c r="C50" s="32" t="inlineStr">
        <is>
          <t>Split 3</t>
        </is>
      </c>
      <c r="D50" s="32" t="inlineStr">
        <is>
          <t>Split 3</t>
        </is>
      </c>
      <c r="E50" s="32" t="inlineStr">
        <is>
          <t>GraniteShore</t>
        </is>
      </c>
      <c r="F50" s="32" t="n"/>
      <c r="G50" s="32" t="inlineStr">
        <is>
          <t>Lv 26 -&gt; Crustle</t>
        </is>
      </c>
      <c r="H50" s="32" t="inlineStr">
        <is>
          <t>see Evolution Changes sheet</t>
        </is>
      </c>
    </row>
    <row r="51">
      <c r="A51" s="77" t="inlineStr">
        <is>
          <t>Electrike</t>
        </is>
      </c>
      <c r="B51" s="77" t="inlineStr">
        <is>
          <t>Wild</t>
        </is>
      </c>
      <c r="C51" s="77" t="inlineStr">
        <is>
          <t>Split 2</t>
        </is>
      </c>
      <c r="D51" s="77" t="inlineStr">
        <is>
          <t>Split 2, Split 4, Split 6</t>
        </is>
      </c>
      <c r="E51" s="77" t="inlineStr">
        <is>
          <t>MAP_ROUTE110, MAP_ROUTE116, MAP_ROUTE118</t>
        </is>
      </c>
      <c r="F51" s="77" t="n">
        <v>12</v>
      </c>
      <c r="G51" s="77" t="inlineStr">
        <is>
          <t>Lv 26 -&gt; Manectric</t>
        </is>
      </c>
      <c r="H51" s="77" t="inlineStr">
        <is>
          <t>see Evolution Changes sheet</t>
        </is>
      </c>
    </row>
    <row r="52">
      <c r="A52" s="32" t="inlineStr">
        <is>
          <t>Electrode</t>
        </is>
      </c>
      <c r="B52" s="32" t="inlineStr">
        <is>
          <t>Wild</t>
        </is>
      </c>
      <c r="C52" s="32" t="inlineStr">
        <is>
          <t>Split 4</t>
        </is>
      </c>
      <c r="D52" s="32" t="inlineStr">
        <is>
          <t>Split 4, Unassigned</t>
        </is>
      </c>
      <c r="E52" s="32" t="inlineStr">
        <is>
          <t>MAP_NEW_MAUVILLE_INSIDE</t>
        </is>
      </c>
      <c r="F52" s="32" t="n">
        <v>5</v>
      </c>
      <c r="G52" s="32" t="n"/>
      <c r="H52" s="32" t="inlineStr">
        <is>
          <t>see Evolution Changes sheet</t>
        </is>
      </c>
    </row>
    <row r="53">
      <c r="A53" s="77" t="inlineStr">
        <is>
          <t>Elgyem</t>
        </is>
      </c>
      <c r="B53" s="77" t="inlineStr">
        <is>
          <t>Wild</t>
        </is>
      </c>
      <c r="C53" s="77" t="inlineStr">
        <is>
          <t>Unassigned</t>
        </is>
      </c>
      <c r="D53" s="77" t="inlineStr">
        <is>
          <t>Unassigned</t>
        </is>
      </c>
      <c r="E53" s="77" t="inlineStr">
        <is>
          <t>MAP_LOST_CAVE</t>
        </is>
      </c>
      <c r="F53" s="77" t="n">
        <v>15</v>
      </c>
      <c r="G53" s="77" t="inlineStr">
        <is>
          <t>Lv 42 -&gt; Beheeyem</t>
        </is>
      </c>
      <c r="H53" s="77" t="inlineStr">
        <is>
          <t>see Evolution Changes sheet</t>
        </is>
      </c>
    </row>
    <row r="54">
      <c r="A54" s="32" t="inlineStr">
        <is>
          <t>Espurr</t>
        </is>
      </c>
      <c r="B54" s="32" t="inlineStr">
        <is>
          <t>Wild</t>
        </is>
      </c>
      <c r="C54" s="32" t="inlineStr">
        <is>
          <t>Unassigned</t>
        </is>
      </c>
      <c r="D54" s="32" t="inlineStr">
        <is>
          <t>Unassigned</t>
        </is>
      </c>
      <c r="E54" s="32" t="inlineStr">
        <is>
          <t>MAP_TRAINER_GROVE</t>
        </is>
      </c>
      <c r="F54" s="32" t="n">
        <v>9</v>
      </c>
      <c r="G54" s="32" t="inlineStr">
        <is>
          <t>Level Male 25 -&gt; Meowstic M; Level Female 25 -&gt; Meowstic F</t>
        </is>
      </c>
      <c r="H54" s="32" t="inlineStr">
        <is>
          <t>see Evolution Changes sheet</t>
        </is>
      </c>
    </row>
    <row r="55">
      <c r="A55" s="77" t="inlineStr">
        <is>
          <t>Exeggcute</t>
        </is>
      </c>
      <c r="B55" s="77" t="inlineStr">
        <is>
          <t>Wild</t>
        </is>
      </c>
      <c r="C55" s="77" t="inlineStr">
        <is>
          <t>Split 2</t>
        </is>
      </c>
      <c r="D55" s="77" t="inlineStr">
        <is>
          <t>Split 2</t>
        </is>
      </c>
      <c r="E55" s="77" t="inlineStr">
        <is>
          <t>MAP_RUSTBORO_CITY</t>
        </is>
      </c>
      <c r="F55" s="77" t="n">
        <v>12</v>
      </c>
      <c r="G55" s="77" t="inlineStr">
        <is>
          <t>Item (Leaf Stone) -&gt; Exeggutor; None -&gt; Exeggutor Alola</t>
        </is>
      </c>
      <c r="H55" s="77" t="inlineStr">
        <is>
          <t>see Evolution Changes sheet</t>
        </is>
      </c>
    </row>
    <row r="56">
      <c r="A56" s="32" t="inlineStr">
        <is>
          <t>Feebas</t>
        </is>
      </c>
      <c r="B56" s="32" t="inlineStr">
        <is>
          <t>Wild</t>
        </is>
      </c>
      <c r="C56" s="32" t="inlineStr">
        <is>
          <t>Split 4</t>
        </is>
      </c>
      <c r="D56" s="32" t="inlineStr">
        <is>
          <t>Split 4</t>
        </is>
      </c>
      <c r="E56" s="32" t="inlineStr">
        <is>
          <t>MAP_ROUTE117</t>
        </is>
      </c>
      <c r="F56" s="32" t="n">
        <v>42</v>
      </c>
      <c r="G56" s="32" t="inlineStr">
        <is>
          <t>Beauty 170 -&gt; Milotic; Trade Item (Prism Scale) -&gt; Milotic; Item (Prism Scale) -&gt; Milotic</t>
        </is>
      </c>
      <c r="H56" s="32" t="inlineStr">
        <is>
          <t>see Evolution Changes sheet</t>
        </is>
      </c>
    </row>
    <row r="57">
      <c r="A57" s="77" t="inlineStr">
        <is>
          <t>Ferroseed</t>
        </is>
      </c>
      <c r="B57" s="77" t="inlineStr">
        <is>
          <t>Wild</t>
        </is>
      </c>
      <c r="C57" s="77" t="inlineStr">
        <is>
          <t>Split 2</t>
        </is>
      </c>
      <c r="D57" s="77" t="inlineStr">
        <is>
          <t>Split 2, Unassigned</t>
        </is>
      </c>
      <c r="E57" s="77" t="inlineStr">
        <is>
          <t>MAP_LOST_CAVE, MAP_RUSTBORO_CITY</t>
        </is>
      </c>
      <c r="F57" s="77" t="n">
        <v>12</v>
      </c>
      <c r="G57" s="77" t="inlineStr">
        <is>
          <t>Lv 40 -&gt; Ferrothorn</t>
        </is>
      </c>
      <c r="H57" s="77" t="inlineStr">
        <is>
          <t>see Evolution Changes sheet</t>
        </is>
      </c>
    </row>
    <row r="58">
      <c r="A58" s="32" t="inlineStr">
        <is>
          <t>Fletchling</t>
        </is>
      </c>
      <c r="B58" s="32" t="inlineStr">
        <is>
          <t>Wild</t>
        </is>
      </c>
      <c r="C58" s="32" t="inlineStr">
        <is>
          <t>Split 1</t>
        </is>
      </c>
      <c r="D58" s="32" t="inlineStr">
        <is>
          <t>Split 1</t>
        </is>
      </c>
      <c r="E58" s="32" t="inlineStr">
        <is>
          <t>MAP_ROUTE101, MAP_ROUTE103</t>
        </is>
      </c>
      <c r="F58" s="32" t="n">
        <v>4</v>
      </c>
      <c r="G58" s="32" t="inlineStr">
        <is>
          <t>Lv 17 -&gt; Fletchinder</t>
        </is>
      </c>
      <c r="H58" s="32" t="inlineStr">
        <is>
          <t>see Evolution Changes sheet</t>
        </is>
      </c>
    </row>
    <row r="59">
      <c r="A59" s="77" t="inlineStr">
        <is>
          <t>Foongus</t>
        </is>
      </c>
      <c r="B59" s="77" t="inlineStr">
        <is>
          <t>Wild</t>
        </is>
      </c>
      <c r="C59" s="77" t="inlineStr">
        <is>
          <t>Split 2</t>
        </is>
      </c>
      <c r="D59" s="77" t="inlineStr">
        <is>
          <t>Split 2</t>
        </is>
      </c>
      <c r="E59" s="77" t="inlineStr">
        <is>
          <t>MAP_PETALBURG_WOODS, MAP_RUSTBORO_CITY</t>
        </is>
      </c>
      <c r="F59" s="77" t="n">
        <v>13</v>
      </c>
      <c r="G59" s="77" t="inlineStr">
        <is>
          <t>Lv 39 -&gt; Amoonguss</t>
        </is>
      </c>
      <c r="H59" s="77" t="inlineStr">
        <is>
          <t>see Evolution Changes sheet</t>
        </is>
      </c>
    </row>
    <row r="60">
      <c r="A60" s="32" t="inlineStr">
        <is>
          <t>Froakie</t>
        </is>
      </c>
      <c r="B60" s="32" t="inlineStr">
        <is>
          <t>Wild</t>
        </is>
      </c>
      <c r="C60" s="32" t="inlineStr">
        <is>
          <t>Split 1</t>
        </is>
      </c>
      <c r="D60" s="32" t="inlineStr">
        <is>
          <t>Split 1</t>
        </is>
      </c>
      <c r="E60" s="32" t="inlineStr">
        <is>
          <t>MAP_PETALBURG_CITY</t>
        </is>
      </c>
      <c r="F60" s="32" t="n">
        <v>6</v>
      </c>
      <c r="G60" s="32" t="inlineStr">
        <is>
          <t>Lv 16 -&gt; Frogadier</t>
        </is>
      </c>
      <c r="H60" s="32" t="inlineStr">
        <is>
          <t>see Evolution Changes sheet</t>
        </is>
      </c>
    </row>
    <row r="61">
      <c r="A61" s="77" t="inlineStr">
        <is>
          <t>Geodude</t>
        </is>
      </c>
      <c r="B61" s="77" t="inlineStr">
        <is>
          <t>Trade, Wild</t>
        </is>
      </c>
      <c r="C61" s="77" t="inlineStr">
        <is>
          <t>Split 1</t>
        </is>
      </c>
      <c r="D61" s="77" t="inlineStr">
        <is>
          <t>Split 1, Split 3, Split 5, Elite Four &amp; Champion, Postgame</t>
        </is>
      </c>
      <c r="E61" s="77" t="inlineStr">
        <is>
          <t>MAP_GRANITE_CAVE_1F, MAP_GRANITE_CAVE_B1F, MAP_GRANITE_CAVE_B2F, MAP_GRANITE_CAVE_STEVENS_ROOM, MAP_MAGMA_HIDEOUT_1F, MAP_MAGMA_HIDEOUT_2F_1R, MAP_MAGMA_HIDEOUT_2F_2R, MAP_MAGMA_HIDEOUT_2F_3R, MAP_MAGMA_HIDEOUT_3F_1R, MAP_MAGMA_HIDEOUT_3F_2R, MAP_MAG</t>
        </is>
      </c>
      <c r="F61" s="77" t="n">
        <v>5</v>
      </c>
      <c r="G61" s="77" t="inlineStr">
        <is>
          <t>Lv 25 -&gt; Graveler</t>
        </is>
      </c>
      <c r="H61" s="77" t="inlineStr">
        <is>
          <t>see Evolution Changes sheet</t>
        </is>
      </c>
    </row>
    <row r="62">
      <c r="A62" s="32" t="inlineStr">
        <is>
          <t>Girafarig</t>
        </is>
      </c>
      <c r="B62" s="32" t="inlineStr">
        <is>
          <t>Wild</t>
        </is>
      </c>
      <c r="C62" s="32" t="inlineStr">
        <is>
          <t>Postgame</t>
        </is>
      </c>
      <c r="D62" s="32" t="inlineStr">
        <is>
          <t>Postgame</t>
        </is>
      </c>
      <c r="E62" s="32" t="inlineStr">
        <is>
          <t>MAP_SAFARI_ZONE_SOUTH, MAP_SAFARI_ZONE_SOUTHWEST</t>
        </is>
      </c>
      <c r="F62" s="32" t="n">
        <v>25</v>
      </c>
      <c r="G62" s="32" t="inlineStr">
        <is>
          <t>Move MOVE_TWIN_BEAM -&gt; Farigiraf</t>
        </is>
      </c>
      <c r="H62" s="32" t="inlineStr">
        <is>
          <t>see Evolution Changes sheet</t>
        </is>
      </c>
    </row>
    <row r="63">
      <c r="A63" s="77" t="inlineStr">
        <is>
          <t>Glameow</t>
        </is>
      </c>
      <c r="B63" s="77" t="inlineStr">
        <is>
          <t>Wild</t>
        </is>
      </c>
      <c r="C63" s="77" t="inlineStr">
        <is>
          <t>Split 1</t>
        </is>
      </c>
      <c r="D63" s="77" t="inlineStr">
        <is>
          <t>Split 1</t>
        </is>
      </c>
      <c r="E63" s="77" t="inlineStr">
        <is>
          <t>MAP_ROUTE102</t>
        </is>
      </c>
      <c r="F63" s="77" t="n">
        <v>4</v>
      </c>
      <c r="G63" s="77" t="inlineStr">
        <is>
          <t>Lv 38 -&gt; Purugly</t>
        </is>
      </c>
      <c r="H63" s="77" t="inlineStr">
        <is>
          <t>see Evolution Changes sheet</t>
        </is>
      </c>
    </row>
    <row r="64">
      <c r="A64" s="32" t="inlineStr">
        <is>
          <t>Gligar</t>
        </is>
      </c>
      <c r="B64" s="32" t="inlineStr">
        <is>
          <t>Wild</t>
        </is>
      </c>
      <c r="C64" s="32" t="inlineStr">
        <is>
          <t>Split 1</t>
        </is>
      </c>
      <c r="D64" s="32" t="inlineStr">
        <is>
          <t>Split 1, Postgame</t>
        </is>
      </c>
      <c r="E64" s="32" t="inlineStr">
        <is>
          <t>MAP_PETALBURG_COAST, MAP_SAFARI_ZONE_SOUTHEAST</t>
        </is>
      </c>
      <c r="F64" s="32" t="n">
        <v>7</v>
      </c>
      <c r="G64" s="32" t="inlineStr">
        <is>
          <t>Item Hold Night (Razor Fang) -&gt; Gliscor; Item Night (Razor Fang) -&gt; Gliscor</t>
        </is>
      </c>
      <c r="H64" s="32" t="inlineStr">
        <is>
          <t>see Evolution Changes sheet</t>
        </is>
      </c>
    </row>
    <row r="65">
      <c r="A65" s="77" t="inlineStr">
        <is>
          <t>Gloom</t>
        </is>
      </c>
      <c r="B65" s="77" t="inlineStr">
        <is>
          <t>Wild</t>
        </is>
      </c>
      <c r="C65" s="77" t="inlineStr">
        <is>
          <t>Split 7</t>
        </is>
      </c>
      <c r="D65" s="77" t="inlineStr">
        <is>
          <t>Split 7, Postgame</t>
        </is>
      </c>
      <c r="E65" s="77" t="inlineStr">
        <is>
          <t>MAP_ROUTE121, MAP_ROUTE123, MAP_SAFARI_ZONE_NORTH, MAP_SAFARI_ZONE_NORTHWEST, MAP_SAFARI_ZONE_SOUTH, MAP_SAFARI_ZONE_SOUTHWEST</t>
        </is>
      </c>
      <c r="F65" s="77" t="n">
        <v>25</v>
      </c>
      <c r="G65" s="77" t="inlineStr">
        <is>
          <t>Item (Leaf Stone) -&gt; Vileplume; Item (Sun Stone) -&gt; Bellossom</t>
        </is>
      </c>
      <c r="H65" s="77" t="inlineStr">
        <is>
          <t>see Evolution Changes sheet</t>
        </is>
      </c>
    </row>
    <row r="66">
      <c r="A66" s="32" t="inlineStr">
        <is>
          <t>Golbat</t>
        </is>
      </c>
      <c r="B66" s="32" t="inlineStr">
        <is>
          <t>Wild</t>
        </is>
      </c>
      <c r="C66" s="32" t="inlineStr">
        <is>
          <t>Split 7</t>
        </is>
      </c>
      <c r="D66" s="32" t="inlineStr">
        <is>
          <t>Split 7, Split 8, Elite Four &amp; Champion, Unassigned</t>
        </is>
      </c>
      <c r="E66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66" s="32" t="n">
        <v>25</v>
      </c>
      <c r="G66" s="32" t="inlineStr">
        <is>
          <t>Lv 48 -&gt; Crobat</t>
        </is>
      </c>
      <c r="H66" s="32" t="inlineStr">
        <is>
          <t>see Evolution Changes sheet</t>
        </is>
      </c>
    </row>
    <row r="67">
      <c r="A67" s="77" t="inlineStr">
        <is>
          <t>Goldeen</t>
        </is>
      </c>
      <c r="B67" s="77" t="inlineStr">
        <is>
          <t>Wild</t>
        </is>
      </c>
      <c r="C67" s="77" t="inlineStr">
        <is>
          <t>Split 1</t>
        </is>
      </c>
      <c r="D67" s="77" t="inlineStr">
        <is>
          <t>Split 1, Split 4, Split 5, Split 7, Elite Four &amp; Champion, Unassigned, Postgame</t>
        </is>
      </c>
      <c r="E67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67" s="77" t="n">
        <v>4</v>
      </c>
      <c r="G67" s="77" t="inlineStr">
        <is>
          <t>Lv 33 -&gt; Seaking</t>
        </is>
      </c>
      <c r="H67" s="77" t="inlineStr">
        <is>
          <t>see Evolution Changes sheet</t>
        </is>
      </c>
    </row>
    <row r="68">
      <c r="A68" s="32" t="inlineStr">
        <is>
          <t>Golduck</t>
        </is>
      </c>
      <c r="B68" s="32" t="inlineStr">
        <is>
          <t>Wild</t>
        </is>
      </c>
      <c r="C68" s="32" t="inlineStr">
        <is>
          <t>Postgame</t>
        </is>
      </c>
      <c r="D68" s="32" t="inlineStr">
        <is>
          <t>Postgame</t>
        </is>
      </c>
      <c r="E68" s="32" t="inlineStr">
        <is>
          <t>MAP_SAFARI_ZONE_NORTHWEST</t>
        </is>
      </c>
      <c r="F68" s="32" t="n">
        <v>25</v>
      </c>
      <c r="G68" s="32" t="n"/>
      <c r="H68" s="32" t="inlineStr">
        <is>
          <t>see Evolution Changes sheet</t>
        </is>
      </c>
    </row>
    <row r="69">
      <c r="A69" s="77" t="inlineStr">
        <is>
          <t>Graveler</t>
        </is>
      </c>
      <c r="B69" s="77" t="inlineStr">
        <is>
          <t>Wild</t>
        </is>
      </c>
      <c r="C69" s="77" t="inlineStr">
        <is>
          <t>Split 5</t>
        </is>
      </c>
      <c r="D69" s="77" t="inlineStr">
        <is>
          <t>Split 5, Elite Four &amp; Champion</t>
        </is>
      </c>
      <c r="E69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69" s="77" t="n">
        <v>30</v>
      </c>
      <c r="G69" s="77" t="inlineStr">
        <is>
          <t>Trade -&gt; Golem; Item (Linking Cord) -&gt; Golem</t>
        </is>
      </c>
      <c r="H69" s="77" t="inlineStr">
        <is>
          <t>see Evolution Changes sheet</t>
        </is>
      </c>
    </row>
    <row r="70">
      <c r="A70" s="32" t="inlineStr">
        <is>
          <t>Grimer</t>
        </is>
      </c>
      <c r="B70" s="32" t="inlineStr">
        <is>
          <t>Wild</t>
        </is>
      </c>
      <c r="C70" s="32" t="inlineStr">
        <is>
          <t>Split 1</t>
        </is>
      </c>
      <c r="D70" s="32" t="inlineStr">
        <is>
          <t>Split 1, Split 5</t>
        </is>
      </c>
      <c r="E70" s="32" t="inlineStr">
        <is>
          <t>MAP_FIERY_PATH, MAP_OLDALE_TOWN</t>
        </is>
      </c>
      <c r="F70" s="32" t="n">
        <v>3</v>
      </c>
      <c r="G70" s="32" t="inlineStr">
        <is>
          <t>Lv 38 -&gt; Muk</t>
        </is>
      </c>
      <c r="H70" s="32" t="inlineStr">
        <is>
          <t>see Evolution Changes sheet</t>
        </is>
      </c>
    </row>
    <row r="71">
      <c r="A71" s="77" t="inlineStr">
        <is>
          <t>Growlithe</t>
        </is>
      </c>
      <c r="B71" s="77" t="inlineStr">
        <is>
          <t>Wild</t>
        </is>
      </c>
      <c r="C71" s="77" t="inlineStr">
        <is>
          <t>Split 1</t>
        </is>
      </c>
      <c r="D71" s="77" t="inlineStr">
        <is>
          <t>Split 1</t>
        </is>
      </c>
      <c r="E71" s="77" t="inlineStr">
        <is>
          <t>MAP_OLDALE_TOWN</t>
        </is>
      </c>
      <c r="F71" s="77" t="n">
        <v>4</v>
      </c>
      <c r="G71" s="77" t="inlineStr">
        <is>
          <t>Item (Fire Stone) -&gt; Arcanine</t>
        </is>
      </c>
      <c r="H71" s="77" t="inlineStr">
        <is>
          <t>see Evolution Changes sheet</t>
        </is>
      </c>
    </row>
    <row r="72">
      <c r="A72" s="32" t="inlineStr">
        <is>
          <t>Gulpin</t>
        </is>
      </c>
      <c r="B72" s="32" t="inlineStr">
        <is>
          <t>Wild</t>
        </is>
      </c>
      <c r="C72" s="32" t="inlineStr">
        <is>
          <t>Split 4</t>
        </is>
      </c>
      <c r="D72" s="32" t="inlineStr">
        <is>
          <t>Split 4</t>
        </is>
      </c>
      <c r="E72" s="32" t="inlineStr">
        <is>
          <t>MAP_ROUTE110</t>
        </is>
      </c>
      <c r="F72" s="32" t="n">
        <v>12</v>
      </c>
      <c r="G72" s="32" t="inlineStr">
        <is>
          <t>Lv 26 -&gt; Swalot</t>
        </is>
      </c>
      <c r="H72" s="32" t="inlineStr">
        <is>
          <t>see Evolution Changes sheet</t>
        </is>
      </c>
    </row>
    <row r="73">
      <c r="A73" s="77" t="inlineStr">
        <is>
          <t>Gyarados</t>
        </is>
      </c>
      <c r="B73" s="77" t="inlineStr">
        <is>
          <t>Wild</t>
        </is>
      </c>
      <c r="C73" s="77" t="inlineStr">
        <is>
          <t>Split 8</t>
        </is>
      </c>
      <c r="D73" s="77" t="inlineStr">
        <is>
          <t>Split 8</t>
        </is>
      </c>
      <c r="E73" s="77" t="inlineStr">
        <is>
          <t>MAP_SOOTOPOLIS_CITY</t>
        </is>
      </c>
      <c r="F73" s="77" t="n">
        <v>5</v>
      </c>
      <c r="G73" s="77" t="n"/>
      <c r="H73" s="77" t="inlineStr">
        <is>
          <t>see Evolution Changes sheet</t>
        </is>
      </c>
    </row>
    <row r="74">
      <c r="A74" s="32" t="inlineStr">
        <is>
          <t>Hariyama</t>
        </is>
      </c>
      <c r="B74" s="32" t="inlineStr">
        <is>
          <t>Wild</t>
        </is>
      </c>
      <c r="C74" s="32" t="inlineStr">
        <is>
          <t>Elite Four &amp; Champion</t>
        </is>
      </c>
      <c r="D74" s="32" t="inlineStr">
        <is>
          <t>Elite Four &amp; Champion</t>
        </is>
      </c>
      <c r="E74" s="32" t="inlineStr">
        <is>
          <t>MAP_VICTORY_ROAD_1F, MAP_VICTORY_ROAD_B1F</t>
        </is>
      </c>
      <c r="F74" s="32" t="n">
        <v>38</v>
      </c>
      <c r="G74" s="32" t="n"/>
      <c r="H74" s="32" t="inlineStr">
        <is>
          <t>see Evolution Changes sheet</t>
        </is>
      </c>
    </row>
    <row r="75">
      <c r="A75" s="77" t="inlineStr">
        <is>
          <t>Helioptile</t>
        </is>
      </c>
      <c r="B75" s="77" t="inlineStr">
        <is>
          <t>Wild</t>
        </is>
      </c>
      <c r="C75" s="77" t="inlineStr">
        <is>
          <t>Split 1</t>
        </is>
      </c>
      <c r="D75" s="77" t="inlineStr">
        <is>
          <t>Split 1</t>
        </is>
      </c>
      <c r="E75" s="77" t="inlineStr">
        <is>
          <t>MAP_PETALBURG_COAST</t>
        </is>
      </c>
      <c r="F75" s="77" t="n">
        <v>7</v>
      </c>
      <c r="G75" s="77" t="inlineStr">
        <is>
          <t>Item (Sun Stone) -&gt; Heliolisk</t>
        </is>
      </c>
      <c r="H75" s="77" t="inlineStr">
        <is>
          <t>see Evolution Changes sheet</t>
        </is>
      </c>
    </row>
    <row r="76">
      <c r="A76" s="32" t="inlineStr">
        <is>
          <t>Heracross</t>
        </is>
      </c>
      <c r="B76" s="32" t="inlineStr">
        <is>
          <t>Wild</t>
        </is>
      </c>
      <c r="C76" s="32" t="inlineStr">
        <is>
          <t>Postgame</t>
        </is>
      </c>
      <c r="D76" s="32" t="inlineStr">
        <is>
          <t>Postgame</t>
        </is>
      </c>
      <c r="E76" s="32" t="inlineStr">
        <is>
          <t>MAP_SAFARI_ZONE_NORTH</t>
        </is>
      </c>
      <c r="F76" s="32" t="n">
        <v>27</v>
      </c>
      <c r="G76" s="32" t="n"/>
      <c r="H76" s="32" t="inlineStr">
        <is>
          <t>see Evolution Changes sheet</t>
        </is>
      </c>
    </row>
    <row r="77">
      <c r="A77" s="77" t="inlineStr">
        <is>
          <t>Hoothoot</t>
        </is>
      </c>
      <c r="B77" s="77" t="inlineStr">
        <is>
          <t>Wild</t>
        </is>
      </c>
      <c r="C77" s="77" t="inlineStr">
        <is>
          <t>Postgame</t>
        </is>
      </c>
      <c r="D77" s="77" t="inlineStr">
        <is>
          <t>Postgame</t>
        </is>
      </c>
      <c r="E77" s="77" t="inlineStr">
        <is>
          <t>MAP_SAFARI_ZONE_NORTHEAST, MAP_SAFARI_ZONE_SOUTHEAST</t>
        </is>
      </c>
      <c r="F77" s="77" t="n">
        <v>35</v>
      </c>
      <c r="G77" s="77" t="inlineStr">
        <is>
          <t>Lv 20 -&gt; Noctowl</t>
        </is>
      </c>
      <c r="H77" s="77" t="inlineStr">
        <is>
          <t>see Evolution Changes sheet</t>
        </is>
      </c>
    </row>
    <row r="78">
      <c r="A78" s="32" t="inlineStr">
        <is>
          <t>Horsea</t>
        </is>
      </c>
      <c r="B78" s="32" t="inlineStr">
        <is>
          <t>Trade, Wild</t>
        </is>
      </c>
      <c r="C78" s="32" t="inlineStr">
        <is>
          <t>Unassigned</t>
        </is>
      </c>
      <c r="D78" s="32" t="inlineStr">
        <is>
          <t>Unassigned</t>
        </is>
      </c>
      <c r="E78" s="32" t="inlineStr">
        <is>
          <t>MAP_ROUTE115, MAP_ROUTE132, MAP_ROUTE133, MAP_ROUTE134, PacifidlogTown_House3</t>
        </is>
      </c>
      <c r="F78" s="32" t="n">
        <v>15</v>
      </c>
      <c r="G78" s="32" t="inlineStr">
        <is>
          <t>Lv 32 -&gt; Seadra</t>
        </is>
      </c>
      <c r="H78" s="32" t="inlineStr">
        <is>
          <t>see Evolution Changes sheet</t>
        </is>
      </c>
    </row>
    <row r="79">
      <c r="A79" s="77" t="inlineStr">
        <is>
          <t>Houndour</t>
        </is>
      </c>
      <c r="B79" s="77" t="inlineStr">
        <is>
          <t>Wild</t>
        </is>
      </c>
      <c r="C79" s="77" t="inlineStr">
        <is>
          <t>Postgame</t>
        </is>
      </c>
      <c r="D79" s="77" t="inlineStr">
        <is>
          <t>Postgame</t>
        </is>
      </c>
      <c r="E79" s="77" t="inlineStr">
        <is>
          <t>MAP_ALTERING_CAVE, MAP_SAFARI_ZONE_NORTHEAST</t>
        </is>
      </c>
      <c r="F79" s="77" t="n">
        <v>12</v>
      </c>
      <c r="G79" s="77" t="inlineStr">
        <is>
          <t>Lv 24 -&gt; Houndoom</t>
        </is>
      </c>
      <c r="H79" s="77" t="inlineStr">
        <is>
          <t>see Evolution Changes sheet</t>
        </is>
      </c>
    </row>
    <row r="80">
      <c r="A80" s="32" t="inlineStr">
        <is>
          <t>Igglybuff</t>
        </is>
      </c>
      <c r="B80" s="32" t="inlineStr">
        <is>
          <t>Wild</t>
        </is>
      </c>
      <c r="C80" s="32" t="inlineStr">
        <is>
          <t>Split 1</t>
        </is>
      </c>
      <c r="D80" s="32" t="inlineStr">
        <is>
          <t>Split 1</t>
        </is>
      </c>
      <c r="E80" s="32" t="inlineStr">
        <is>
          <t>MAP_ROUTE102</t>
        </is>
      </c>
      <c r="F80" s="32" t="n">
        <v>4</v>
      </c>
      <c r="G80" s="32" t="inlineStr">
        <is>
          <t>Lv 15 -&gt; Jigglypuff</t>
        </is>
      </c>
      <c r="H80" s="32" t="inlineStr">
        <is>
          <t>see Evolution Changes sheet</t>
        </is>
      </c>
    </row>
    <row r="81">
      <c r="A81" s="77" t="inlineStr">
        <is>
          <t>Illumise</t>
        </is>
      </c>
      <c r="B81" s="77" t="inlineStr">
        <is>
          <t>Wild</t>
        </is>
      </c>
      <c r="C81" s="77" t="inlineStr">
        <is>
          <t>Split 4</t>
        </is>
      </c>
      <c r="D81" s="77" t="inlineStr">
        <is>
          <t>Split 4</t>
        </is>
      </c>
      <c r="E81" s="77" t="inlineStr">
        <is>
          <t>MAP_ROUTE117</t>
        </is>
      </c>
      <c r="F81" s="77" t="n">
        <v>13</v>
      </c>
      <c r="G81" s="77" t="n"/>
      <c r="H81" s="77" t="inlineStr">
        <is>
          <t>see Evolution Changes sheet</t>
        </is>
      </c>
    </row>
    <row r="82">
      <c r="A82" s="32" t="inlineStr">
        <is>
          <t>Inkay</t>
        </is>
      </c>
      <c r="B82" s="32" t="inlineStr">
        <is>
          <t>Wild</t>
        </is>
      </c>
      <c r="C82" s="32" t="inlineStr">
        <is>
          <t>Split 1</t>
        </is>
      </c>
      <c r="D82" s="32" t="inlineStr">
        <is>
          <t>Split 1</t>
        </is>
      </c>
      <c r="E82" s="32" t="inlineStr">
        <is>
          <t>MAP_PETALBURG_COAST</t>
        </is>
      </c>
      <c r="F82" s="32" t="n">
        <v>7</v>
      </c>
      <c r="G82" s="32" t="inlineStr">
        <is>
          <t>Lv 30 -&gt; Malamar</t>
        </is>
      </c>
      <c r="H82" s="32" t="inlineStr">
        <is>
          <t>see Evolution Changes sheet</t>
        </is>
      </c>
    </row>
    <row r="83">
      <c r="A83" s="77" t="inlineStr">
        <is>
          <t>Ivysaur</t>
        </is>
      </c>
      <c r="B83" s="77" t="inlineStr">
        <is>
          <t>Wild</t>
        </is>
      </c>
      <c r="C83" s="77" t="inlineStr">
        <is>
          <t>Unassigned</t>
        </is>
      </c>
      <c r="D83" s="77" t="inlineStr">
        <is>
          <t>Unassigned</t>
        </is>
      </c>
      <c r="E83" s="77" t="n"/>
      <c r="F83" s="77" t="n">
        <v>5</v>
      </c>
      <c r="G83" s="77" t="inlineStr">
        <is>
          <t>Lv 32 -&gt; Venusaur</t>
        </is>
      </c>
      <c r="H83" s="77" t="inlineStr">
        <is>
          <t>see Evolution Changes sheet</t>
        </is>
      </c>
    </row>
    <row r="84">
      <c r="A84" s="32" t="inlineStr">
        <is>
          <t>Jigglypuff</t>
        </is>
      </c>
      <c r="B84" s="32" t="inlineStr">
        <is>
          <t>Wild</t>
        </is>
      </c>
      <c r="C84" s="32" t="inlineStr">
        <is>
          <t>Unassigned</t>
        </is>
      </c>
      <c r="D84" s="32" t="inlineStr">
        <is>
          <t>Unassigned</t>
        </is>
      </c>
      <c r="E84" s="32" t="inlineStr">
        <is>
          <t>MAP_ROUTE115</t>
        </is>
      </c>
      <c r="F84" s="32" t="n">
        <v>24</v>
      </c>
      <c r="G84" s="32" t="inlineStr">
        <is>
          <t>Item (Moon Stone) -&gt; Wigglytuff</t>
        </is>
      </c>
      <c r="H84" s="32" t="inlineStr">
        <is>
          <t>see Evolution Changes sheet</t>
        </is>
      </c>
    </row>
    <row r="85">
      <c r="A85" s="77" t="inlineStr">
        <is>
          <t>Kabuto</t>
        </is>
      </c>
      <c r="B85" s="77" t="inlineStr">
        <is>
          <t>Wild</t>
        </is>
      </c>
      <c r="C85" s="77" t="inlineStr">
        <is>
          <t>Split 1</t>
        </is>
      </c>
      <c r="D85" s="77" t="inlineStr">
        <is>
          <t>Split 1</t>
        </is>
      </c>
      <c r="E85" s="77" t="inlineStr">
        <is>
          <t>MAP_LITTLEROOT_TOWN</t>
        </is>
      </c>
      <c r="F85" s="77" t="n">
        <v>3</v>
      </c>
      <c r="G85" s="77" t="inlineStr">
        <is>
          <t>Lv 40 -&gt; Kabutops</t>
        </is>
      </c>
      <c r="H85" s="77" t="inlineStr">
        <is>
          <t>see Evolution Changes sheet</t>
        </is>
      </c>
    </row>
    <row r="86">
      <c r="A86" s="32" t="inlineStr">
        <is>
          <t>Kakuna</t>
        </is>
      </c>
      <c r="B86" s="32" t="inlineStr">
        <is>
          <t>Wild</t>
        </is>
      </c>
      <c r="C86" s="32" t="inlineStr">
        <is>
          <t>Split 1</t>
        </is>
      </c>
      <c r="D86" s="32" t="inlineStr">
        <is>
          <t>Split 1</t>
        </is>
      </c>
      <c r="E86" s="32" t="inlineStr">
        <is>
          <t>MAP_VIRIDIAN_FOREST</t>
        </is>
      </c>
      <c r="F86" s="32" t="n">
        <v>10</v>
      </c>
      <c r="G86" s="32" t="inlineStr">
        <is>
          <t>Lv 10 -&gt; Beedrill</t>
        </is>
      </c>
      <c r="H86" s="32" t="inlineStr">
        <is>
          <t>see Evolution Changes sheet</t>
        </is>
      </c>
    </row>
    <row r="87">
      <c r="A87" s="77" t="inlineStr">
        <is>
          <t>Karrablast</t>
        </is>
      </c>
      <c r="B87" s="77" t="inlineStr">
        <is>
          <t>Wild</t>
        </is>
      </c>
      <c r="C87" s="77" t="inlineStr">
        <is>
          <t>Split 2</t>
        </is>
      </c>
      <c r="D87" s="77" t="inlineStr">
        <is>
          <t>Split 2</t>
        </is>
      </c>
      <c r="E87" s="77" t="inlineStr">
        <is>
          <t>MAP_PETALBURG_WOODS, MAP_ROUTE116</t>
        </is>
      </c>
      <c r="F87" s="77" t="n">
        <v>12</v>
      </c>
      <c r="G87" s="77" t="inlineStr">
        <is>
          <t>Lv 34 -&gt; Escavalier</t>
        </is>
      </c>
      <c r="H87" s="77" t="inlineStr">
        <is>
          <t>see Evolution Changes sheet</t>
        </is>
      </c>
    </row>
    <row r="88">
      <c r="A88" s="32" t="inlineStr">
        <is>
          <t>Kecleon</t>
        </is>
      </c>
      <c r="B88" s="32" t="inlineStr">
        <is>
          <t>Wild</t>
        </is>
      </c>
      <c r="C88" s="32" t="inlineStr">
        <is>
          <t>Split 6</t>
        </is>
      </c>
      <c r="D88" s="32" t="inlineStr">
        <is>
          <t>Split 6, Split 7</t>
        </is>
      </c>
      <c r="E88" s="32" t="inlineStr">
        <is>
          <t>MAP_ROUTE118, MAP_ROUTE119, MAP_ROUTE120, MAP_ROUTE121, MAP_ROUTE123</t>
        </is>
      </c>
      <c r="F88" s="32" t="n">
        <v>25</v>
      </c>
      <c r="G88" s="32" t="n"/>
      <c r="H88" s="32" t="inlineStr">
        <is>
          <t>see Evolution Changes sheet</t>
        </is>
      </c>
    </row>
    <row r="89">
      <c r="A89" s="77" t="inlineStr">
        <is>
          <t>Klefki</t>
        </is>
      </c>
      <c r="B89" s="77" t="inlineStr">
        <is>
          <t>Wild</t>
        </is>
      </c>
      <c r="C89" s="77" t="inlineStr">
        <is>
          <t>Unassigned</t>
        </is>
      </c>
      <c r="D89" s="77" t="inlineStr">
        <is>
          <t>Unassigned</t>
        </is>
      </c>
      <c r="E89" s="77" t="inlineStr">
        <is>
          <t>MAP_LOST_CAVE</t>
        </is>
      </c>
      <c r="F89" s="77" t="n">
        <v>13</v>
      </c>
      <c r="G89" s="77" t="n"/>
      <c r="H89" s="77" t="inlineStr">
        <is>
          <t>see Evolution Changes sheet</t>
        </is>
      </c>
    </row>
    <row r="90">
      <c r="A90" s="32" t="inlineStr">
        <is>
          <t>Klink</t>
        </is>
      </c>
      <c r="B90" s="32" t="inlineStr">
        <is>
          <t>Wild</t>
        </is>
      </c>
      <c r="C90" s="32" t="inlineStr">
        <is>
          <t>Unassigned</t>
        </is>
      </c>
      <c r="D90" s="32" t="inlineStr">
        <is>
          <t>Unassigned</t>
        </is>
      </c>
      <c r="E90" s="32" t="inlineStr">
        <is>
          <t>MAP_LOST_CAVE</t>
        </is>
      </c>
      <c r="F90" s="32" t="n">
        <v>14</v>
      </c>
      <c r="G90" s="32" t="inlineStr">
        <is>
          <t>Lv 38 -&gt; Klang</t>
        </is>
      </c>
      <c r="H90" s="32" t="inlineStr">
        <is>
          <t>see Evolution Changes sheet</t>
        </is>
      </c>
    </row>
    <row r="91">
      <c r="A91" s="77" t="inlineStr">
        <is>
          <t>Koffing</t>
        </is>
      </c>
      <c r="B91" s="77" t="inlineStr">
        <is>
          <t>Wild</t>
        </is>
      </c>
      <c r="C91" s="77" t="inlineStr">
        <is>
          <t>Split 1</t>
        </is>
      </c>
      <c r="D91" s="77" t="inlineStr">
        <is>
          <t>Split 1, Split 5</t>
        </is>
      </c>
      <c r="E91" s="77" t="inlineStr">
        <is>
          <t>MAP_FIERY_PATH, MAP_OLDALE_TOWN</t>
        </is>
      </c>
      <c r="F91" s="77" t="n">
        <v>3</v>
      </c>
      <c r="G91" s="77" t="inlineStr">
        <is>
          <t>Lv 35 -&gt; Weezing; None -&gt; Weezing Galar</t>
        </is>
      </c>
      <c r="H91" s="77" t="inlineStr">
        <is>
          <t>see Evolution Changes sheet</t>
        </is>
      </c>
    </row>
    <row r="92">
      <c r="A92" s="32" t="inlineStr">
        <is>
          <t>Krabby</t>
        </is>
      </c>
      <c r="B92" s="32" t="inlineStr">
        <is>
          <t>Wild</t>
        </is>
      </c>
      <c r="C92" s="32" t="inlineStr">
        <is>
          <t>Split 1</t>
        </is>
      </c>
      <c r="D92" s="32" t="inlineStr">
        <is>
          <t>Split 1, Split 2</t>
        </is>
      </c>
      <c r="E92" s="32" t="inlineStr">
        <is>
          <t>MAP_ROUTE103, MAP_ROUTE104</t>
        </is>
      </c>
      <c r="F92" s="32" t="n">
        <v>3</v>
      </c>
      <c r="G92" s="32" t="inlineStr">
        <is>
          <t>Lv 28 -&gt; Kingler</t>
        </is>
      </c>
      <c r="H92" s="32" t="inlineStr">
        <is>
          <t>see Evolution Changes sheet</t>
        </is>
      </c>
    </row>
    <row r="93">
      <c r="A93" s="77" t="inlineStr">
        <is>
          <t>Lairon</t>
        </is>
      </c>
      <c r="B93" s="77" t="inlineStr">
        <is>
          <t>Wild</t>
        </is>
      </c>
      <c r="C93" s="77" t="inlineStr">
        <is>
          <t>Elite Four &amp; Champion</t>
        </is>
      </c>
      <c r="D93" s="77" t="inlineStr">
        <is>
          <t>Elite Four &amp; Champion</t>
        </is>
      </c>
      <c r="E93" s="77" t="inlineStr">
        <is>
          <t>MAP_VICTORY_ROAD_1F, MAP_VICTORY_ROAD_B1F, MAP_VICTORY_ROAD_B2F</t>
        </is>
      </c>
      <c r="F93" s="77" t="n">
        <v>40</v>
      </c>
      <c r="G93" s="77" t="inlineStr">
        <is>
          <t>Lv 42 -&gt; Aggron</t>
        </is>
      </c>
      <c r="H93" s="77" t="inlineStr">
        <is>
          <t>see Evolution Changes sheet</t>
        </is>
      </c>
    </row>
    <row r="94">
      <c r="A94" s="32" t="inlineStr">
        <is>
          <t>Ledyba</t>
        </is>
      </c>
      <c r="B94" s="32" t="inlineStr">
        <is>
          <t>Wild</t>
        </is>
      </c>
      <c r="C94" s="32" t="inlineStr">
        <is>
          <t>Postgame</t>
        </is>
      </c>
      <c r="D94" s="32" t="inlineStr">
        <is>
          <t>Postgame</t>
        </is>
      </c>
      <c r="E94" s="32" t="inlineStr">
        <is>
          <t>MAP_SAFARI_ZONE_NORTHEAST</t>
        </is>
      </c>
      <c r="F94" s="32" t="n">
        <v>33</v>
      </c>
      <c r="G94" s="32" t="inlineStr">
        <is>
          <t>Lv 18 -&gt; Ledian</t>
        </is>
      </c>
      <c r="H94" s="32" t="inlineStr">
        <is>
          <t>see Evolution Changes sheet</t>
        </is>
      </c>
    </row>
    <row r="95">
      <c r="A95" s="77" t="inlineStr">
        <is>
          <t>Lileep</t>
        </is>
      </c>
      <c r="B95" s="77" t="inlineStr">
        <is>
          <t>Gift</t>
        </is>
      </c>
      <c r="C95" s="77" t="inlineStr">
        <is>
          <t>Split 2</t>
        </is>
      </c>
      <c r="D95" s="77" t="inlineStr">
        <is>
          <t>Split 2</t>
        </is>
      </c>
      <c r="E95" s="77" t="inlineStr">
        <is>
          <t>RustboroCity_DevonCorp_2F</t>
        </is>
      </c>
      <c r="F95" s="77" t="n"/>
      <c r="G95" s="77" t="inlineStr">
        <is>
          <t>Lv 40 -&gt; Cradily</t>
        </is>
      </c>
      <c r="H95" s="77" t="inlineStr">
        <is>
          <t>see Evolution Changes sheet</t>
        </is>
      </c>
    </row>
    <row r="96">
      <c r="A96" s="32" t="inlineStr">
        <is>
          <t>Linoone</t>
        </is>
      </c>
      <c r="B96" s="32" t="inlineStr">
        <is>
          <t>Wild</t>
        </is>
      </c>
      <c r="C96" s="32" t="inlineStr">
        <is>
          <t>Split 6</t>
        </is>
      </c>
      <c r="D96" s="32" t="inlineStr">
        <is>
          <t>Split 6</t>
        </is>
      </c>
      <c r="E96" s="32" t="inlineStr">
        <is>
          <t>MAP_ROUTE118, MAP_ROUTE119</t>
        </is>
      </c>
      <c r="F96" s="32" t="n">
        <v>25</v>
      </c>
      <c r="G96" s="32" t="n"/>
      <c r="H96" s="32" t="inlineStr">
        <is>
          <t>see Evolution Changes sheet</t>
        </is>
      </c>
    </row>
    <row r="97">
      <c r="A97" s="77" t="inlineStr">
        <is>
          <t>Litleo</t>
        </is>
      </c>
      <c r="B97" s="77" t="inlineStr">
        <is>
          <t>Wild</t>
        </is>
      </c>
      <c r="C97" s="77" t="inlineStr">
        <is>
          <t>Split 2</t>
        </is>
      </c>
      <c r="D97" s="77" t="inlineStr">
        <is>
          <t>Split 2</t>
        </is>
      </c>
      <c r="E97" s="77" t="inlineStr">
        <is>
          <t>MAP_ROUTE116</t>
        </is>
      </c>
      <c r="F97" s="77" t="n">
        <v>14</v>
      </c>
      <c r="G97" s="77" t="inlineStr">
        <is>
          <t>Lv 35 -&gt; Pyroar</t>
        </is>
      </c>
      <c r="H97" s="77" t="inlineStr">
        <is>
          <t>see Evolution Changes sheet</t>
        </is>
      </c>
    </row>
    <row r="98">
      <c r="A98" s="32" t="inlineStr">
        <is>
          <t>Lombre</t>
        </is>
      </c>
      <c r="B98" s="32" t="inlineStr">
        <is>
          <t>Wild</t>
        </is>
      </c>
      <c r="C98" s="32" t="inlineStr">
        <is>
          <t>Split 5</t>
        </is>
      </c>
      <c r="D98" s="32" t="inlineStr">
        <is>
          <t>Split 5</t>
        </is>
      </c>
      <c r="E98" s="32" t="inlineStr">
        <is>
          <t>MAP_ROUTE114</t>
        </is>
      </c>
      <c r="F98" s="32" t="n">
        <v>16</v>
      </c>
      <c r="G98" s="32" t="inlineStr">
        <is>
          <t>Item (Water Stone) -&gt; Ludicolo</t>
        </is>
      </c>
      <c r="H98" s="32" t="inlineStr">
        <is>
          <t>see Evolution Changes sheet</t>
        </is>
      </c>
    </row>
    <row r="99">
      <c r="A99" s="77" t="inlineStr">
        <is>
          <t>Lotad</t>
        </is>
      </c>
      <c r="B99" s="77" t="inlineStr">
        <is>
          <t>Wild</t>
        </is>
      </c>
      <c r="C99" s="77" t="inlineStr">
        <is>
          <t>Split 5</t>
        </is>
      </c>
      <c r="D99" s="77" t="inlineStr">
        <is>
          <t>Split 5</t>
        </is>
      </c>
      <c r="E99" s="77" t="inlineStr">
        <is>
          <t>MAP_ROUTE114</t>
        </is>
      </c>
      <c r="F99" s="77" t="n">
        <v>15</v>
      </c>
      <c r="G99" s="77" t="inlineStr">
        <is>
          <t>Lv 14 -&gt; Lombre</t>
        </is>
      </c>
      <c r="H99" s="77" t="inlineStr">
        <is>
          <t>see Evolution Changes sheet</t>
        </is>
      </c>
    </row>
    <row r="100">
      <c r="A100" s="32" t="inlineStr">
        <is>
          <t>Loudred</t>
        </is>
      </c>
      <c r="B100" s="32" t="inlineStr">
        <is>
          <t>Wild</t>
        </is>
      </c>
      <c r="C100" s="32" t="inlineStr">
        <is>
          <t>Elite Four &amp; Champion</t>
        </is>
      </c>
      <c r="D100" s="32" t="inlineStr">
        <is>
          <t>Elite Four &amp; Champion, Postgame</t>
        </is>
      </c>
      <c r="E100" s="32" t="inlineStr">
        <is>
          <t>MAP_DESERT_UNDERPASS, MAP_VICTORY_ROAD_1F</t>
        </is>
      </c>
      <c r="F100" s="32" t="n">
        <v>38</v>
      </c>
      <c r="G100" s="32" t="inlineStr">
        <is>
          <t>Lv 40 -&gt; Exploud</t>
        </is>
      </c>
      <c r="H100" s="32" t="inlineStr">
        <is>
          <t>see Evolution Changes sheet</t>
        </is>
      </c>
    </row>
    <row r="101">
      <c r="A101" s="77" t="inlineStr">
        <is>
          <t>Luvdisc</t>
        </is>
      </c>
      <c r="B101" s="77" t="inlineStr">
        <is>
          <t>Wild</t>
        </is>
      </c>
      <c r="C101" s="77" t="inlineStr">
        <is>
          <t>Split 8</t>
        </is>
      </c>
      <c r="D101" s="77" t="inlineStr">
        <is>
          <t>Split 8, Elite Four &amp; Champion</t>
        </is>
      </c>
      <c r="E101" s="77" t="inlineStr">
        <is>
          <t>MAP_EVER_GRANDE_CITY, MAP_ROUTE128</t>
        </is>
      </c>
      <c r="F101" s="77" t="n">
        <v>10</v>
      </c>
      <c r="G101" s="77" t="n"/>
      <c r="H101" s="77" t="inlineStr">
        <is>
          <t>see Evolution Changes sheet</t>
        </is>
      </c>
    </row>
    <row r="102">
      <c r="A102" s="32" t="inlineStr">
        <is>
          <t>Machop</t>
        </is>
      </c>
      <c r="B102" s="32" t="inlineStr">
        <is>
          <t>Wild</t>
        </is>
      </c>
      <c r="C102" s="32" t="inlineStr">
        <is>
          <t>Split 3</t>
        </is>
      </c>
      <c r="D102" s="32" t="inlineStr">
        <is>
          <t>Split 3, Split 5</t>
        </is>
      </c>
      <c r="E102" s="32" t="inlineStr">
        <is>
          <t>MAP_FIERY_PATH, MAP_GRANITE_CAVE_1F, MAP_GRANITE_CAVE_B1F, MAP_GRANITE_CAVE_B2F, MAP_GRANITE_CAVE_STEVENS_ROOM, MAP_JAGGED_PASS</t>
        </is>
      </c>
      <c r="F102" s="32" t="n">
        <v>15</v>
      </c>
      <c r="G102" s="32" t="inlineStr">
        <is>
          <t>Lv 28 -&gt; Machoke</t>
        </is>
      </c>
      <c r="H102" s="32" t="inlineStr">
        <is>
          <t>see Evolution Changes sheet</t>
        </is>
      </c>
    </row>
    <row r="103">
      <c r="A103" s="77" t="inlineStr">
        <is>
          <t>Magikarp</t>
        </is>
      </c>
      <c r="B103" s="77" t="inlineStr">
        <is>
          <t>Wild</t>
        </is>
      </c>
      <c r="C103" s="77" t="inlineStr">
        <is>
          <t>Split 1</t>
        </is>
      </c>
      <c r="D103" s="77" t="inlineStr">
        <is>
          <t>Split 1, Split 2, Split 3, Split 4, Split 5, Split 6, Split 7, Split 8, Elite Four &amp; Champion, Unassigned, Postgame</t>
        </is>
      </c>
      <c r="E103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103" s="77" t="n">
        <v>5</v>
      </c>
      <c r="G103" s="77" t="inlineStr">
        <is>
          <t>Lv 20 -&gt; Gyarados</t>
        </is>
      </c>
      <c r="H103" s="77" t="inlineStr">
        <is>
          <t>see Evolution Changes sheet</t>
        </is>
      </c>
    </row>
    <row r="104">
      <c r="A104" s="32" t="inlineStr">
        <is>
          <t>Magnemite</t>
        </is>
      </c>
      <c r="B104" s="32" t="inlineStr">
        <is>
          <t>Wild</t>
        </is>
      </c>
      <c r="C104" s="32" t="inlineStr">
        <is>
          <t>Split 4</t>
        </is>
      </c>
      <c r="D104" s="32" t="inlineStr">
        <is>
          <t>Split 4, Unassigned</t>
        </is>
      </c>
      <c r="E104" s="32" t="inlineStr">
        <is>
          <t>MAP_LOST_CAVE, MAP_NEW_MAUVILLE_ENTRANCE, MAP_NEW_MAUVILLE_INSIDE</t>
        </is>
      </c>
      <c r="F104" s="32" t="n">
        <v>13</v>
      </c>
      <c r="G104" s="32" t="inlineStr">
        <is>
          <t>Lv 30 -&gt; Magneton</t>
        </is>
      </c>
      <c r="H104" s="32" t="inlineStr">
        <is>
          <t>see Evolution Changes sheet</t>
        </is>
      </c>
    </row>
    <row r="105">
      <c r="A105" s="77" t="inlineStr">
        <is>
          <t>Magneton</t>
        </is>
      </c>
      <c r="B105" s="77" t="inlineStr">
        <is>
          <t>Wild</t>
        </is>
      </c>
      <c r="C105" s="77" t="inlineStr">
        <is>
          <t>Split 4</t>
        </is>
      </c>
      <c r="D105" s="77" t="inlineStr">
        <is>
          <t>Split 4</t>
        </is>
      </c>
      <c r="E105" s="77" t="inlineStr">
        <is>
          <t>MAP_NEW_MAUVILLE_INSIDE</t>
        </is>
      </c>
      <c r="F105" s="77" t="n">
        <v>26</v>
      </c>
      <c r="G105" s="77" t="inlineStr">
        <is>
          <t>Mapsec MAPSEC_NEW_MAUVILLE -&gt; Magnezone; Item (Thunder Stone) -&gt; Magnezone</t>
        </is>
      </c>
      <c r="H105" s="77" t="inlineStr">
        <is>
          <t>see Evolution Changes sheet</t>
        </is>
      </c>
    </row>
    <row r="106">
      <c r="A106" s="32" t="inlineStr">
        <is>
          <t>Makuhita</t>
        </is>
      </c>
      <c r="B106" s="32" t="inlineStr">
        <is>
          <t>Wild</t>
        </is>
      </c>
      <c r="C106" s="32" t="inlineStr">
        <is>
          <t>Split 3</t>
        </is>
      </c>
      <c r="D106" s="32" t="inlineStr">
        <is>
          <t>Split 3, Elite Four &amp; Champion, Unassigned</t>
        </is>
      </c>
      <c r="E106" s="32" t="inlineStr">
        <is>
          <t>MAP_GRANITE_CAVE_1F, MAP_GRANITE_CAVE_B1F, MAP_GRANITE_CAVE_B2F, MAP_GRANITE_CAVE_STEVENS_ROOM, MAP_TRAINER_GROVE, MAP_VICTORY_ROAD_1F</t>
        </is>
      </c>
      <c r="F106" s="32" t="n">
        <v>9</v>
      </c>
      <c r="G106" s="32" t="inlineStr">
        <is>
          <t>Lv 24 -&gt; Hariyama</t>
        </is>
      </c>
      <c r="H106" s="32" t="inlineStr">
        <is>
          <t>see Evolution Changes sheet</t>
        </is>
      </c>
    </row>
    <row r="107">
      <c r="A107" s="77" t="inlineStr">
        <is>
          <t>Manectric</t>
        </is>
      </c>
      <c r="B107" s="77" t="inlineStr">
        <is>
          <t>Wild</t>
        </is>
      </c>
      <c r="C107" s="77" t="inlineStr">
        <is>
          <t>Split 6</t>
        </is>
      </c>
      <c r="D107" s="77" t="inlineStr">
        <is>
          <t>Split 6</t>
        </is>
      </c>
      <c r="E107" s="77" t="inlineStr">
        <is>
          <t>MAP_ROUTE118</t>
        </is>
      </c>
      <c r="F107" s="77" t="n">
        <v>26</v>
      </c>
      <c r="G107" s="77" t="n"/>
      <c r="H107" s="77" t="inlineStr">
        <is>
          <t>see Evolution Changes sheet</t>
        </is>
      </c>
    </row>
    <row r="108">
      <c r="A108" s="32" t="inlineStr">
        <is>
          <t>Maractus</t>
        </is>
      </c>
      <c r="B108" s="32" t="inlineStr">
        <is>
          <t>Wild</t>
        </is>
      </c>
      <c r="C108" s="32" t="inlineStr">
        <is>
          <t>Split 2</t>
        </is>
      </c>
      <c r="D108" s="32" t="inlineStr">
        <is>
          <t>Split 2</t>
        </is>
      </c>
      <c r="E108" s="32" t="inlineStr">
        <is>
          <t>MAP_RUSTBORO_CITY</t>
        </is>
      </c>
      <c r="F108" s="32" t="n">
        <v>13</v>
      </c>
      <c r="G108" s="32" t="n"/>
      <c r="H108" s="32" t="inlineStr">
        <is>
          <t>see Evolution Changes sheet</t>
        </is>
      </c>
    </row>
    <row r="109">
      <c r="A109" s="77" t="inlineStr">
        <is>
          <t>Mareep</t>
        </is>
      </c>
      <c r="B109" s="77" t="inlineStr">
        <is>
          <t>Wild</t>
        </is>
      </c>
      <c r="C109" s="77" t="inlineStr">
        <is>
          <t>Split 1</t>
        </is>
      </c>
      <c r="D109" s="77" t="inlineStr">
        <is>
          <t>Split 1, Postgame</t>
        </is>
      </c>
      <c r="E109" s="77" t="inlineStr">
        <is>
          <t>MAP_ALTERING_CAVE, MAP_ROUTE102, MAP_SAFARI_ZONE_SOUTHEAST</t>
        </is>
      </c>
      <c r="F109" s="77" t="n">
        <v>3</v>
      </c>
      <c r="G109" s="77" t="inlineStr">
        <is>
          <t>Lv 15 -&gt; Flaaffy</t>
        </is>
      </c>
      <c r="H109" s="77" t="inlineStr">
        <is>
          <t>see Evolution Changes sheet</t>
        </is>
      </c>
    </row>
    <row r="110">
      <c r="A110" s="32" t="inlineStr">
        <is>
          <t>Marill</t>
        </is>
      </c>
      <c r="B110" s="32" t="inlineStr">
        <is>
          <t>Wild</t>
        </is>
      </c>
      <c r="C110" s="32" t="inlineStr">
        <is>
          <t>Split 1</t>
        </is>
      </c>
      <c r="D110" s="32" t="inlineStr">
        <is>
          <t>Split 1, Split 4, Split 5, Split 7, Postgame</t>
        </is>
      </c>
      <c r="E110" s="32" t="inlineStr">
        <is>
          <t>MAP_PETALBURG_CITY, MAP_ROUTE102, MAP_ROUTE111, MAP_ROUTE112, MAP_ROUTE114, MAP_ROUTE117, MAP_ROUTE120, MAP_SAFARI_ZONE_SOUTHEAST</t>
        </is>
      </c>
      <c r="F110" s="32" t="n">
        <v>5</v>
      </c>
      <c r="G110" s="32" t="inlineStr">
        <is>
          <t>Lv 18 -&gt; Azumarill</t>
        </is>
      </c>
      <c r="H110" s="32" t="inlineStr">
        <is>
          <t>see Evolution Changes sheet</t>
        </is>
      </c>
    </row>
    <row r="111">
      <c r="A111" s="77" t="inlineStr">
        <is>
          <t>Mawile</t>
        </is>
      </c>
      <c r="B111" s="77" t="inlineStr">
        <is>
          <t>Wild</t>
        </is>
      </c>
      <c r="C111" s="77" t="inlineStr">
        <is>
          <t>Elite Four &amp; Champion</t>
        </is>
      </c>
      <c r="D111" s="77" t="inlineStr">
        <is>
          <t>Elite Four &amp; Champion, Unassigned</t>
        </is>
      </c>
      <c r="E111" s="77" t="inlineStr">
        <is>
          <t>MAP_LOST_CAVE, MAP_VICTORY_ROAD_B1F, MAP_VICTORY_ROAD_B2F</t>
        </is>
      </c>
      <c r="F111" s="77" t="n">
        <v>14</v>
      </c>
      <c r="G111" s="77" t="n"/>
      <c r="H111" s="77" t="inlineStr">
        <is>
          <t>see Evolution Changes sheet</t>
        </is>
      </c>
    </row>
    <row r="112">
      <c r="A112" s="32" t="inlineStr">
        <is>
          <t>Meditite</t>
        </is>
      </c>
      <c r="B112" s="32" t="inlineStr">
        <is>
          <t>Wild</t>
        </is>
      </c>
      <c r="C112" s="32" t="inlineStr">
        <is>
          <t>Split 3</t>
        </is>
      </c>
      <c r="D112" s="32" t="inlineStr">
        <is>
          <t>Split 3</t>
        </is>
      </c>
      <c r="E112" s="32" t="inlineStr">
        <is>
          <t>MAP_GRANITE_CAVE_1F, MAP_GRANITE_CAVE_B1F, MAP_GRANITE_CAVE_B2F, MAP_GRANITE_CAVE_STEVENS_ROOM</t>
        </is>
      </c>
      <c r="F112" s="32" t="n">
        <v>16</v>
      </c>
      <c r="G112" s="32" t="inlineStr">
        <is>
          <t>Lv 37 -&gt; Medicham</t>
        </is>
      </c>
      <c r="H112" s="32" t="inlineStr">
        <is>
          <t>see Evolution Changes sheet</t>
        </is>
      </c>
    </row>
    <row r="113">
      <c r="A113" s="77" t="inlineStr">
        <is>
          <t>Meowth</t>
        </is>
      </c>
      <c r="B113" s="77" t="inlineStr">
        <is>
          <t>Trade</t>
        </is>
      </c>
      <c r="C113" s="77" t="inlineStr">
        <is>
          <t>Postgame</t>
        </is>
      </c>
      <c r="D113" s="77" t="inlineStr">
        <is>
          <t>Postgame</t>
        </is>
      </c>
      <c r="E113" s="77" t="inlineStr">
        <is>
          <t>BattleFrontier_Lounge6</t>
        </is>
      </c>
      <c r="F113" s="77" t="n"/>
      <c r="G113" s="77" t="inlineStr">
        <is>
          <t>Lv 28 -&gt; Persian</t>
        </is>
      </c>
      <c r="H113" s="77" t="inlineStr">
        <is>
          <t>see Evolution Changes sheet</t>
        </is>
      </c>
    </row>
    <row r="114">
      <c r="A114" s="32" t="inlineStr">
        <is>
          <t>Metapod</t>
        </is>
      </c>
      <c r="B114" s="32" t="inlineStr">
        <is>
          <t>Wild</t>
        </is>
      </c>
      <c r="C114" s="32" t="inlineStr">
        <is>
          <t>Split 1</t>
        </is>
      </c>
      <c r="D114" s="32" t="inlineStr">
        <is>
          <t>Split 1</t>
        </is>
      </c>
      <c r="E114" s="32" t="inlineStr">
        <is>
          <t>MAP_VIRIDIAN_FOREST</t>
        </is>
      </c>
      <c r="F114" s="32" t="n">
        <v>10</v>
      </c>
      <c r="G114" s="32" t="inlineStr">
        <is>
          <t>Lv 10 -&gt; Butterfree</t>
        </is>
      </c>
      <c r="H114" s="32" t="inlineStr">
        <is>
          <t>see Evolution Changes sheet</t>
        </is>
      </c>
    </row>
    <row r="115">
      <c r="A115" s="77" t="inlineStr">
        <is>
          <t>Mienfoo</t>
        </is>
      </c>
      <c r="B115" s="77" t="inlineStr">
        <is>
          <t>Wild</t>
        </is>
      </c>
      <c r="C115" s="77" t="inlineStr">
        <is>
          <t>Unassigned</t>
        </is>
      </c>
      <c r="D115" s="77" t="inlineStr">
        <is>
          <t>Unassigned</t>
        </is>
      </c>
      <c r="E115" s="77" t="inlineStr">
        <is>
          <t>MAP_TRAINER_GROVE</t>
        </is>
      </c>
      <c r="F115" s="77" t="n">
        <v>8</v>
      </c>
      <c r="G115" s="77" t="inlineStr">
        <is>
          <t>Lv 34 -&gt; Mienshao</t>
        </is>
      </c>
      <c r="H115" s="77" t="inlineStr">
        <is>
          <t>see Evolution Changes sheet</t>
        </is>
      </c>
    </row>
    <row r="116">
      <c r="A116" s="32" t="inlineStr">
        <is>
          <t>Mightyena</t>
        </is>
      </c>
      <c r="B116" s="32" t="inlineStr">
        <is>
          <t>Wild</t>
        </is>
      </c>
      <c r="C116" s="32" t="inlineStr">
        <is>
          <t>Split 7</t>
        </is>
      </c>
      <c r="D116" s="32" t="inlineStr">
        <is>
          <t>Split 7</t>
        </is>
      </c>
      <c r="E116" s="32" t="inlineStr">
        <is>
          <t>MAP_ROUTE120, MAP_ROUTE121, MAP_ROUTE123</t>
        </is>
      </c>
      <c r="F116" s="32" t="n">
        <v>25</v>
      </c>
      <c r="G116" s="32" t="n"/>
      <c r="H116" s="32" t="inlineStr">
        <is>
          <t>see Evolution Changes sheet</t>
        </is>
      </c>
    </row>
    <row r="117">
      <c r="A117" s="77" t="inlineStr">
        <is>
          <t>Milotic</t>
        </is>
      </c>
      <c r="B117" s="77" t="inlineStr">
        <is>
          <t>Wild</t>
        </is>
      </c>
      <c r="C117" s="77" t="inlineStr">
        <is>
          <t>Unassigned</t>
        </is>
      </c>
      <c r="D117" s="77" t="inlineStr">
        <is>
          <t>Unassigned</t>
        </is>
      </c>
      <c r="E117" s="77" t="n"/>
      <c r="F117" s="77" t="n">
        <v>5</v>
      </c>
      <c r="G117" s="77" t="n"/>
      <c r="H117" s="77" t="inlineStr">
        <is>
          <t>see Evolution Changes sheet</t>
        </is>
      </c>
    </row>
    <row r="118">
      <c r="A118" s="32" t="inlineStr">
        <is>
          <t>Miltank</t>
        </is>
      </c>
      <c r="B118" s="32" t="inlineStr">
        <is>
          <t>Wild</t>
        </is>
      </c>
      <c r="C118" s="32" t="inlineStr">
        <is>
          <t>Postgame</t>
        </is>
      </c>
      <c r="D118" s="32" t="inlineStr">
        <is>
          <t>Postgame</t>
        </is>
      </c>
      <c r="E118" s="32" t="inlineStr">
        <is>
          <t>MAP_SAFARI_ZONE_NORTHEAST</t>
        </is>
      </c>
      <c r="F118" s="32" t="n">
        <v>37</v>
      </c>
      <c r="G118" s="32" t="n"/>
      <c r="H118" s="32" t="inlineStr">
        <is>
          <t>see Evolution Changes sheet</t>
        </is>
      </c>
    </row>
    <row r="119">
      <c r="A119" s="77" t="inlineStr">
        <is>
          <t>Minccino</t>
        </is>
      </c>
      <c r="B119" s="77" t="inlineStr">
        <is>
          <t>Wild</t>
        </is>
      </c>
      <c r="C119" s="77" t="inlineStr">
        <is>
          <t>Unassigned</t>
        </is>
      </c>
      <c r="D119" s="77" t="inlineStr">
        <is>
          <t>Unassigned</t>
        </is>
      </c>
      <c r="E119" s="77" t="inlineStr">
        <is>
          <t>MAP_TRAINER_GROVE</t>
        </is>
      </c>
      <c r="F119" s="77" t="n">
        <v>8</v>
      </c>
      <c r="G119" s="77" t="inlineStr">
        <is>
          <t>Item (Shiny Stone) -&gt; Cinccino</t>
        </is>
      </c>
      <c r="H119" s="77" t="inlineStr">
        <is>
          <t>see Evolution Changes sheet</t>
        </is>
      </c>
    </row>
    <row r="120">
      <c r="A120" s="32" t="inlineStr">
        <is>
          <t>Minun</t>
        </is>
      </c>
      <c r="B120" s="32" t="inlineStr">
        <is>
          <t>Wild</t>
        </is>
      </c>
      <c r="C120" s="32" t="inlineStr">
        <is>
          <t>Split 4</t>
        </is>
      </c>
      <c r="D120" s="32" t="inlineStr">
        <is>
          <t>Split 4</t>
        </is>
      </c>
      <c r="E120" s="32" t="inlineStr">
        <is>
          <t>MAP_ROUTE110</t>
        </is>
      </c>
      <c r="F120" s="32" t="n">
        <v>13</v>
      </c>
      <c r="G120" s="32" t="n"/>
      <c r="H120" s="32" t="inlineStr">
        <is>
          <t>see Evolution Changes sheet</t>
        </is>
      </c>
    </row>
    <row r="121">
      <c r="A121" s="77" t="inlineStr">
        <is>
          <t>Natu</t>
        </is>
      </c>
      <c r="B121" s="77" t="inlineStr">
        <is>
          <t>Wild</t>
        </is>
      </c>
      <c r="C121" s="77" t="inlineStr">
        <is>
          <t>Unassigned</t>
        </is>
      </c>
      <c r="D121" s="77" t="inlineStr">
        <is>
          <t>Unassigned, Postgame</t>
        </is>
      </c>
      <c r="E121" s="77" t="inlineStr">
        <is>
          <t>MAP_SAFARI_ZONE_NORTH, MAP_SAFARI_ZONE_SOUTH, MAP_SAFARI_ZONE_SOUTHWEST, MAP_TRAINER_GROVE</t>
        </is>
      </c>
      <c r="F121" s="77" t="n">
        <v>9</v>
      </c>
      <c r="G121" s="77" t="inlineStr">
        <is>
          <t>Lv 25 -&gt; Xatu</t>
        </is>
      </c>
      <c r="H121" s="77" t="inlineStr">
        <is>
          <t>see Evolution Changes sheet</t>
        </is>
      </c>
    </row>
    <row r="122">
      <c r="A122" s="32" t="inlineStr">
        <is>
          <t>Nincada</t>
        </is>
      </c>
      <c r="B122" s="32" t="inlineStr">
        <is>
          <t>Wild</t>
        </is>
      </c>
      <c r="C122" s="32" t="inlineStr">
        <is>
          <t>Split 2</t>
        </is>
      </c>
      <c r="D122" s="32" t="inlineStr">
        <is>
          <t>Split 2</t>
        </is>
      </c>
      <c r="E122" s="32" t="inlineStr">
        <is>
          <t>MAP_PETALBURG_WOODS</t>
        </is>
      </c>
      <c r="F122" s="32" t="n">
        <v>11</v>
      </c>
      <c r="G122" s="32" t="inlineStr">
        <is>
          <t>Level Ninjask 20 -&gt; Ninjask; Level Shedinja 20 -&gt; Shedinja</t>
        </is>
      </c>
      <c r="H122" s="32" t="inlineStr">
        <is>
          <t>see Evolution Changes sheet</t>
        </is>
      </c>
    </row>
    <row r="123">
      <c r="A123" s="77" t="inlineStr">
        <is>
          <t>Nosepass</t>
        </is>
      </c>
      <c r="B123" s="77" t="inlineStr">
        <is>
          <t>Wild</t>
        </is>
      </c>
      <c r="C123" s="77" t="inlineStr">
        <is>
          <t>Split 1</t>
        </is>
      </c>
      <c r="D123" s="77" t="inlineStr">
        <is>
          <t>Split 1, Split 3, Unassigned</t>
        </is>
      </c>
      <c r="E123" s="77" t="inlineStr">
        <is>
          <t>MAP_GRANITE_CAVE_B2F, MAP_LOST_CAVE, MAP_PETALBURG_COAST</t>
        </is>
      </c>
      <c r="F123" s="77" t="n">
        <v>8</v>
      </c>
      <c r="G123" s="77" t="inlineStr">
        <is>
          <t>Mapsec MAPSEC_NEW_MAUVILLE -&gt; Probopass; Item (Thunder Stone) -&gt; Probopass</t>
        </is>
      </c>
      <c r="H123" s="77" t="inlineStr">
        <is>
          <t>see Evolution Changes sheet</t>
        </is>
      </c>
    </row>
    <row r="124">
      <c r="A124" s="32" t="inlineStr">
        <is>
          <t>Numel</t>
        </is>
      </c>
      <c r="B124" s="32" t="inlineStr">
        <is>
          <t>Wild</t>
        </is>
      </c>
      <c r="C124" s="32" t="inlineStr">
        <is>
          <t>Split 1</t>
        </is>
      </c>
      <c r="D124" s="32" t="inlineStr">
        <is>
          <t>Split 1, Split 5</t>
        </is>
      </c>
      <c r="E124" s="32" t="inlineStr">
        <is>
          <t>MAP_FIERY_PATH, MAP_JAGGED_PASS, MAP_OLDALE_TOWN, MAP_ROUTE112</t>
        </is>
      </c>
      <c r="F124" s="32" t="n">
        <v>3</v>
      </c>
      <c r="G124" s="32" t="inlineStr">
        <is>
          <t>Lv 33 -&gt; Camerupt</t>
        </is>
      </c>
      <c r="H124" s="32" t="inlineStr">
        <is>
          <t>see Evolution Changes sheet</t>
        </is>
      </c>
    </row>
    <row r="125">
      <c r="A125" s="77" t="inlineStr">
        <is>
          <t>Nuzleaf</t>
        </is>
      </c>
      <c r="B125" s="77" t="inlineStr">
        <is>
          <t>Wild</t>
        </is>
      </c>
      <c r="C125" s="77" t="inlineStr">
        <is>
          <t>Split 5</t>
        </is>
      </c>
      <c r="D125" s="77" t="inlineStr">
        <is>
          <t>Split 5</t>
        </is>
      </c>
      <c r="E125" s="77" t="inlineStr">
        <is>
          <t>MAP_ROUTE114</t>
        </is>
      </c>
      <c r="F125" s="77" t="n">
        <v>15</v>
      </c>
      <c r="G125" s="77" t="inlineStr">
        <is>
          <t>Item (Leaf Stone) -&gt; Shiftry</t>
        </is>
      </c>
      <c r="H125" s="77" t="inlineStr">
        <is>
          <t>see Evolution Changes sheet</t>
        </is>
      </c>
    </row>
    <row r="126">
      <c r="A126" s="32" t="inlineStr">
        <is>
          <t>Octillery</t>
        </is>
      </c>
      <c r="B126" s="32" t="inlineStr">
        <is>
          <t>Wild</t>
        </is>
      </c>
      <c r="C126" s="32" t="inlineStr">
        <is>
          <t>Postgame</t>
        </is>
      </c>
      <c r="D126" s="32" t="inlineStr">
        <is>
          <t>Postgame</t>
        </is>
      </c>
      <c r="E126" s="32" t="inlineStr">
        <is>
          <t>MAP_SAFARI_ZONE_SOUTHEAST</t>
        </is>
      </c>
      <c r="F126" s="32" t="n">
        <v>35</v>
      </c>
      <c r="G126" s="32" t="n"/>
      <c r="H126" s="32" t="inlineStr">
        <is>
          <t>see Evolution Changes sheet</t>
        </is>
      </c>
    </row>
    <row r="127">
      <c r="A127" s="77" t="inlineStr">
        <is>
          <t>Oddish</t>
        </is>
      </c>
      <c r="B127" s="77" t="inlineStr">
        <is>
          <t>Wild</t>
        </is>
      </c>
      <c r="C127" s="77" t="inlineStr">
        <is>
          <t>Split 2</t>
        </is>
      </c>
      <c r="D127" s="77" t="inlineStr">
        <is>
          <t>Split 2, Split 4, Split 6, Split 7, Postgame</t>
        </is>
      </c>
      <c r="E127" s="77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127" s="77" t="n">
        <v>6</v>
      </c>
      <c r="G127" s="77" t="inlineStr">
        <is>
          <t>Lv 21 -&gt; Gloom</t>
        </is>
      </c>
      <c r="H127" s="77" t="inlineStr">
        <is>
          <t>see Evolution Changes sheet</t>
        </is>
      </c>
    </row>
    <row r="128">
      <c r="A128" s="32" t="inlineStr">
        <is>
          <t>Omanyte</t>
        </is>
      </c>
      <c r="B128" s="32" t="inlineStr">
        <is>
          <t>Wild</t>
        </is>
      </c>
      <c r="C128" s="32" t="inlineStr">
        <is>
          <t>Split 1</t>
        </is>
      </c>
      <c r="D128" s="32" t="inlineStr">
        <is>
          <t>Split 1</t>
        </is>
      </c>
      <c r="E128" s="32" t="inlineStr">
        <is>
          <t>MAP_LITTLEROOT_TOWN</t>
        </is>
      </c>
      <c r="F128" s="32" t="n">
        <v>3</v>
      </c>
      <c r="G128" s="32" t="inlineStr">
        <is>
          <t>Lv 40 -&gt; Omastar</t>
        </is>
      </c>
      <c r="H128" s="32" t="inlineStr">
        <is>
          <t>see Evolution Changes sheet</t>
        </is>
      </c>
    </row>
    <row r="129">
      <c r="A129" s="77" t="inlineStr">
        <is>
          <t>Onix</t>
        </is>
      </c>
      <c r="B129" s="77" t="inlineStr">
        <is>
          <t>Wild</t>
        </is>
      </c>
      <c r="C129" s="77" t="inlineStr">
        <is>
          <t>Split 1</t>
        </is>
      </c>
      <c r="D129" s="77" t="inlineStr">
        <is>
          <t>Split 1, Split 3</t>
        </is>
      </c>
      <c r="E129" s="77" t="inlineStr">
        <is>
          <t>MAP_GRANITE_CAVE_1F, MAP_GRANITE_CAVE_B1F, MAP_GRANITE_CAVE_B2F, MAP_GRANITE_CAVE_STEVENS_ROOM, MAP_PETALBURG_COAST</t>
        </is>
      </c>
      <c r="F129" s="77" t="n">
        <v>8</v>
      </c>
      <c r="G129" s="77" t="inlineStr">
        <is>
          <t>Trade Item (Metal Coat) -&gt; Steelix; Item (Metal Coat) -&gt; Steelix</t>
        </is>
      </c>
      <c r="H129" s="77" t="inlineStr">
        <is>
          <t>see Evolution Changes sheet</t>
        </is>
      </c>
    </row>
    <row r="130">
      <c r="A130" s="32" t="inlineStr">
        <is>
          <t>Oshawott</t>
        </is>
      </c>
      <c r="B130" s="32" t="inlineStr">
        <is>
          <t>Wild</t>
        </is>
      </c>
      <c r="C130" s="32" t="inlineStr">
        <is>
          <t>Split 1</t>
        </is>
      </c>
      <c r="D130" s="32" t="inlineStr">
        <is>
          <t>Split 1</t>
        </is>
      </c>
      <c r="E130" s="32" t="inlineStr">
        <is>
          <t>MAP_PETALBURG_CITY</t>
        </is>
      </c>
      <c r="F130" s="32" t="n">
        <v>6</v>
      </c>
      <c r="G130" s="32" t="inlineStr">
        <is>
          <t>Lv 17 -&gt; Dewott</t>
        </is>
      </c>
      <c r="H130" s="32" t="inlineStr">
        <is>
          <t>see Evolution Changes sheet</t>
        </is>
      </c>
    </row>
    <row r="131">
      <c r="A131" s="77" t="inlineStr">
        <is>
          <t>Pancham</t>
        </is>
      </c>
      <c r="B131" s="77" t="inlineStr">
        <is>
          <t>Wild</t>
        </is>
      </c>
      <c r="C131" s="77" t="inlineStr">
        <is>
          <t>Unassigned</t>
        </is>
      </c>
      <c r="D131" s="77" t="inlineStr">
        <is>
          <t>Unassigned</t>
        </is>
      </c>
      <c r="E131" s="77" t="inlineStr">
        <is>
          <t>MAP_TRAINER_GROVE</t>
        </is>
      </c>
      <c r="F131" s="77" t="n">
        <v>8</v>
      </c>
      <c r="G131" s="77" t="inlineStr">
        <is>
          <t>Level Dark Type Mon In Party 32 -&gt; Pangoro</t>
        </is>
      </c>
      <c r="H131" s="77" t="inlineStr">
        <is>
          <t>see Evolution Changes sheet</t>
        </is>
      </c>
    </row>
    <row r="132">
      <c r="A132" s="32" t="inlineStr">
        <is>
          <t>Paras</t>
        </is>
      </c>
      <c r="B132" s="32" t="inlineStr">
        <is>
          <t>Wild</t>
        </is>
      </c>
      <c r="C132" s="32" t="inlineStr">
        <is>
          <t>Split 2</t>
        </is>
      </c>
      <c r="D132" s="32" t="inlineStr">
        <is>
          <t>Split 2</t>
        </is>
      </c>
      <c r="E132" s="32" t="inlineStr">
        <is>
          <t>MAP_PETALBURG_WOODS</t>
        </is>
      </c>
      <c r="F132" s="32" t="n">
        <v>12</v>
      </c>
      <c r="G132" s="32" t="inlineStr">
        <is>
          <t>Lv 24 -&gt; Parasect</t>
        </is>
      </c>
      <c r="H132" s="32" t="inlineStr">
        <is>
          <t>see Evolution Changes sheet</t>
        </is>
      </c>
    </row>
    <row r="133">
      <c r="A133" s="77" t="inlineStr">
        <is>
          <t>Patrat</t>
        </is>
      </c>
      <c r="B133" s="77" t="inlineStr">
        <is>
          <t>Wild</t>
        </is>
      </c>
      <c r="C133" s="77" t="inlineStr">
        <is>
          <t>Split 1</t>
        </is>
      </c>
      <c r="D133" s="77" t="inlineStr">
        <is>
          <t>Split 1</t>
        </is>
      </c>
      <c r="E133" s="77" t="inlineStr">
        <is>
          <t>MAP_ROUTE102</t>
        </is>
      </c>
      <c r="F133" s="77" t="n">
        <v>4</v>
      </c>
      <c r="G133" s="77" t="inlineStr">
        <is>
          <t>Lv 17 -&gt; Watchog</t>
        </is>
      </c>
      <c r="H133" s="77" t="inlineStr">
        <is>
          <t>see Evolution Changes sheet</t>
        </is>
      </c>
    </row>
    <row r="134">
      <c r="A134" s="32" t="inlineStr">
        <is>
          <t>Pawniard</t>
        </is>
      </c>
      <c r="B134" s="32" t="inlineStr">
        <is>
          <t>Wild</t>
        </is>
      </c>
      <c r="C134" s="32" t="inlineStr">
        <is>
          <t>Split 2</t>
        </is>
      </c>
      <c r="D134" s="32" t="inlineStr">
        <is>
          <t>Split 2</t>
        </is>
      </c>
      <c r="E134" s="32" t="inlineStr">
        <is>
          <t>MAP_ROUTE116</t>
        </is>
      </c>
      <c r="F134" s="32" t="n">
        <v>13</v>
      </c>
      <c r="G134" s="32" t="inlineStr">
        <is>
          <t>Lv 44 -&gt; Bisharp</t>
        </is>
      </c>
      <c r="H134" s="32" t="inlineStr">
        <is>
          <t>see Evolution Changes sheet</t>
        </is>
      </c>
    </row>
    <row r="135">
      <c r="A135" s="77" t="inlineStr">
        <is>
          <t>Pelipper</t>
        </is>
      </c>
      <c r="B135" s="77" t="inlineStr">
        <is>
          <t>Wild</t>
        </is>
      </c>
      <c r="C135" s="77" t="inlineStr">
        <is>
          <t>Split 1</t>
        </is>
      </c>
      <c r="D135" s="77" t="inlineStr">
        <is>
          <t>Split 1, Split 2, Split 3, Split 4, Split 6, Split 7, Split 8, Elite Four &amp; Champion, Unassigned</t>
        </is>
      </c>
      <c r="E135" s="77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35" s="77" t="n">
        <v>25</v>
      </c>
      <c r="G135" s="77" t="n"/>
      <c r="H135" s="77" t="inlineStr">
        <is>
          <t>see Evolution Changes sheet</t>
        </is>
      </c>
    </row>
    <row r="136">
      <c r="A136" s="32" t="inlineStr">
        <is>
          <t>Petilil</t>
        </is>
      </c>
      <c r="B136" s="32" t="inlineStr">
        <is>
          <t>Wild</t>
        </is>
      </c>
      <c r="C136" s="32" t="inlineStr">
        <is>
          <t>Split 2</t>
        </is>
      </c>
      <c r="D136" s="32" t="inlineStr">
        <is>
          <t>Split 2</t>
        </is>
      </c>
      <c r="E136" s="32" t="inlineStr">
        <is>
          <t>MAP_ROUTE104</t>
        </is>
      </c>
      <c r="F136" s="32" t="n">
        <v>7</v>
      </c>
      <c r="G136" s="32" t="inlineStr">
        <is>
          <t>Item (Sun Stone) -&gt; Lilligant; None -&gt; Lilligant Hisui</t>
        </is>
      </c>
      <c r="H136" s="32" t="inlineStr">
        <is>
          <t>see Evolution Changes sheet</t>
        </is>
      </c>
    </row>
    <row r="137">
      <c r="A137" s="77" t="inlineStr">
        <is>
          <t>Phanpy</t>
        </is>
      </c>
      <c r="B137" s="77" t="inlineStr">
        <is>
          <t>Wild</t>
        </is>
      </c>
      <c r="C137" s="77" t="inlineStr">
        <is>
          <t>Unassigned</t>
        </is>
      </c>
      <c r="D137" s="77" t="inlineStr">
        <is>
          <t>Unassigned, Postgame</t>
        </is>
      </c>
      <c r="E137" s="77" t="inlineStr">
        <is>
          <t>MAP_SAFARI_ZONE_NORTH, MAP_TRAINER_GROVE</t>
        </is>
      </c>
      <c r="F137" s="77" t="n">
        <v>9</v>
      </c>
      <c r="G137" s="77" t="inlineStr">
        <is>
          <t>Lv 25 -&gt; Donphan</t>
        </is>
      </c>
      <c r="H137" s="77" t="inlineStr">
        <is>
          <t>see Evolution Changes sheet</t>
        </is>
      </c>
    </row>
    <row r="138">
      <c r="A138" s="32" t="inlineStr">
        <is>
          <t>Pidgey</t>
        </is>
      </c>
      <c r="B138" s="32" t="inlineStr">
        <is>
          <t>Wild</t>
        </is>
      </c>
      <c r="C138" s="32" t="inlineStr">
        <is>
          <t>Split 1</t>
        </is>
      </c>
      <c r="D138" s="32" t="inlineStr">
        <is>
          <t>Split 1</t>
        </is>
      </c>
      <c r="E138" s="32" t="inlineStr">
        <is>
          <t>MAP_VIRIDIAN_FOREST</t>
        </is>
      </c>
      <c r="F138" s="32" t="n">
        <v>9</v>
      </c>
      <c r="G138" s="32" t="inlineStr">
        <is>
          <t>Lv 18 -&gt; Pidgeotto</t>
        </is>
      </c>
      <c r="H138" s="32" t="inlineStr">
        <is>
          <t>see Evolution Changes sheet</t>
        </is>
      </c>
    </row>
    <row r="139">
      <c r="A139" s="77" t="inlineStr">
        <is>
          <t>Pikachu</t>
        </is>
      </c>
      <c r="B139" s="77" t="inlineStr">
        <is>
          <t>Wild</t>
        </is>
      </c>
      <c r="C139" s="77" t="inlineStr">
        <is>
          <t>Split 1</t>
        </is>
      </c>
      <c r="D139" s="77" t="inlineStr">
        <is>
          <t>Split 1, Postgame</t>
        </is>
      </c>
      <c r="E139" s="77" t="inlineStr">
        <is>
          <t>MAP_SAFARI_ZONE_SOUTH, MAP_SAFARI_ZONE_SOUTHWEST, MAP_VIRIDIAN_FOREST</t>
        </is>
      </c>
      <c r="F139" s="77" t="n">
        <v>10</v>
      </c>
      <c r="G139" s="77" t="inlineStr">
        <is>
          <t>Item (Thunder Stone) -&gt; Raichu; None -&gt; Raichu Alola</t>
        </is>
      </c>
      <c r="H139" s="77" t="inlineStr">
        <is>
          <t>see Evolution Changes sheet</t>
        </is>
      </c>
    </row>
    <row r="140">
      <c r="A140" s="32" t="inlineStr">
        <is>
          <t>Pineco</t>
        </is>
      </c>
      <c r="B140" s="32" t="inlineStr">
        <is>
          <t>Wild</t>
        </is>
      </c>
      <c r="C140" s="32" t="inlineStr">
        <is>
          <t>Split 2</t>
        </is>
      </c>
      <c r="D140" s="32" t="inlineStr">
        <is>
          <t>Split 2, Postgame</t>
        </is>
      </c>
      <c r="E140" s="32" t="inlineStr">
        <is>
          <t>MAP_ALTERING_CAVE, MAP_PETALBURG_WOODS, MAP_SAFARI_ZONE_NORTHEAST</t>
        </is>
      </c>
      <c r="F140" s="32" t="n">
        <v>13</v>
      </c>
      <c r="G140" s="32" t="inlineStr">
        <is>
          <t>Lv 31 -&gt; Forretress</t>
        </is>
      </c>
      <c r="H140" s="32" t="inlineStr">
        <is>
          <t>see Evolution Changes sheet</t>
        </is>
      </c>
    </row>
    <row r="141">
      <c r="A141" s="77" t="inlineStr">
        <is>
          <t>Pinsir</t>
        </is>
      </c>
      <c r="B141" s="77" t="inlineStr">
        <is>
          <t>Wild</t>
        </is>
      </c>
      <c r="C141" s="77" t="inlineStr">
        <is>
          <t>Postgame</t>
        </is>
      </c>
      <c r="D141" s="77" t="inlineStr">
        <is>
          <t>Postgame</t>
        </is>
      </c>
      <c r="E141" s="77" t="inlineStr">
        <is>
          <t>MAP_SAFARI_ZONE_NORTHWEST</t>
        </is>
      </c>
      <c r="F141" s="77" t="n">
        <v>27</v>
      </c>
      <c r="G141" s="77" t="n"/>
      <c r="H141" s="77" t="inlineStr">
        <is>
          <t>see Evolution Changes sheet</t>
        </is>
      </c>
    </row>
    <row r="142">
      <c r="A142" s="32" t="inlineStr">
        <is>
          <t>Plusle</t>
        </is>
      </c>
      <c r="B142" s="32" t="inlineStr">
        <is>
          <t>Trade, Wild</t>
        </is>
      </c>
      <c r="C142" s="32" t="inlineStr">
        <is>
          <t>Split 4</t>
        </is>
      </c>
      <c r="D142" s="32" t="inlineStr">
        <is>
          <t>Split 4, Split 6</t>
        </is>
      </c>
      <c r="E142" s="32" t="inlineStr">
        <is>
          <t>FortreeCity_House1, MAP_ROUTE110</t>
        </is>
      </c>
      <c r="F142" s="32" t="n">
        <v>12</v>
      </c>
      <c r="G142" s="32" t="n"/>
      <c r="H142" s="32" t="inlineStr">
        <is>
          <t>see Evolution Changes sheet</t>
        </is>
      </c>
    </row>
    <row r="143">
      <c r="A143" s="77" t="inlineStr">
        <is>
          <t>Poliwag</t>
        </is>
      </c>
      <c r="B143" s="77" t="inlineStr">
        <is>
          <t>Wild</t>
        </is>
      </c>
      <c r="C143" s="77" t="inlineStr">
        <is>
          <t>Split 4</t>
        </is>
      </c>
      <c r="D143" s="77" t="inlineStr">
        <is>
          <t>Split 4</t>
        </is>
      </c>
      <c r="E143" s="77" t="inlineStr">
        <is>
          <t>MAP_ROUTE117</t>
        </is>
      </c>
      <c r="F143" s="77" t="n">
        <v>30</v>
      </c>
      <c r="G143" s="77" t="inlineStr">
        <is>
          <t>Lv 25 -&gt; Poliwhirl</t>
        </is>
      </c>
      <c r="H143" s="77" t="inlineStr">
        <is>
          <t>see Evolution Changes sheet</t>
        </is>
      </c>
    </row>
    <row r="144">
      <c r="A144" s="32" t="inlineStr">
        <is>
          <t>Poliwhirl</t>
        </is>
      </c>
      <c r="B144" s="32" t="inlineStr">
        <is>
          <t>Wild</t>
        </is>
      </c>
      <c r="C144" s="32" t="inlineStr">
        <is>
          <t>Split 4</t>
        </is>
      </c>
      <c r="D144" s="32" t="inlineStr">
        <is>
          <t>Split 4</t>
        </is>
      </c>
      <c r="E144" s="32" t="inlineStr">
        <is>
          <t>MAP_ROUTE117</t>
        </is>
      </c>
      <c r="F144" s="32" t="n">
        <v>42</v>
      </c>
      <c r="G144" s="32" t="inlineStr">
        <is>
          <t>Item (Water Stone) -&gt; Poliwrath; Lv 36 -&gt; Politoed</t>
        </is>
      </c>
      <c r="H144" s="32" t="inlineStr">
        <is>
          <t>see Evolution Changes sheet</t>
        </is>
      </c>
    </row>
    <row r="145">
      <c r="A145" s="77" t="inlineStr">
        <is>
          <t>Poochyena</t>
        </is>
      </c>
      <c r="B145" s="77" t="inlineStr">
        <is>
          <t>Wild</t>
        </is>
      </c>
      <c r="C145" s="77" t="inlineStr">
        <is>
          <t>Split 4</t>
        </is>
      </c>
      <c r="D145" s="77" t="inlineStr">
        <is>
          <t>Split 4, Split 7</t>
        </is>
      </c>
      <c r="E145" s="77" t="inlineStr">
        <is>
          <t>MAP_ROUTE110, MAP_ROUTE117, MAP_ROUTE120, MAP_ROUTE121, MAP_ROUTE123</t>
        </is>
      </c>
      <c r="F145" s="77" t="n">
        <v>12</v>
      </c>
      <c r="G145" s="77" t="inlineStr">
        <is>
          <t>Lv 18 -&gt; Mightyena</t>
        </is>
      </c>
      <c r="H145" s="77" t="inlineStr">
        <is>
          <t>see Evolution Changes sheet</t>
        </is>
      </c>
    </row>
    <row r="146">
      <c r="A146" s="32" t="inlineStr">
        <is>
          <t>Psyduck</t>
        </is>
      </c>
      <c r="B146" s="32" t="inlineStr">
        <is>
          <t>Wild</t>
        </is>
      </c>
      <c r="C146" s="32" t="inlineStr">
        <is>
          <t>Split 4</t>
        </is>
      </c>
      <c r="D146" s="32" t="inlineStr">
        <is>
          <t>Split 4, Postgame</t>
        </is>
      </c>
      <c r="E146" s="32" t="inlineStr">
        <is>
          <t>MAP_ROUTE117, MAP_SAFARI_ZONE_NORTHWEST, MAP_SAFARI_ZONE_SOUTHWEST</t>
        </is>
      </c>
      <c r="F146" s="32" t="n">
        <v>20</v>
      </c>
      <c r="G146" s="32" t="inlineStr">
        <is>
          <t>Lv 33 -&gt; Golduck</t>
        </is>
      </c>
      <c r="H146" s="32" t="inlineStr">
        <is>
          <t>see Evolution Changes sheet</t>
        </is>
      </c>
    </row>
    <row r="147">
      <c r="A147" s="77" t="inlineStr">
        <is>
          <t>Purrloin</t>
        </is>
      </c>
      <c r="B147" s="77" t="inlineStr">
        <is>
          <t>Wild</t>
        </is>
      </c>
      <c r="C147" s="77" t="inlineStr">
        <is>
          <t>Split 2</t>
        </is>
      </c>
      <c r="D147" s="77" t="inlineStr">
        <is>
          <t>Split 2</t>
        </is>
      </c>
      <c r="E147" s="77" t="inlineStr">
        <is>
          <t>MAP_ROUTE116</t>
        </is>
      </c>
      <c r="F147" s="77" t="n">
        <v>13</v>
      </c>
      <c r="G147" s="77" t="inlineStr">
        <is>
          <t>Lv 20 -&gt; Liepard</t>
        </is>
      </c>
      <c r="H147" s="77" t="inlineStr">
        <is>
          <t>see Evolution Changes sheet</t>
        </is>
      </c>
    </row>
    <row r="148">
      <c r="A148" s="32" t="inlineStr">
        <is>
          <t>Quagsire</t>
        </is>
      </c>
      <c r="B148" s="32" t="inlineStr">
        <is>
          <t>Wild</t>
        </is>
      </c>
      <c r="C148" s="32" t="inlineStr">
        <is>
          <t>Split 4</t>
        </is>
      </c>
      <c r="D148" s="32" t="inlineStr">
        <is>
          <t>Split 4, Postgame</t>
        </is>
      </c>
      <c r="E148" s="32" t="inlineStr">
        <is>
          <t>MAP_ROUTE117, MAP_SAFARI_ZONE_SOUTHEAST</t>
        </is>
      </c>
      <c r="F148" s="32" t="n">
        <v>35</v>
      </c>
      <c r="G148" s="32" t="n"/>
      <c r="H148" s="32" t="inlineStr">
        <is>
          <t>see Evolution Changes sheet</t>
        </is>
      </c>
    </row>
    <row r="149">
      <c r="A149" s="77" t="inlineStr">
        <is>
          <t>Quilava</t>
        </is>
      </c>
      <c r="B149" s="77" t="inlineStr">
        <is>
          <t>Wild</t>
        </is>
      </c>
      <c r="C149" s="77" t="inlineStr">
        <is>
          <t>Split 1</t>
        </is>
      </c>
      <c r="D149" s="77" t="inlineStr">
        <is>
          <t>Split 1</t>
        </is>
      </c>
      <c r="E149" s="77" t="inlineStr">
        <is>
          <t>MAP_OLDALE_TOWN</t>
        </is>
      </c>
      <c r="F149" s="77" t="n">
        <v>4</v>
      </c>
      <c r="G149" s="77" t="inlineStr">
        <is>
          <t>Lv 36 -&gt; Typhlosion; None -&gt; Typhlosion Hisui</t>
        </is>
      </c>
      <c r="H149" s="77" t="inlineStr">
        <is>
          <t>see Evolution Changes sheet</t>
        </is>
      </c>
    </row>
    <row r="150">
      <c r="A150" s="32" t="inlineStr">
        <is>
          <t>Relicanth</t>
        </is>
      </c>
      <c r="B150" s="32" t="inlineStr">
        <is>
          <t>Wild</t>
        </is>
      </c>
      <c r="C150" s="32" t="inlineStr">
        <is>
          <t>Unassigned</t>
        </is>
      </c>
      <c r="D150" s="32" t="inlineStr">
        <is>
          <t>Unassigned</t>
        </is>
      </c>
      <c r="E150" s="32" t="inlineStr">
        <is>
          <t>MAP_UNDERWATER_ROUTE124, MAP_UNDERWATER_ROUTE126</t>
        </is>
      </c>
      <c r="F150" s="32" t="n">
        <v>30</v>
      </c>
      <c r="G150" s="32" t="n"/>
      <c r="H150" s="32" t="inlineStr">
        <is>
          <t>see Evolution Changes sheet</t>
        </is>
      </c>
    </row>
    <row r="151">
      <c r="A151" s="77" t="inlineStr">
        <is>
          <t>Remoraid</t>
        </is>
      </c>
      <c r="B151" s="77" t="inlineStr">
        <is>
          <t>Wild</t>
        </is>
      </c>
      <c r="C151" s="77" t="inlineStr">
        <is>
          <t>Postgame</t>
        </is>
      </c>
      <c r="D151" s="77" t="inlineStr">
        <is>
          <t>Postgame</t>
        </is>
      </c>
      <c r="E151" s="77" t="inlineStr">
        <is>
          <t>MAP_SAFARI_ZONE_SOUTHEAST</t>
        </is>
      </c>
      <c r="F151" s="77" t="n">
        <v>25</v>
      </c>
      <c r="G151" s="77" t="inlineStr">
        <is>
          <t>Lv 25 -&gt; Octillery</t>
        </is>
      </c>
      <c r="H151" s="77" t="inlineStr">
        <is>
          <t>see Evolution Changes sheet</t>
        </is>
      </c>
    </row>
    <row r="152">
      <c r="A152" s="32" t="inlineStr">
        <is>
          <t>Rhyhorn</t>
        </is>
      </c>
      <c r="B152" s="32" t="inlineStr">
        <is>
          <t>Trade, Wild</t>
        </is>
      </c>
      <c r="C152" s="32" t="inlineStr">
        <is>
          <t>Split 1</t>
        </is>
      </c>
      <c r="D152" s="32" t="inlineStr">
        <is>
          <t>Split 1, Split 3, Postgame</t>
        </is>
      </c>
      <c r="E152" s="32" t="inlineStr">
        <is>
          <t>MAP_GRANITE_CAVE_1F, MAP_GRANITE_CAVE_B1F, MAP_GRANITE_CAVE_B2F, MAP_GRANITE_CAVE_STEVENS_ROOM, MAP_SAFARI_ZONE_NORTHWEST, PetalburgCity</t>
        </is>
      </c>
      <c r="F152" s="32" t="n">
        <v>16</v>
      </c>
      <c r="G152" s="32" t="inlineStr">
        <is>
          <t>Lv 42 -&gt; Rhydon</t>
        </is>
      </c>
      <c r="H152" s="32" t="inlineStr">
        <is>
          <t>see Evolution Changes sheet</t>
        </is>
      </c>
    </row>
    <row r="153">
      <c r="A153" s="77" t="inlineStr">
        <is>
          <t>Riolu</t>
        </is>
      </c>
      <c r="B153" s="77" t="inlineStr">
        <is>
          <t>Wild</t>
        </is>
      </c>
      <c r="C153" s="77" t="inlineStr">
        <is>
          <t>Split 3</t>
        </is>
      </c>
      <c r="D153" s="77" t="inlineStr">
        <is>
          <t>Split 3</t>
        </is>
      </c>
      <c r="E153" s="77" t="inlineStr">
        <is>
          <t>MAP_GRANITE_CAVE_1F, MAP_GRANITE_CAVE_B1F, MAP_GRANITE_CAVE_B2F, MAP_GRANITE_CAVE_STEVENS_ROOM</t>
        </is>
      </c>
      <c r="F153" s="77" t="n">
        <v>15</v>
      </c>
      <c r="G153" s="77" t="inlineStr">
        <is>
          <t>Lv 36 -&gt; Lucario</t>
        </is>
      </c>
      <c r="H153" s="77" t="inlineStr">
        <is>
          <t>see Evolution Changes sheet</t>
        </is>
      </c>
    </row>
    <row r="154">
      <c r="A154" s="32" t="inlineStr">
        <is>
          <t>Roggenrola</t>
        </is>
      </c>
      <c r="B154" s="32" t="inlineStr">
        <is>
          <t>Wild</t>
        </is>
      </c>
      <c r="C154" s="32" t="inlineStr">
        <is>
          <t>Split 1</t>
        </is>
      </c>
      <c r="D154" s="32" t="inlineStr">
        <is>
          <t>Split 1</t>
        </is>
      </c>
      <c r="E154" s="32" t="inlineStr">
        <is>
          <t>MAP_PETALBURG_COAST</t>
        </is>
      </c>
      <c r="F154" s="32" t="n">
        <v>7</v>
      </c>
      <c r="G154" s="32" t="inlineStr">
        <is>
          <t>Lv 22 -&gt; Boldore</t>
        </is>
      </c>
      <c r="H154" s="32" t="inlineStr">
        <is>
          <t>see Evolution Changes sheet</t>
        </is>
      </c>
    </row>
    <row r="155">
      <c r="A155" s="77" t="inlineStr">
        <is>
          <t>Sableye</t>
        </is>
      </c>
      <c r="B155" s="77" t="inlineStr">
        <is>
          <t>Wild</t>
        </is>
      </c>
      <c r="C155" s="77" t="inlineStr">
        <is>
          <t>Elite Four &amp; Champion</t>
        </is>
      </c>
      <c r="D155" s="77" t="inlineStr">
        <is>
          <t>Elite Four &amp; Champion, Unassigned</t>
        </is>
      </c>
      <c r="E155" s="77" t="inlineStr">
        <is>
          <t>MAP_CAVE_OF_ORIGIN_1F, MAP_CAVE_OF_ORIGIN_UNUSED_RUBY_SAPPHIRE_MAP1, MAP_CAVE_OF_ORIGIN_UNUSED_RUBY_SAPPHIRE_MAP2, MAP_CAVE_OF_ORIGIN_UNUSED_RUBY_SAPPHIRE_MAP3, MAP_SKY_PILLAR_1F, MAP_SKY_PILLAR_3F, MAP_SKY_PILLAR_5F, MAP_VICTORY_ROAD_B2F</t>
        </is>
      </c>
      <c r="F155" s="77" t="n">
        <v>30</v>
      </c>
      <c r="G155" s="77" t="n"/>
      <c r="H155" s="77" t="inlineStr">
        <is>
          <t>see Evolution Changes sheet</t>
        </is>
      </c>
    </row>
    <row r="156">
      <c r="A156" s="32" t="inlineStr">
        <is>
          <t>Sandile</t>
        </is>
      </c>
      <c r="B156" s="32" t="inlineStr">
        <is>
          <t>Wild</t>
        </is>
      </c>
      <c r="C156" s="32" t="inlineStr">
        <is>
          <t>Split 1</t>
        </is>
      </c>
      <c r="D156" s="32" t="inlineStr">
        <is>
          <t>Split 1</t>
        </is>
      </c>
      <c r="E156" s="32" t="inlineStr">
        <is>
          <t>MAP_PETALBURG_COAST</t>
        </is>
      </c>
      <c r="F156" s="32" t="n">
        <v>7</v>
      </c>
      <c r="G156" s="32" t="inlineStr">
        <is>
          <t>Lv 29 -&gt; Krokorok</t>
        </is>
      </c>
      <c r="H156" s="32" t="inlineStr">
        <is>
          <t>see Evolution Changes sheet</t>
        </is>
      </c>
    </row>
    <row r="157">
      <c r="A157" s="77" t="inlineStr">
        <is>
          <t>Sandshrew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1, Split 5, Unassigned</t>
        </is>
      </c>
      <c r="E157" s="77" t="inlineStr">
        <is>
          <t>MAP_MIRAGE_TOWER_1F, MAP_MIRAGE_TOWER_2F, MAP_MIRAGE_TOWER_3F, MAP_MIRAGE_TOWER_4F, MAP_ROUTE101, MAP_ROUTE103, MAP_ROUTE111, MAP_TRAINER_GROVE</t>
        </is>
      </c>
      <c r="F157" s="77" t="n">
        <v>4</v>
      </c>
      <c r="G157" s="77" t="inlineStr">
        <is>
          <t>Lv 22 -&gt; Sandslash</t>
        </is>
      </c>
      <c r="H157" s="77" t="inlineStr">
        <is>
          <t>see Evolution Changes sheet</t>
        </is>
      </c>
    </row>
    <row r="158">
      <c r="A158" s="32" t="inlineStr">
        <is>
          <t>Scraggy</t>
        </is>
      </c>
      <c r="B158" s="32" t="inlineStr">
        <is>
          <t>Wild</t>
        </is>
      </c>
      <c r="C158" s="32" t="inlineStr">
        <is>
          <t>Split 2</t>
        </is>
      </c>
      <c r="D158" s="32" t="inlineStr">
        <is>
          <t>Split 2</t>
        </is>
      </c>
      <c r="E158" s="32" t="inlineStr">
        <is>
          <t>MAP_ROUTE116</t>
        </is>
      </c>
      <c r="F158" s="32" t="n">
        <v>14</v>
      </c>
      <c r="G158" s="32" t="inlineStr">
        <is>
          <t>Lv 39 -&gt; Scrafty</t>
        </is>
      </c>
      <c r="H158" s="32" t="inlineStr">
        <is>
          <t>see Evolution Changes sheet</t>
        </is>
      </c>
    </row>
    <row r="159">
      <c r="A159" s="77" t="inlineStr">
        <is>
          <t>Seaking</t>
        </is>
      </c>
      <c r="B159" s="77" t="inlineStr">
        <is>
          <t>Wild</t>
        </is>
      </c>
      <c r="C159" s="77" t="inlineStr">
        <is>
          <t>Postgame</t>
        </is>
      </c>
      <c r="D159" s="77" t="inlineStr">
        <is>
          <t>Postgame</t>
        </is>
      </c>
      <c r="E159" s="77" t="inlineStr">
        <is>
          <t>MAP_SAFARI_ZONE_NORTHWEST, MAP_SAFARI_ZONE_SOUTHWEST</t>
        </is>
      </c>
      <c r="F159" s="77" t="n">
        <v>25</v>
      </c>
      <c r="G159" s="77" t="n"/>
      <c r="H159" s="77" t="inlineStr">
        <is>
          <t>see Evolution Changes sheet</t>
        </is>
      </c>
    </row>
    <row r="160">
      <c r="A160" s="32" t="inlineStr">
        <is>
          <t>Seedot</t>
        </is>
      </c>
      <c r="B160" s="32" t="inlineStr">
        <is>
          <t>Trade, Wild</t>
        </is>
      </c>
      <c r="C160" s="32" t="inlineStr">
        <is>
          <t>Split 2</t>
        </is>
      </c>
      <c r="D160" s="32" t="inlineStr">
        <is>
          <t>Split 2, Split 4, Split 7</t>
        </is>
      </c>
      <c r="E160" s="32" t="inlineStr">
        <is>
          <t>MAP_ROUTE117, MAP_ROUTE120, RustboroCity_House1</t>
        </is>
      </c>
      <c r="F160" s="32" t="n">
        <v>13</v>
      </c>
      <c r="G160" s="32" t="inlineStr">
        <is>
          <t>Lv 14 -&gt; Nuzleaf</t>
        </is>
      </c>
      <c r="H160" s="32" t="inlineStr">
        <is>
          <t>see Evolution Changes sheet</t>
        </is>
      </c>
    </row>
    <row r="161">
      <c r="A161" s="77" t="inlineStr">
        <is>
          <t>Sentret</t>
        </is>
      </c>
      <c r="B161" s="77" t="inlineStr">
        <is>
          <t>Wild</t>
        </is>
      </c>
      <c r="C161" s="77" t="inlineStr">
        <is>
          <t>Split 1</t>
        </is>
      </c>
      <c r="D161" s="77" t="inlineStr">
        <is>
          <t>Split 1</t>
        </is>
      </c>
      <c r="E161" s="77" t="inlineStr">
        <is>
          <t>MAP_ROUTE101, MAP_ROUTE103</t>
        </is>
      </c>
      <c r="F161" s="77" t="n">
        <v>3</v>
      </c>
      <c r="G161" s="77" t="inlineStr">
        <is>
          <t>Lv 15 -&gt; Furret</t>
        </is>
      </c>
      <c r="H161" s="77" t="inlineStr">
        <is>
          <t>see Evolution Changes sheet</t>
        </is>
      </c>
    </row>
    <row r="162">
      <c r="A162" s="32" t="inlineStr">
        <is>
          <t>Seviper</t>
        </is>
      </c>
      <c r="B162" s="32" t="inlineStr">
        <is>
          <t>Wild</t>
        </is>
      </c>
      <c r="C162" s="32" t="inlineStr">
        <is>
          <t>Split 5</t>
        </is>
      </c>
      <c r="D162" s="32" t="inlineStr">
        <is>
          <t>Split 5, Unassigned</t>
        </is>
      </c>
      <c r="E162" s="32" t="inlineStr">
        <is>
          <t>MAP_ROUTE114</t>
        </is>
      </c>
      <c r="F162" s="32" t="n">
        <v>5</v>
      </c>
      <c r="G162" s="32" t="n"/>
      <c r="H162" s="32" t="inlineStr">
        <is>
          <t>see Evolution Changes sheet</t>
        </is>
      </c>
    </row>
    <row r="163">
      <c r="A163" s="77" t="inlineStr">
        <is>
          <t>Sewaddle</t>
        </is>
      </c>
      <c r="B163" s="77" t="inlineStr">
        <is>
          <t>Wild</t>
        </is>
      </c>
      <c r="C163" s="77" t="inlineStr">
        <is>
          <t>Split 2</t>
        </is>
      </c>
      <c r="D163" s="77" t="inlineStr">
        <is>
          <t>Split 2</t>
        </is>
      </c>
      <c r="E163" s="77" t="inlineStr">
        <is>
          <t>MAP_ROUTE104</t>
        </is>
      </c>
      <c r="F163" s="77" t="n">
        <v>7</v>
      </c>
      <c r="G163" s="77" t="inlineStr">
        <is>
          <t>Lv 16 -&gt; Swadloon</t>
        </is>
      </c>
      <c r="H163" s="77" t="inlineStr">
        <is>
          <t>see Evolution Changes sheet</t>
        </is>
      </c>
    </row>
    <row r="164">
      <c r="A164" s="32" t="inlineStr">
        <is>
          <t>Sharpedo</t>
        </is>
      </c>
      <c r="B164" s="32" t="inlineStr">
        <is>
          <t>Wild</t>
        </is>
      </c>
      <c r="C164" s="32" t="inlineStr">
        <is>
          <t>Split 1</t>
        </is>
      </c>
      <c r="D164" s="32" t="inlineStr">
        <is>
          <t>Split 1, Split 6, Split 7, Split 8, Unassigned</t>
        </is>
      </c>
      <c r="E164" s="32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64" s="32" t="n">
        <v>30</v>
      </c>
      <c r="G164" s="32" t="n"/>
      <c r="H164" s="32" t="inlineStr">
        <is>
          <t>see Evolution Changes sheet</t>
        </is>
      </c>
    </row>
    <row r="165">
      <c r="A165" s="77" t="inlineStr">
        <is>
          <t>Shellder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</t>
        </is>
      </c>
      <c r="E165" s="77" t="inlineStr">
        <is>
          <t>MAP_PETALBURG_COAST</t>
        </is>
      </c>
      <c r="F165" s="77" t="n">
        <v>10</v>
      </c>
      <c r="G165" s="77" t="inlineStr">
        <is>
          <t>Item (Water Stone) -&gt; Cloyster</t>
        </is>
      </c>
      <c r="H165" s="77" t="inlineStr">
        <is>
          <t>see Evolution Changes sheet</t>
        </is>
      </c>
    </row>
    <row r="166">
      <c r="A166" s="32" t="inlineStr">
        <is>
          <t>Shelmet</t>
        </is>
      </c>
      <c r="B166" s="32" t="inlineStr">
        <is>
          <t>Wild</t>
        </is>
      </c>
      <c r="C166" s="32" t="inlineStr">
        <is>
          <t>Split 2</t>
        </is>
      </c>
      <c r="D166" s="32" t="inlineStr">
        <is>
          <t>Split 2</t>
        </is>
      </c>
      <c r="E166" s="32" t="inlineStr">
        <is>
          <t>MAP_PETALBURG_WOODS, MAP_ROUTE116</t>
        </is>
      </c>
      <c r="F166" s="32" t="n">
        <v>12</v>
      </c>
      <c r="G166" s="32" t="inlineStr">
        <is>
          <t>Lv 34 -&gt; Accelgor</t>
        </is>
      </c>
      <c r="H166" s="32" t="inlineStr">
        <is>
          <t>see Evolution Changes sheet</t>
        </is>
      </c>
    </row>
    <row r="167">
      <c r="A167" s="77" t="inlineStr">
        <is>
          <t>Shroomish</t>
        </is>
      </c>
      <c r="B167" s="77" t="inlineStr">
        <is>
          <t>Wild</t>
        </is>
      </c>
      <c r="C167" s="77" t="inlineStr">
        <is>
          <t>Split 2</t>
        </is>
      </c>
      <c r="D167" s="77" t="inlineStr">
        <is>
          <t>Split 2</t>
        </is>
      </c>
      <c r="E167" s="77" t="inlineStr">
        <is>
          <t>MAP_PETALBURG_WOODS</t>
        </is>
      </c>
      <c r="F167" s="77" t="n">
        <v>11</v>
      </c>
      <c r="G167" s="77" t="inlineStr">
        <is>
          <t>Lv 23 -&gt; Breloom</t>
        </is>
      </c>
      <c r="H167" s="77" t="inlineStr">
        <is>
          <t>see Evolution Changes sheet</t>
        </is>
      </c>
    </row>
    <row r="168">
      <c r="A168" s="32" t="inlineStr">
        <is>
          <t>Shuckle</t>
        </is>
      </c>
      <c r="B168" s="32" t="inlineStr">
        <is>
          <t>Wild</t>
        </is>
      </c>
      <c r="C168" s="32" t="inlineStr">
        <is>
          <t>Postgame</t>
        </is>
      </c>
      <c r="D168" s="32" t="inlineStr">
        <is>
          <t>Postgame</t>
        </is>
      </c>
      <c r="E168" s="32" t="inlineStr">
        <is>
          <t>MAP_ALTERING_CAVE, MAP_SAFARI_ZONE_NORTHEAST</t>
        </is>
      </c>
      <c r="F168" s="32" t="n">
        <v>18</v>
      </c>
      <c r="G168" s="32" t="n"/>
      <c r="H168" s="32" t="inlineStr">
        <is>
          <t>see Evolution Changes sheet</t>
        </is>
      </c>
    </row>
    <row r="169">
      <c r="A169" s="77" t="inlineStr">
        <is>
          <t>Shuppet</t>
        </is>
      </c>
      <c r="B169" s="77" t="inlineStr">
        <is>
          <t>Wild</t>
        </is>
      </c>
      <c r="C169" s="77" t="inlineStr">
        <is>
          <t>Split 7</t>
        </is>
      </c>
      <c r="D169" s="77" t="inlineStr">
        <is>
          <t>Split 7</t>
        </is>
      </c>
      <c r="E169" s="77" t="inlineStr">
        <is>
          <t>MAP_MT_PYRE_1F, MAP_MT_PYRE_2F, MAP_MT_PYRE_3F, MAP_MT_PYRE_4F, MAP_MT_PYRE_5F, MAP_MT_PYRE_6F, MAP_MT_PYRE_EXTERIOR, MAP_MT_PYRE_SUMMIT, MAP_ROUTE121, MAP_ROUTE123</t>
        </is>
      </c>
      <c r="F169" s="77" t="n">
        <v>22</v>
      </c>
      <c r="G169" s="77" t="inlineStr">
        <is>
          <t>Lv 37 -&gt; Banette</t>
        </is>
      </c>
      <c r="H169" s="77" t="inlineStr">
        <is>
          <t>see Evolution Changes sheet</t>
        </is>
      </c>
    </row>
    <row r="170">
      <c r="A170" s="32" t="inlineStr">
        <is>
          <t>Skarmory</t>
        </is>
      </c>
      <c r="B170" s="32" t="inlineStr">
        <is>
          <t>Wild</t>
        </is>
      </c>
      <c r="C170" s="32" t="inlineStr">
        <is>
          <t>Split 5</t>
        </is>
      </c>
      <c r="D170" s="32" t="inlineStr">
        <is>
          <t>Split 5</t>
        </is>
      </c>
      <c r="E170" s="32" t="inlineStr">
        <is>
          <t>MAP_ROUTE113</t>
        </is>
      </c>
      <c r="F170" s="32" t="n">
        <v>16</v>
      </c>
      <c r="G170" s="32" t="n"/>
      <c r="H170" s="32" t="inlineStr">
        <is>
          <t>see Evolution Changes sheet</t>
        </is>
      </c>
    </row>
    <row r="171">
      <c r="A171" s="77" t="inlineStr">
        <is>
          <t>Skiddo</t>
        </is>
      </c>
      <c r="B171" s="77" t="inlineStr">
        <is>
          <t>Wild</t>
        </is>
      </c>
      <c r="C171" s="77" t="inlineStr">
        <is>
          <t>Split 2</t>
        </is>
      </c>
      <c r="D171" s="77" t="inlineStr">
        <is>
          <t>Split 2</t>
        </is>
      </c>
      <c r="E171" s="77" t="inlineStr">
        <is>
          <t>MAP_ROUTE104</t>
        </is>
      </c>
      <c r="F171" s="77" t="n">
        <v>6</v>
      </c>
      <c r="G171" s="77" t="inlineStr">
        <is>
          <t>Lv 28 -&gt; Gogoat</t>
        </is>
      </c>
      <c r="H171" s="77" t="inlineStr">
        <is>
          <t>see Evolution Changes sheet</t>
        </is>
      </c>
    </row>
    <row r="172">
      <c r="A172" s="32" t="inlineStr">
        <is>
          <t>Skorupi</t>
        </is>
      </c>
      <c r="B172" s="32" t="inlineStr">
        <is>
          <t>Gift</t>
        </is>
      </c>
      <c r="C172" s="32" t="inlineStr">
        <is>
          <t>Split 3</t>
        </is>
      </c>
      <c r="D172" s="32" t="inlineStr">
        <is>
          <t>Split 3</t>
        </is>
      </c>
      <c r="E172" s="32" t="inlineStr">
        <is>
          <t>WraithwoodForest</t>
        </is>
      </c>
      <c r="F172" s="32" t="n"/>
      <c r="G172" s="32" t="inlineStr">
        <is>
          <t>Lv 32 -&gt; Drapion</t>
        </is>
      </c>
      <c r="H172" s="32" t="inlineStr">
        <is>
          <t>see Evolution Changes sheet</t>
        </is>
      </c>
    </row>
    <row r="173">
      <c r="A173" s="77" t="inlineStr">
        <is>
          <t>Skrelp</t>
        </is>
      </c>
      <c r="B173" s="77" t="inlineStr">
        <is>
          <t>Wild</t>
        </is>
      </c>
      <c r="C173" s="77" t="inlineStr">
        <is>
          <t>Split 1</t>
        </is>
      </c>
      <c r="D173" s="77" t="inlineStr">
        <is>
          <t>Split 1, Unassigned</t>
        </is>
      </c>
      <c r="E173" s="77" t="inlineStr">
        <is>
          <t>MAP_PETALBURG_COAST, MAP_ROUTE115</t>
        </is>
      </c>
      <c r="F173" s="77" t="n">
        <v>10</v>
      </c>
      <c r="G173" s="77" t="inlineStr">
        <is>
          <t>Lv 42 -&gt; Dragalge</t>
        </is>
      </c>
      <c r="H173" s="77" t="inlineStr">
        <is>
          <t>see Evolution Changes sheet</t>
        </is>
      </c>
    </row>
    <row r="174">
      <c r="A174" s="32" t="inlineStr">
        <is>
          <t>Slugma</t>
        </is>
      </c>
      <c r="B174" s="32" t="inlineStr">
        <is>
          <t>Wild</t>
        </is>
      </c>
      <c r="C174" s="32" t="inlineStr">
        <is>
          <t>Split 1</t>
        </is>
      </c>
      <c r="D174" s="32" t="inlineStr">
        <is>
          <t>Split 1, Split 5</t>
        </is>
      </c>
      <c r="E174" s="32" t="inlineStr">
        <is>
          <t>MAP_FIERY_PATH, MAP_OLDALE_TOWN, MAP_ROUTE113</t>
        </is>
      </c>
      <c r="F174" s="32" t="n">
        <v>3</v>
      </c>
      <c r="G174" s="32" t="inlineStr">
        <is>
          <t>Lv 38 -&gt; Magcargo</t>
        </is>
      </c>
      <c r="H174" s="32" t="inlineStr">
        <is>
          <t>see Evolution Changes sheet</t>
        </is>
      </c>
    </row>
    <row r="175">
      <c r="A175" s="77" t="inlineStr">
        <is>
          <t>Smeargle</t>
        </is>
      </c>
      <c r="B175" s="77" t="inlineStr">
        <is>
          <t>Wild</t>
        </is>
      </c>
      <c r="C175" s="77" t="inlineStr">
        <is>
          <t>Unassigned</t>
        </is>
      </c>
      <c r="D175" s="77" t="inlineStr">
        <is>
          <t>Unassigned, Postgame</t>
        </is>
      </c>
      <c r="E175" s="77" t="inlineStr">
        <is>
          <t>MAP_ALTERING_CAVE, MAP_ARTISAN_CAVE_1F, MAP_ARTISAN_CAVE_B1F</t>
        </is>
      </c>
      <c r="F175" s="77" t="n">
        <v>18</v>
      </c>
      <c r="G175" s="77" t="n"/>
      <c r="H175" s="77" t="inlineStr">
        <is>
          <t>see Evolution Changes sheet</t>
        </is>
      </c>
    </row>
    <row r="176">
      <c r="A176" s="32" t="inlineStr">
        <is>
          <t>Snivy</t>
        </is>
      </c>
      <c r="B176" s="32" t="inlineStr">
        <is>
          <t>Wild</t>
        </is>
      </c>
      <c r="C176" s="32" t="inlineStr">
        <is>
          <t>Split 2</t>
        </is>
      </c>
      <c r="D176" s="32" t="inlineStr">
        <is>
          <t>Split 2</t>
        </is>
      </c>
      <c r="E176" s="32" t="inlineStr">
        <is>
          <t>MAP_ROUTE104</t>
        </is>
      </c>
      <c r="F176" s="32" t="n">
        <v>7</v>
      </c>
      <c r="G176" s="32" t="inlineStr">
        <is>
          <t>Lv 17 -&gt; Servine</t>
        </is>
      </c>
      <c r="H176" s="32" t="inlineStr">
        <is>
          <t>see Evolution Changes sheet</t>
        </is>
      </c>
    </row>
    <row r="177">
      <c r="A177" s="77" t="inlineStr">
        <is>
          <t>Snorunt</t>
        </is>
      </c>
      <c r="B177" s="77" t="inlineStr">
        <is>
          <t>Wild</t>
        </is>
      </c>
      <c r="C177" s="77" t="inlineStr">
        <is>
          <t>Split 7</t>
        </is>
      </c>
      <c r="D177" s="77" t="inlineStr">
        <is>
          <t>Split 7</t>
        </is>
      </c>
      <c r="E177" s="77" t="inlineStr">
        <is>
          <t>MAP_SHOAL_CAVE_LOW_TIDE_ICE_ROOM</t>
        </is>
      </c>
      <c r="F177" s="77" t="n">
        <v>26</v>
      </c>
      <c r="G177" s="77" t="inlineStr">
        <is>
          <t>Lv 42 -&gt; Glalie; Item Female (Dawn Stone) -&gt; Froslass</t>
        </is>
      </c>
      <c r="H177" s="77" t="inlineStr">
        <is>
          <t>see Evolution Changes sheet</t>
        </is>
      </c>
    </row>
    <row r="178">
      <c r="A178" s="32" t="inlineStr">
        <is>
          <t>Snubbull</t>
        </is>
      </c>
      <c r="B178" s="32" t="inlineStr">
        <is>
          <t>Wild</t>
        </is>
      </c>
      <c r="C178" s="32" t="inlineStr">
        <is>
          <t>Postgame</t>
        </is>
      </c>
      <c r="D178" s="32" t="inlineStr">
        <is>
          <t>Postgame</t>
        </is>
      </c>
      <c r="E178" s="32" t="inlineStr">
        <is>
          <t>MAP_SAFARI_ZONE_SOUTHEAST</t>
        </is>
      </c>
      <c r="F178" s="32" t="n">
        <v>34</v>
      </c>
      <c r="G178" s="32" t="inlineStr">
        <is>
          <t>Lv 23 -&gt; Granbull</t>
        </is>
      </c>
      <c r="H178" s="32" t="inlineStr">
        <is>
          <t>see Evolution Changes sheet</t>
        </is>
      </c>
    </row>
    <row r="179">
      <c r="A179" s="77" t="inlineStr">
        <is>
          <t>Solrock</t>
        </is>
      </c>
      <c r="B179" s="77" t="inlineStr">
        <is>
          <t>Wild</t>
        </is>
      </c>
      <c r="C179" s="77" t="inlineStr">
        <is>
          <t>Unassigned</t>
        </is>
      </c>
      <c r="D179" s="77" t="inlineStr">
        <is>
          <t>Unassigned</t>
        </is>
      </c>
      <c r="E179" s="77" t="inlineStr">
        <is>
          <t>MAP_METEOR_FALLS_1F_1R, MAP_METEOR_FALLS_1F_2R, MAP_METEOR_FALLS_B1F_1R, MAP_METEOR_FALLS_B1F_2R, MAP_METEOR_FALLS_STEVENS_CAVE</t>
        </is>
      </c>
      <c r="F179" s="77" t="n">
        <v>5</v>
      </c>
      <c r="G179" s="77" t="n"/>
      <c r="H179" s="77" t="inlineStr">
        <is>
          <t>see Evolution Changes sheet</t>
        </is>
      </c>
    </row>
    <row r="180">
      <c r="A180" s="32" t="inlineStr">
        <is>
          <t>Spheal</t>
        </is>
      </c>
      <c r="B180" s="32" t="inlineStr">
        <is>
          <t>Wild</t>
        </is>
      </c>
      <c r="C180" s="32" t="inlineStr">
        <is>
          <t>Split 1</t>
        </is>
      </c>
      <c r="D180" s="32" t="inlineStr">
        <is>
          <t>Split 1, Split 7</t>
        </is>
      </c>
      <c r="E180" s="32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80" s="32" t="n">
        <v>5</v>
      </c>
      <c r="G180" s="32" t="inlineStr">
        <is>
          <t>Lv 32 -&gt; Sealeo</t>
        </is>
      </c>
      <c r="H180" s="32" t="inlineStr">
        <is>
          <t>see Evolution Changes sheet</t>
        </is>
      </c>
    </row>
    <row r="181">
      <c r="A181" s="77" t="inlineStr">
        <is>
          <t>Spinarak</t>
        </is>
      </c>
      <c r="B181" s="77" t="inlineStr">
        <is>
          <t>Wild</t>
        </is>
      </c>
      <c r="C181" s="77" t="inlineStr">
        <is>
          <t>Split 2</t>
        </is>
      </c>
      <c r="D181" s="77" t="inlineStr">
        <is>
          <t>Split 2, Postgame</t>
        </is>
      </c>
      <c r="E181" s="77" t="inlineStr">
        <is>
          <t>MAP_PETALBURG_WOODS, MAP_SAFARI_ZONE_SOUTHEAST</t>
        </is>
      </c>
      <c r="F181" s="77" t="n">
        <v>11</v>
      </c>
      <c r="G181" s="77" t="inlineStr">
        <is>
          <t>Lv 22 -&gt; Ariados</t>
        </is>
      </c>
      <c r="H181" s="77" t="inlineStr">
        <is>
          <t>see Evolution Changes sheet</t>
        </is>
      </c>
    </row>
    <row r="182">
      <c r="A182" s="32" t="inlineStr">
        <is>
          <t>Spinda</t>
        </is>
      </c>
      <c r="B182" s="32" t="inlineStr">
        <is>
          <t>Wild</t>
        </is>
      </c>
      <c r="C182" s="32" t="inlineStr">
        <is>
          <t>Split 5</t>
        </is>
      </c>
      <c r="D182" s="32" t="inlineStr">
        <is>
          <t>Split 5</t>
        </is>
      </c>
      <c r="E182" s="32" t="inlineStr">
        <is>
          <t>MAP_ROUTE113</t>
        </is>
      </c>
      <c r="F182" s="32" t="n">
        <v>14</v>
      </c>
      <c r="G182" s="32" t="n"/>
      <c r="H182" s="32" t="inlineStr">
        <is>
          <t>see Evolution Changes sheet</t>
        </is>
      </c>
    </row>
    <row r="183">
      <c r="A183" s="77" t="inlineStr">
        <is>
          <t>Spoink</t>
        </is>
      </c>
      <c r="B183" s="77" t="inlineStr">
        <is>
          <t>Wild</t>
        </is>
      </c>
      <c r="C183" s="77" t="inlineStr">
        <is>
          <t>Split 1</t>
        </is>
      </c>
      <c r="D183" s="77" t="inlineStr">
        <is>
          <t>Split 1, Split 5</t>
        </is>
      </c>
      <c r="E183" s="77" t="inlineStr">
        <is>
          <t>MAP_JAGGED_PASS, MAP_ROUTE102</t>
        </is>
      </c>
      <c r="F183" s="77" t="n">
        <v>4</v>
      </c>
      <c r="G183" s="77" t="inlineStr">
        <is>
          <t>Lv 32 -&gt; Grumpig</t>
        </is>
      </c>
      <c r="H183" s="77" t="inlineStr">
        <is>
          <t>see Evolution Changes sheet</t>
        </is>
      </c>
    </row>
    <row r="184">
      <c r="A184" s="32" t="inlineStr">
        <is>
          <t>Squirtle</t>
        </is>
      </c>
      <c r="B184" s="32" t="inlineStr">
        <is>
          <t>Wild</t>
        </is>
      </c>
      <c r="C184" s="32" t="inlineStr">
        <is>
          <t>Unassigned</t>
        </is>
      </c>
      <c r="D184" s="32" t="inlineStr">
        <is>
          <t>Unassigned</t>
        </is>
      </c>
      <c r="E184" s="32" t="inlineStr">
        <is>
          <t>MAP_ROUTE115</t>
        </is>
      </c>
      <c r="F184" s="32" t="n">
        <v>5</v>
      </c>
      <c r="G184" s="32" t="inlineStr">
        <is>
          <t>Lv 16 -&gt; Wartortle</t>
        </is>
      </c>
      <c r="H184" s="32" t="inlineStr">
        <is>
          <t>see Evolution Changes sheet</t>
        </is>
      </c>
    </row>
    <row r="185">
      <c r="A185" s="77" t="inlineStr">
        <is>
          <t>Stantler</t>
        </is>
      </c>
      <c r="B185" s="77" t="inlineStr">
        <is>
          <t>Wild</t>
        </is>
      </c>
      <c r="C185" s="77" t="inlineStr">
        <is>
          <t>Postgame</t>
        </is>
      </c>
      <c r="D185" s="77" t="inlineStr">
        <is>
          <t>Postgame</t>
        </is>
      </c>
      <c r="E185" s="77" t="inlineStr">
        <is>
          <t>MAP_ALTERING_CAVE, MAP_SAFARI_ZONE_SOUTHEAST</t>
        </is>
      </c>
      <c r="F185" s="77" t="n">
        <v>18</v>
      </c>
      <c r="G185" s="77" t="inlineStr">
        <is>
          <t>Use Move Twenty Times MOVE_PSYSHIELD_BASH -&gt; Wyrdeer</t>
        </is>
      </c>
      <c r="H185" s="77" t="inlineStr">
        <is>
          <t>see Evolution Changes sheet</t>
        </is>
      </c>
    </row>
    <row r="186">
      <c r="A186" s="32" t="inlineStr">
        <is>
          <t>Starly</t>
        </is>
      </c>
      <c r="B186" s="32" t="inlineStr">
        <is>
          <t>Wild</t>
        </is>
      </c>
      <c r="C186" s="32" t="inlineStr">
        <is>
          <t>Split 1</t>
        </is>
      </c>
      <c r="D186" s="32" t="inlineStr">
        <is>
          <t>Split 1</t>
        </is>
      </c>
      <c r="E186" s="32" t="inlineStr">
        <is>
          <t>MAP_ROUTE101, MAP_ROUTE103</t>
        </is>
      </c>
      <c r="F186" s="32" t="n">
        <v>3</v>
      </c>
      <c r="G186" s="32" t="inlineStr">
        <is>
          <t>Lv 14 -&gt; Staravia</t>
        </is>
      </c>
      <c r="H186" s="32" t="inlineStr">
        <is>
          <t>see Evolution Changes sheet</t>
        </is>
      </c>
    </row>
    <row r="187">
      <c r="A187" s="77" t="inlineStr">
        <is>
          <t>Staryu</t>
        </is>
      </c>
      <c r="B187" s="77" t="inlineStr">
        <is>
          <t>Wild</t>
        </is>
      </c>
      <c r="C187" s="77" t="inlineStr">
        <is>
          <t>Split 1</t>
        </is>
      </c>
      <c r="D187" s="77" t="inlineStr">
        <is>
          <t>Split 1, Split 7</t>
        </is>
      </c>
      <c r="E187" s="77" t="inlineStr">
        <is>
          <t>MAP_LILYCOVE_CITY, MAP_PETALBURG_COAST</t>
        </is>
      </c>
      <c r="F187" s="77" t="n">
        <v>25</v>
      </c>
      <c r="G187" s="77" t="inlineStr">
        <is>
          <t>Item (Water Stone) -&gt; Starmie</t>
        </is>
      </c>
      <c r="H187" s="77" t="inlineStr">
        <is>
          <t>see Evolution Changes sheet</t>
        </is>
      </c>
    </row>
    <row r="188">
      <c r="A188" s="32" t="inlineStr">
        <is>
          <t>Stunfisk</t>
        </is>
      </c>
      <c r="B188" s="32" t="inlineStr">
        <is>
          <t>Wild</t>
        </is>
      </c>
      <c r="C188" s="32" t="inlineStr">
        <is>
          <t>Split 1</t>
        </is>
      </c>
      <c r="D188" s="32" t="inlineStr">
        <is>
          <t>Split 1</t>
        </is>
      </c>
      <c r="E188" s="32" t="inlineStr">
        <is>
          <t>MAP_PETALBURG_CITY</t>
        </is>
      </c>
      <c r="F188" s="32" t="n">
        <v>6</v>
      </c>
      <c r="G188" s="32" t="n"/>
      <c r="H188" s="32" t="inlineStr">
        <is>
          <t>see Evolution Changes sheet</t>
        </is>
      </c>
    </row>
    <row r="189">
      <c r="A189" s="77" t="inlineStr">
        <is>
          <t>Sunkern</t>
        </is>
      </c>
      <c r="B189" s="77" t="inlineStr">
        <is>
          <t>Wild</t>
        </is>
      </c>
      <c r="C189" s="77" t="inlineStr">
        <is>
          <t>Split 1</t>
        </is>
      </c>
      <c r="D189" s="77" t="inlineStr">
        <is>
          <t>Split 1, Postgame</t>
        </is>
      </c>
      <c r="E189" s="77" t="inlineStr">
        <is>
          <t>MAP_ROUTE101, MAP_ROUTE103, MAP_SAFARI_ZONE_NORTHEAST, MAP_SAFARI_ZONE_SOUTHEAST</t>
        </is>
      </c>
      <c r="F189" s="77" t="n">
        <v>3</v>
      </c>
      <c r="G189" s="77" t="inlineStr">
        <is>
          <t>Item (Sun Stone) -&gt; Sunflora</t>
        </is>
      </c>
      <c r="H189" s="77" t="inlineStr">
        <is>
          <t>see Evolution Changes sheet</t>
        </is>
      </c>
    </row>
    <row r="190">
      <c r="A190" s="32" t="inlineStr">
        <is>
          <t>Surskit</t>
        </is>
      </c>
      <c r="B190" s="32" t="inlineStr">
        <is>
          <t>Wild</t>
        </is>
      </c>
      <c r="C190" s="32" t="inlineStr">
        <is>
          <t>Split 4</t>
        </is>
      </c>
      <c r="D190" s="32" t="inlineStr">
        <is>
          <t>Split 4</t>
        </is>
      </c>
      <c r="E190" s="32" t="inlineStr">
        <is>
          <t>MAP_ROUTE117</t>
        </is>
      </c>
      <c r="F190" s="32" t="n">
        <v>30</v>
      </c>
      <c r="G190" s="32" t="inlineStr">
        <is>
          <t>Lv 22 -&gt; Masquerain</t>
        </is>
      </c>
      <c r="H190" s="32" t="inlineStr">
        <is>
          <t>see Evolution Changes sheet</t>
        </is>
      </c>
    </row>
    <row r="191">
      <c r="A191" s="77" t="inlineStr">
        <is>
          <t>Swablu</t>
        </is>
      </c>
      <c r="B191" s="77" t="inlineStr">
        <is>
          <t>Wild</t>
        </is>
      </c>
      <c r="C191" s="77" t="inlineStr">
        <is>
          <t>Split 5</t>
        </is>
      </c>
      <c r="D191" s="77" t="inlineStr">
        <is>
          <t>Split 5, Unassigned</t>
        </is>
      </c>
      <c r="E191" s="77" t="inlineStr">
        <is>
          <t>MAP_ROUTE114, MAP_ROUTE115</t>
        </is>
      </c>
      <c r="F191" s="77" t="n">
        <v>15</v>
      </c>
      <c r="G191" s="77" t="inlineStr">
        <is>
          <t>Lv 35 -&gt; Altaria</t>
        </is>
      </c>
      <c r="H191" s="77" t="inlineStr">
        <is>
          <t>see Evolution Changes sheet</t>
        </is>
      </c>
    </row>
    <row r="192">
      <c r="A192" s="32" t="inlineStr">
        <is>
          <t>Swellow</t>
        </is>
      </c>
      <c r="B192" s="32" t="inlineStr">
        <is>
          <t>Wild</t>
        </is>
      </c>
      <c r="C192" s="32" t="inlineStr">
        <is>
          <t>Unassigned</t>
        </is>
      </c>
      <c r="D192" s="32" t="inlineStr">
        <is>
          <t>Unassigned</t>
        </is>
      </c>
      <c r="E192" s="32" t="inlineStr">
        <is>
          <t>MAP_ROUTE115</t>
        </is>
      </c>
      <c r="F192" s="32" t="n">
        <v>25</v>
      </c>
      <c r="G192" s="32" t="n"/>
      <c r="H192" s="32" t="inlineStr">
        <is>
          <t>see Evolution Changes sheet</t>
        </is>
      </c>
    </row>
    <row r="193">
      <c r="A193" s="77" t="inlineStr">
        <is>
          <t>Taillow</t>
        </is>
      </c>
      <c r="B193" s="77" t="inlineStr">
        <is>
          <t>Wild</t>
        </is>
      </c>
      <c r="C193" s="77" t="inlineStr">
        <is>
          <t>Unassigned</t>
        </is>
      </c>
      <c r="D193" s="77" t="inlineStr">
        <is>
          <t>Unassigned</t>
        </is>
      </c>
      <c r="E193" s="77" t="inlineStr">
        <is>
          <t>MAP_ROUTE115</t>
        </is>
      </c>
      <c r="F193" s="77" t="n">
        <v>23</v>
      </c>
      <c r="G193" s="77" t="inlineStr">
        <is>
          <t>Lv 22 -&gt; Swellow</t>
        </is>
      </c>
      <c r="H193" s="77" t="inlineStr">
        <is>
          <t>see Evolution Changes sheet</t>
        </is>
      </c>
    </row>
    <row r="194">
      <c r="A194" s="32" t="inlineStr">
        <is>
          <t>Teddiursa</t>
        </is>
      </c>
      <c r="B194" s="32" t="inlineStr">
        <is>
          <t>Wild</t>
        </is>
      </c>
      <c r="C194" s="32" t="inlineStr">
        <is>
          <t>Postgame</t>
        </is>
      </c>
      <c r="D194" s="32" t="inlineStr">
        <is>
          <t>Postgame</t>
        </is>
      </c>
      <c r="E194" s="32" t="inlineStr">
        <is>
          <t>MAP_ALTERING_CAVE, MAP_SAFARI_ZONE_NORTHEAST</t>
        </is>
      </c>
      <c r="F194" s="32" t="n">
        <v>6</v>
      </c>
      <c r="G194" s="32" t="inlineStr">
        <is>
          <t>Lv 30 -&gt; Ursaring</t>
        </is>
      </c>
      <c r="H194" s="32" t="inlineStr">
        <is>
          <t>see Evolution Changes sheet</t>
        </is>
      </c>
    </row>
    <row r="195">
      <c r="A195" s="77" t="inlineStr">
        <is>
          <t>Tentacool</t>
        </is>
      </c>
      <c r="B195" s="77" t="inlineStr">
        <is>
          <t>Wild</t>
        </is>
      </c>
      <c r="C195" s="77" t="inlineStr">
        <is>
          <t>Split 1</t>
        </is>
      </c>
      <c r="D195" s="77" t="inlineStr">
        <is>
          <t>Split 1, Split 3, Split 4, Split 6, Split 7, Split 8, Elite Four &amp; Champion, Unassigned</t>
        </is>
      </c>
      <c r="E195" s="77" t="inlineStr">
        <is>
          <t>MAP_ABANDONED_SHIP_HIDDEN_FLOOR_CORRIDORS, MAP_ABANDONED_SHIP_ROOMS_B1F, MAP_DEWFORD_TOWN, MAP_EVER_GRANDE_CITY, MAP_LILYCOVE_CITY, MAP_MOSSDEEP_CITY, MAP_PACIFIDLOG_TOWN, MAP_PETALBURG_COAST, MAP_ROUTE103, MAP_ROUTE105, MAP_ROUTE106, MAP_ROUTE107, M</t>
        </is>
      </c>
      <c r="F195" s="77" t="n">
        <v>5</v>
      </c>
      <c r="G195" s="77" t="inlineStr">
        <is>
          <t>Lv 30 -&gt; Tentacruel</t>
        </is>
      </c>
      <c r="H195" s="77" t="inlineStr">
        <is>
          <t>see Evolution Changes sheet</t>
        </is>
      </c>
    </row>
    <row r="196">
      <c r="A196" s="32" t="inlineStr">
        <is>
          <t>Tentacruel</t>
        </is>
      </c>
      <c r="B196" s="32" t="inlineStr">
        <is>
          <t>Wild</t>
        </is>
      </c>
      <c r="C196" s="32" t="inlineStr">
        <is>
          <t>Split 4</t>
        </is>
      </c>
      <c r="D196" s="32" t="inlineStr">
        <is>
          <t>Split 4</t>
        </is>
      </c>
      <c r="E196" s="32" t="inlineStr">
        <is>
          <t>MAP_ABANDONED_SHIP_HIDDEN_FLOOR_CORRIDORS, MAP_ABANDONED_SHIP_ROOMS_B1F</t>
        </is>
      </c>
      <c r="F196" s="32" t="n">
        <v>20</v>
      </c>
      <c r="G196" s="32" t="n"/>
      <c r="H196" s="32" t="inlineStr">
        <is>
          <t>see Evolution Changes sheet</t>
        </is>
      </c>
    </row>
    <row r="197">
      <c r="A197" s="77" t="inlineStr">
        <is>
          <t>Tepig</t>
        </is>
      </c>
      <c r="B197" s="77" t="inlineStr">
        <is>
          <t>Wild</t>
        </is>
      </c>
      <c r="C197" s="77" t="inlineStr">
        <is>
          <t>Split 1</t>
        </is>
      </c>
      <c r="D197" s="77" t="inlineStr">
        <is>
          <t>Split 1</t>
        </is>
      </c>
      <c r="E197" s="77" t="inlineStr">
        <is>
          <t>MAP_OLDALE_TOWN</t>
        </is>
      </c>
      <c r="F197" s="77" t="n">
        <v>4</v>
      </c>
      <c r="G197" s="77" t="inlineStr">
        <is>
          <t>Lv 17 -&gt; Pignite</t>
        </is>
      </c>
      <c r="H197" s="77" t="inlineStr">
        <is>
          <t>see Evolution Changes sheet</t>
        </is>
      </c>
    </row>
    <row r="198">
      <c r="A198" s="32" t="inlineStr">
        <is>
          <t>Timburr</t>
        </is>
      </c>
      <c r="B198" s="32" t="inlineStr">
        <is>
          <t>Wild</t>
        </is>
      </c>
      <c r="C198" s="32" t="inlineStr">
        <is>
          <t>Split 2</t>
        </is>
      </c>
      <c r="D198" s="32" t="inlineStr">
        <is>
          <t>Split 2</t>
        </is>
      </c>
      <c r="E198" s="32" t="inlineStr">
        <is>
          <t>MAP_ROUTE116</t>
        </is>
      </c>
      <c r="F198" s="32" t="n">
        <v>13</v>
      </c>
      <c r="G198" s="32" t="inlineStr">
        <is>
          <t>Lv 25 -&gt; Gurdurr</t>
        </is>
      </c>
      <c r="H198" s="32" t="inlineStr">
        <is>
          <t>see Evolution Changes sheet</t>
        </is>
      </c>
    </row>
    <row r="199">
      <c r="A199" s="77" t="inlineStr">
        <is>
          <t>Tirtouga</t>
        </is>
      </c>
      <c r="B199" s="77" t="inlineStr">
        <is>
          <t>Wild</t>
        </is>
      </c>
      <c r="C199" s="77" t="inlineStr">
        <is>
          <t>Split 1</t>
        </is>
      </c>
      <c r="D199" s="77" t="inlineStr">
        <is>
          <t>Split 1</t>
        </is>
      </c>
      <c r="E199" s="77" t="inlineStr">
        <is>
          <t>MAP_LITTLEROOT_TOWN</t>
        </is>
      </c>
      <c r="F199" s="77" t="n">
        <v>3</v>
      </c>
      <c r="G199" s="77" t="inlineStr">
        <is>
          <t>Lv 37 -&gt; Carracosta</t>
        </is>
      </c>
      <c r="H199" s="77" t="inlineStr">
        <is>
          <t>see Evolution Changes sheet</t>
        </is>
      </c>
    </row>
    <row r="200">
      <c r="A200" s="32" t="inlineStr">
        <is>
          <t>Torkoal</t>
        </is>
      </c>
      <c r="B200" s="32" t="inlineStr">
        <is>
          <t>Wild</t>
        </is>
      </c>
      <c r="C200" s="32" t="inlineStr">
        <is>
          <t>Split 5</t>
        </is>
      </c>
      <c r="D200" s="32" t="inlineStr">
        <is>
          <t>Split 5</t>
        </is>
      </c>
      <c r="E200" s="32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200" s="32" t="n">
        <v>14</v>
      </c>
      <c r="G200" s="32" t="n"/>
      <c r="H200" s="32" t="inlineStr">
        <is>
          <t>see Evolution Changes sheet</t>
        </is>
      </c>
    </row>
    <row r="201">
      <c r="A201" s="77" t="inlineStr">
        <is>
          <t>Totodile</t>
        </is>
      </c>
      <c r="B201" s="77" t="inlineStr">
        <is>
          <t>Gift, Trade</t>
        </is>
      </c>
      <c r="C201" s="77" t="inlineStr">
        <is>
          <t>Split 1</t>
        </is>
      </c>
      <c r="D201" s="77" t="inlineStr">
        <is>
          <t>Split 1, Unassigned</t>
        </is>
      </c>
      <c r="E201" s="77" t="inlineStr">
        <is>
          <t>LittlerootTown_ProfessorBirchsLab, StarterRoom</t>
        </is>
      </c>
      <c r="F201" s="77" t="n"/>
      <c r="G201" s="77" t="inlineStr">
        <is>
          <t>Lv 18 -&gt; Croconaw</t>
        </is>
      </c>
      <c r="H201" s="77" t="inlineStr">
        <is>
          <t>see Evolution Changes sheet</t>
        </is>
      </c>
    </row>
    <row r="202">
      <c r="A202" s="32" t="inlineStr">
        <is>
          <t>Trapinch</t>
        </is>
      </c>
      <c r="B202" s="32" t="inlineStr">
        <is>
          <t>Wild</t>
        </is>
      </c>
      <c r="C202" s="32" t="inlineStr">
        <is>
          <t>Split 5</t>
        </is>
      </c>
      <c r="D202" s="32" t="inlineStr">
        <is>
          <t>Split 5</t>
        </is>
      </c>
      <c r="E202" s="32" t="inlineStr">
        <is>
          <t>MAP_MIRAGE_TOWER_1F, MAP_MIRAGE_TOWER_2F, MAP_MIRAGE_TOWER_3F, MAP_MIRAGE_TOWER_4F, MAP_ROUTE111</t>
        </is>
      </c>
      <c r="F202" s="32" t="n">
        <v>19</v>
      </c>
      <c r="G202" s="32" t="inlineStr">
        <is>
          <t>Lv 35 -&gt; Vibrava</t>
        </is>
      </c>
      <c r="H202" s="32" t="inlineStr">
        <is>
          <t>see Evolution Changes sheet</t>
        </is>
      </c>
    </row>
    <row r="203">
      <c r="A203" s="77" t="inlineStr">
        <is>
          <t>Treecko</t>
        </is>
      </c>
      <c r="B203" s="77" t="inlineStr">
        <is>
          <t>Wild</t>
        </is>
      </c>
      <c r="C203" s="77" t="inlineStr">
        <is>
          <t>Split 2</t>
        </is>
      </c>
      <c r="D203" s="77" t="inlineStr">
        <is>
          <t>Split 2</t>
        </is>
      </c>
      <c r="E203" s="77" t="inlineStr">
        <is>
          <t>MAP_RUSTBORO_CITY</t>
        </is>
      </c>
      <c r="F203" s="77" t="n">
        <v>12</v>
      </c>
      <c r="G203" s="77" t="inlineStr">
        <is>
          <t>Lv 16 -&gt; Grovyle</t>
        </is>
      </c>
      <c r="H203" s="77" t="inlineStr">
        <is>
          <t>see Evolution Changes sheet</t>
        </is>
      </c>
    </row>
    <row r="204">
      <c r="A204" s="32" t="inlineStr">
        <is>
          <t>Tropius</t>
        </is>
      </c>
      <c r="B204" s="32" t="inlineStr">
        <is>
          <t>Wild</t>
        </is>
      </c>
      <c r="C204" s="32" t="inlineStr">
        <is>
          <t>Split 6</t>
        </is>
      </c>
      <c r="D204" s="32" t="inlineStr">
        <is>
          <t>Split 6</t>
        </is>
      </c>
      <c r="E204" s="32" t="inlineStr">
        <is>
          <t>MAP_ROUTE119</t>
        </is>
      </c>
      <c r="F204" s="32" t="n">
        <v>25</v>
      </c>
      <c r="G204" s="32" t="n"/>
      <c r="H204" s="32" t="inlineStr">
        <is>
          <t>see Evolution Changes sheet</t>
        </is>
      </c>
    </row>
    <row r="205">
      <c r="A205" s="77" t="inlineStr">
        <is>
          <t>Turtwig</t>
        </is>
      </c>
      <c r="B205" s="77" t="inlineStr">
        <is>
          <t>Wild</t>
        </is>
      </c>
      <c r="C205" s="77" t="inlineStr">
        <is>
          <t>Split 2</t>
        </is>
      </c>
      <c r="D205" s="77" t="inlineStr">
        <is>
          <t>Split 2</t>
        </is>
      </c>
      <c r="E205" s="77" t="inlineStr">
        <is>
          <t>MAP_RUSTBORO_CITY</t>
        </is>
      </c>
      <c r="F205" s="77" t="n">
        <v>12</v>
      </c>
      <c r="G205" s="77" t="inlineStr">
        <is>
          <t>Lv 18 -&gt; Grotle</t>
        </is>
      </c>
      <c r="H205" s="77" t="inlineStr">
        <is>
          <t>see Evolution Changes sheet</t>
        </is>
      </c>
    </row>
    <row r="206">
      <c r="A206" s="32" t="inlineStr">
        <is>
          <t>Venipede</t>
        </is>
      </c>
      <c r="B206" s="32" t="inlineStr">
        <is>
          <t>Wild</t>
        </is>
      </c>
      <c r="C206" s="32" t="inlineStr">
        <is>
          <t>Split 2</t>
        </is>
      </c>
      <c r="D206" s="32" t="inlineStr">
        <is>
          <t>Split 2</t>
        </is>
      </c>
      <c r="E206" s="32" t="inlineStr">
        <is>
          <t>MAP_PETALBURG_WOODS</t>
        </is>
      </c>
      <c r="F206" s="32" t="n">
        <v>11</v>
      </c>
      <c r="G206" s="32" t="inlineStr">
        <is>
          <t>Lv 22 -&gt; Whirlipede</t>
        </is>
      </c>
      <c r="H206" s="32" t="inlineStr">
        <is>
          <t>see Evolution Changes sheet</t>
        </is>
      </c>
    </row>
    <row r="207">
      <c r="A207" s="77" t="inlineStr">
        <is>
          <t>Venusaur</t>
        </is>
      </c>
      <c r="B207" s="77" t="inlineStr">
        <is>
          <t>Wild</t>
        </is>
      </c>
      <c r="C207" s="77" t="inlineStr">
        <is>
          <t>Unassigned</t>
        </is>
      </c>
      <c r="D207" s="77" t="inlineStr">
        <is>
          <t>Unassigned</t>
        </is>
      </c>
      <c r="E207" s="77" t="n"/>
      <c r="F207" s="77" t="n">
        <v>5</v>
      </c>
      <c r="G207" s="77" t="n"/>
      <c r="H207" s="77" t="inlineStr">
        <is>
          <t>see Evolution Changes sheet</t>
        </is>
      </c>
    </row>
    <row r="208">
      <c r="A208" s="32" t="inlineStr">
        <is>
          <t>Volbeat</t>
        </is>
      </c>
      <c r="B208" s="32" t="inlineStr">
        <is>
          <t>Wild</t>
        </is>
      </c>
      <c r="C208" s="32" t="inlineStr">
        <is>
          <t>Split 4</t>
        </is>
      </c>
      <c r="D208" s="32" t="inlineStr">
        <is>
          <t>Split 4</t>
        </is>
      </c>
      <c r="E208" s="32" t="inlineStr">
        <is>
          <t>MAP_ROUTE117</t>
        </is>
      </c>
      <c r="F208" s="32" t="n">
        <v>13</v>
      </c>
      <c r="G208" s="32" t="n"/>
      <c r="H208" s="32" t="inlineStr">
        <is>
          <t>see Evolution Changes sheet</t>
        </is>
      </c>
    </row>
    <row r="209">
      <c r="A209" s="77" t="inlineStr">
        <is>
          <t>Voltorb</t>
        </is>
      </c>
      <c r="B209" s="77" t="inlineStr">
        <is>
          <t>Wild</t>
        </is>
      </c>
      <c r="C209" s="77" t="inlineStr">
        <is>
          <t>Split 4</t>
        </is>
      </c>
      <c r="D209" s="77" t="inlineStr">
        <is>
          <t>Split 4</t>
        </is>
      </c>
      <c r="E209" s="77" t="inlineStr">
        <is>
          <t>MAP_NEW_MAUVILLE_ENTRANCE, MAP_NEW_MAUVILLE_INSIDE</t>
        </is>
      </c>
      <c r="F209" s="77" t="n">
        <v>22</v>
      </c>
      <c r="G209" s="77" t="inlineStr">
        <is>
          <t>Lv 30 -&gt; Electrode</t>
        </is>
      </c>
      <c r="H209" s="77" t="inlineStr">
        <is>
          <t>see Evolution Changes sheet</t>
        </is>
      </c>
    </row>
    <row r="210">
      <c r="A210" s="32" t="inlineStr">
        <is>
          <t>Vulpix</t>
        </is>
      </c>
      <c r="B210" s="32" t="inlineStr">
        <is>
          <t>Wild</t>
        </is>
      </c>
      <c r="C210" s="32" t="inlineStr">
        <is>
          <t>Split 1</t>
        </is>
      </c>
      <c r="D210" s="32" t="inlineStr">
        <is>
          <t>Split 1, Split 7</t>
        </is>
      </c>
      <c r="E210" s="32" t="inlineStr">
        <is>
          <t>MAP_MT_PYRE_EXTERIOR, MAP_OLDALE_TOWN</t>
        </is>
      </c>
      <c r="F210" s="32" t="n">
        <v>4</v>
      </c>
      <c r="G210" s="32" t="inlineStr">
        <is>
          <t>Item (Fire Stone) -&gt; Ninetales</t>
        </is>
      </c>
      <c r="H210" s="32" t="inlineStr">
        <is>
          <t>see Evolution Changes sheet</t>
        </is>
      </c>
    </row>
    <row r="211">
      <c r="A211" s="77" t="inlineStr">
        <is>
          <t>Wailmer</t>
        </is>
      </c>
      <c r="B211" s="77" t="inlineStr">
        <is>
          <t>Wild</t>
        </is>
      </c>
      <c r="C211" s="77" t="inlineStr">
        <is>
          <t>Split 1</t>
        </is>
      </c>
      <c r="D211" s="77" t="inlineStr">
        <is>
          <t>Split 1, Split 3, Split 4, Split 7, Split 8, Elite Four &amp; Champion, Unassigned</t>
        </is>
      </c>
      <c r="E211" s="77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211" s="77" t="n">
        <v>10</v>
      </c>
      <c r="G211" s="77" t="inlineStr">
        <is>
          <t>Lv 40 -&gt; Wailord</t>
        </is>
      </c>
      <c r="H211" s="77" t="inlineStr">
        <is>
          <t>see Evolution Changes sheet</t>
        </is>
      </c>
    </row>
    <row r="212">
      <c r="A212" s="32" t="inlineStr">
        <is>
          <t>Wailord</t>
        </is>
      </c>
      <c r="B212" s="32" t="inlineStr">
        <is>
          <t>Wild</t>
        </is>
      </c>
      <c r="C212" s="32" t="inlineStr">
        <is>
          <t>Unassigned</t>
        </is>
      </c>
      <c r="D212" s="32" t="inlineStr">
        <is>
          <t>Unassigned</t>
        </is>
      </c>
      <c r="E212" s="32" t="inlineStr">
        <is>
          <t>MAP_ROUTE129</t>
        </is>
      </c>
      <c r="F212" s="32" t="n">
        <v>25</v>
      </c>
      <c r="G212" s="32" t="n"/>
      <c r="H212" s="32" t="inlineStr">
        <is>
          <t>see Evolution Changes sheet</t>
        </is>
      </c>
    </row>
    <row r="213">
      <c r="A213" s="77" t="inlineStr">
        <is>
          <t>Wartortle</t>
        </is>
      </c>
      <c r="B213" s="77" t="inlineStr">
        <is>
          <t>Wild</t>
        </is>
      </c>
      <c r="C213" s="77" t="inlineStr">
        <is>
          <t>Unassigned</t>
        </is>
      </c>
      <c r="D213" s="77" t="inlineStr">
        <is>
          <t>Unassigned</t>
        </is>
      </c>
      <c r="E213" s="77" t="n"/>
      <c r="F213" s="77" t="n">
        <v>5</v>
      </c>
      <c r="G213" s="77" t="inlineStr">
        <is>
          <t>Lv 36 -&gt; Blastoise</t>
        </is>
      </c>
      <c r="H213" s="77" t="inlineStr">
        <is>
          <t>see Evolution Changes sheet</t>
        </is>
      </c>
    </row>
    <row r="214">
      <c r="A214" s="32" t="inlineStr">
        <is>
          <t>Weedle</t>
        </is>
      </c>
      <c r="B214" s="32" t="inlineStr">
        <is>
          <t>Wild</t>
        </is>
      </c>
      <c r="C214" s="32" t="inlineStr">
        <is>
          <t>Split 1</t>
        </is>
      </c>
      <c r="D214" s="32" t="inlineStr">
        <is>
          <t>Split 1</t>
        </is>
      </c>
      <c r="E214" s="32" t="inlineStr">
        <is>
          <t>MAP_VIRIDIAN_FOREST</t>
        </is>
      </c>
      <c r="F214" s="32" t="n">
        <v>9</v>
      </c>
      <c r="G214" s="32" t="inlineStr">
        <is>
          <t>Lv 7 -&gt; Kakuna</t>
        </is>
      </c>
      <c r="H214" s="32" t="inlineStr">
        <is>
          <t>see Evolution Changes sheet</t>
        </is>
      </c>
    </row>
    <row r="215">
      <c r="A215" s="77" t="inlineStr">
        <is>
          <t>Whiscash</t>
        </is>
      </c>
      <c r="B215" s="77" t="inlineStr">
        <is>
          <t>Wild</t>
        </is>
      </c>
      <c r="C215" s="77" t="inlineStr">
        <is>
          <t>Split 4</t>
        </is>
      </c>
      <c r="D215" s="77" t="inlineStr">
        <is>
          <t>Split 4, Elite Four &amp; Champion, Unassigned</t>
        </is>
      </c>
      <c r="E215" s="77" t="inlineStr">
        <is>
          <t>MAP_METEOR_FALLS_1F_2R, MAP_METEOR_FALLS_B1F_1R, MAP_METEOR_FALLS_B1F_2R, MAP_ROUTE117, MAP_VICTORY_ROAD_B2F</t>
        </is>
      </c>
      <c r="F215" s="77" t="n">
        <v>30</v>
      </c>
      <c r="G215" s="77" t="n"/>
      <c r="H215" s="77" t="inlineStr">
        <is>
          <t>see Evolution Changes sheet</t>
        </is>
      </c>
    </row>
    <row r="216">
      <c r="A216" s="32" t="inlineStr">
        <is>
          <t>Whismur</t>
        </is>
      </c>
      <c r="B216" s="32" t="inlineStr">
        <is>
          <t>Wild</t>
        </is>
      </c>
      <c r="C216" s="32" t="inlineStr">
        <is>
          <t>Split 2</t>
        </is>
      </c>
      <c r="D216" s="32" t="inlineStr">
        <is>
          <t>Split 2, Elite Four &amp; Champion, Postgame</t>
        </is>
      </c>
      <c r="E216" s="32" t="inlineStr">
        <is>
          <t>MAP_DESERT_UNDERPASS, MAP_RUSTURF_TUNNEL, MAP_VICTORY_ROAD_1F</t>
        </is>
      </c>
      <c r="F216" s="32" t="n">
        <v>5</v>
      </c>
      <c r="G216" s="32" t="inlineStr">
        <is>
          <t>Lv 20 -&gt; Loudred</t>
        </is>
      </c>
      <c r="H216" s="32" t="inlineStr">
        <is>
          <t>see Evolution Changes sheet</t>
        </is>
      </c>
    </row>
    <row r="217">
      <c r="A217" s="77" t="inlineStr">
        <is>
          <t>Wingull</t>
        </is>
      </c>
      <c r="B217" s="77" t="inlineStr">
        <is>
          <t>Wild</t>
        </is>
      </c>
      <c r="C217" s="77" t="inlineStr">
        <is>
          <t>Split 1</t>
        </is>
      </c>
      <c r="D217" s="77" t="inlineStr">
        <is>
          <t>Split 1, Split 2, Split 3, Split 4, Split 6, Split 7, Split 8, Elite Four &amp; Champion, Unassigned</t>
        </is>
      </c>
      <c r="E217" s="77" t="inlineStr">
        <is>
          <t>MAP_DEWFORD_TOWN, MAP_EVER_GRANDE_CITY, MAP_LILYCOVE_CITY, MAP_MOSSDEEP_CITY, MAP_MT_PYRE_EXTERIOR, MAP_PACIFIDLOG_TOWN, MAP_PETALBURG_COAST, MAP_ROUTE103, MAP_ROUTE104, MAP_ROUTE105, MAP_ROUTE106, MAP_ROUTE107, MAP_ROUTE108, MAP_ROUTE109, MAP_ROUTE1</t>
        </is>
      </c>
      <c r="F217" s="77" t="n">
        <v>3</v>
      </c>
      <c r="G217" s="77" t="inlineStr">
        <is>
          <t>Lv 25 -&gt; Pelipper</t>
        </is>
      </c>
      <c r="H217" s="77" t="inlineStr">
        <is>
          <t>see Evolution Changes sheet</t>
        </is>
      </c>
    </row>
    <row r="218">
      <c r="A218" s="32" t="inlineStr">
        <is>
          <t>Wobbuffet</t>
        </is>
      </c>
      <c r="B218" s="32" t="inlineStr">
        <is>
          <t>Wild</t>
        </is>
      </c>
      <c r="C218" s="32" t="inlineStr">
        <is>
          <t>Unassigned</t>
        </is>
      </c>
      <c r="D218" s="32" t="inlineStr">
        <is>
          <t>Unassigned, Postgame</t>
        </is>
      </c>
      <c r="E218" s="32" t="inlineStr">
        <is>
          <t>MAP_SAFARI_ZONE_SOUTH, MAP_SAFARI_ZONE_SOUTHWEST</t>
        </is>
      </c>
      <c r="F218" s="32" t="n">
        <v>5</v>
      </c>
      <c r="G218" s="32" t="n"/>
      <c r="H218" s="32" t="inlineStr">
        <is>
          <t>see Evolution Changes sheet</t>
        </is>
      </c>
    </row>
    <row r="219">
      <c r="A219" s="77" t="inlineStr">
        <is>
          <t>Woobat</t>
        </is>
      </c>
      <c r="B219" s="77" t="inlineStr">
        <is>
          <t>Wild</t>
        </is>
      </c>
      <c r="C219" s="77" t="inlineStr">
        <is>
          <t>Split 3</t>
        </is>
      </c>
      <c r="D219" s="77" t="inlineStr">
        <is>
          <t>Split 3</t>
        </is>
      </c>
      <c r="E219" s="77" t="inlineStr">
        <is>
          <t>MAP_GRANITE_CAVE_1F, MAP_GRANITE_CAVE_B1F, MAP_GRANITE_CAVE_B2F, MAP_GRANITE_CAVE_STEVENS_ROOM</t>
        </is>
      </c>
      <c r="F219" s="77" t="n">
        <v>15</v>
      </c>
      <c r="G219" s="77" t="inlineStr">
        <is>
          <t>Lv 22 -&gt; Swoobat</t>
        </is>
      </c>
      <c r="H219" s="77" t="inlineStr">
        <is>
          <t>see Evolution Changes sheet</t>
        </is>
      </c>
    </row>
    <row r="220">
      <c r="A220" s="32" t="inlineStr">
        <is>
          <t>Wooper</t>
        </is>
      </c>
      <c r="B220" s="32" t="inlineStr">
        <is>
          <t>Wild</t>
        </is>
      </c>
      <c r="C220" s="32" t="inlineStr">
        <is>
          <t>Split 4</t>
        </is>
      </c>
      <c r="D220" s="32" t="inlineStr">
        <is>
          <t>Split 4, Postgame</t>
        </is>
      </c>
      <c r="E220" s="32" t="inlineStr">
        <is>
          <t>MAP_ROUTE117, MAP_SAFARI_ZONE_SOUTHEAST</t>
        </is>
      </c>
      <c r="F220" s="32" t="n">
        <v>25</v>
      </c>
      <c r="G220" s="32" t="inlineStr">
        <is>
          <t>Lv 20 -&gt; Quagsire</t>
        </is>
      </c>
      <c r="H220" s="32" t="inlineStr">
        <is>
          <t>see Evolution Changes sheet</t>
        </is>
      </c>
    </row>
    <row r="221">
      <c r="A221" s="77" t="inlineStr">
        <is>
          <t>Wynaut</t>
        </is>
      </c>
      <c r="B221" s="77" t="inlineStr">
        <is>
          <t>Wild</t>
        </is>
      </c>
      <c r="C221" s="77" t="inlineStr">
        <is>
          <t>Unassigned</t>
        </is>
      </c>
      <c r="D221" s="77" t="inlineStr">
        <is>
          <t>Unassigned</t>
        </is>
      </c>
      <c r="E221" s="77" t="inlineStr">
        <is>
          <t>MAP_ROUTE130</t>
        </is>
      </c>
      <c r="F221" s="77" t="n">
        <v>5</v>
      </c>
      <c r="G221" s="77" t="inlineStr">
        <is>
          <t>Lv 15 -&gt; Wobbuffet</t>
        </is>
      </c>
      <c r="H221" s="77" t="inlineStr">
        <is>
          <t>see Evolution Changes sheet</t>
        </is>
      </c>
    </row>
    <row r="222">
      <c r="A222" s="32" t="inlineStr">
        <is>
          <t>Xatu</t>
        </is>
      </c>
      <c r="B222" s="32" t="inlineStr">
        <is>
          <t>Wild</t>
        </is>
      </c>
      <c r="C222" s="32" t="inlineStr">
        <is>
          <t>Postgame</t>
        </is>
      </c>
      <c r="D222" s="32" t="inlineStr">
        <is>
          <t>Postgame</t>
        </is>
      </c>
      <c r="E222" s="32" t="inlineStr">
        <is>
          <t>MAP_SAFARI_ZONE_NORTH</t>
        </is>
      </c>
      <c r="F222" s="32" t="n">
        <v>29</v>
      </c>
      <c r="G222" s="32" t="n"/>
      <c r="H222" s="32" t="inlineStr">
        <is>
          <t>see Evolution Changes sheet</t>
        </is>
      </c>
    </row>
    <row r="223">
      <c r="A223" s="77" t="inlineStr">
        <is>
          <t>Zigzagoon</t>
        </is>
      </c>
      <c r="B223" s="77" t="inlineStr">
        <is>
          <t>Wild</t>
        </is>
      </c>
      <c r="C223" s="77" t="inlineStr">
        <is>
          <t>Split 6</t>
        </is>
      </c>
      <c r="D223" s="77" t="inlineStr">
        <is>
          <t>Split 6</t>
        </is>
      </c>
      <c r="E223" s="77" t="inlineStr">
        <is>
          <t>MAP_ROUTE118, MAP_ROUTE119</t>
        </is>
      </c>
      <c r="F223" s="77" t="n">
        <v>24</v>
      </c>
      <c r="G223" s="77" t="inlineStr">
        <is>
          <t>Lv 20 -&gt; Linoone</t>
        </is>
      </c>
      <c r="H223" s="77" t="inlineStr">
        <is>
          <t>see Evolution Changes sheet</t>
        </is>
      </c>
    </row>
    <row r="224">
      <c r="A224" s="32" t="inlineStr">
        <is>
          <t>Zorua</t>
        </is>
      </c>
      <c r="B224" s="32" t="inlineStr">
        <is>
          <t>Wild</t>
        </is>
      </c>
      <c r="C224" s="32" t="inlineStr">
        <is>
          <t>Unassigned</t>
        </is>
      </c>
      <c r="D224" s="32" t="inlineStr">
        <is>
          <t>Unassigned</t>
        </is>
      </c>
      <c r="E224" s="32" t="inlineStr">
        <is>
          <t>MAP_TRAINER_GROVE</t>
        </is>
      </c>
      <c r="F224" s="32" t="n">
        <v>8</v>
      </c>
      <c r="G224" s="32" t="inlineStr">
        <is>
          <t>Lv 30 -&gt; Zoroark</t>
        </is>
      </c>
      <c r="H224" s="32" t="inlineStr">
        <is>
          <t>see Evolution Changes sheet</t>
        </is>
      </c>
    </row>
    <row r="225">
      <c r="A225" s="77" t="inlineStr">
        <is>
          <t>Zubat</t>
        </is>
      </c>
      <c r="B225" s="77" t="inlineStr">
        <is>
          <t>Wild</t>
        </is>
      </c>
      <c r="C225" s="77" t="inlineStr">
        <is>
          <t>Split 3</t>
        </is>
      </c>
      <c r="D225" s="77" t="inlineStr">
        <is>
          <t>Split 3, Split 7, Split 8, Elite Four &amp; Champion, Unassigned, Postgame</t>
        </is>
      </c>
      <c r="E225" s="77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225" s="77" t="n">
        <v>5</v>
      </c>
      <c r="G225" s="77" t="inlineStr">
        <is>
          <t>Lv 22 -&gt; Golbat</t>
        </is>
      </c>
      <c r="H225" s="77" t="inlineStr">
        <is>
          <t>see Evolution Changes sheet</t>
        </is>
      </c>
    </row>
  </sheetData>
  <autoFilter ref="A1:H22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3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Struggle Bug, Bug Bite, X Scissor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Gift (script)</t>
        </is>
      </c>
      <c r="B13" s="77" t="inlineStr">
        <is>
          <t>Skorupi</t>
        </is>
      </c>
      <c r="C13" s="77" t="n">
        <v>22</v>
      </c>
      <c r="D13" s="77" t="inlineStr">
        <is>
          <t>WraithwoodForest</t>
        </is>
      </c>
      <c r="E13" s="77" t="inlineStr">
        <is>
          <t>Split 3</t>
        </is>
      </c>
      <c r="F13" s="77" t="inlineStr">
        <is>
          <t>Jolly</t>
        </is>
      </c>
      <c r="G13" s="77" t="n">
        <v>0</v>
      </c>
      <c r="H13" s="77" t="inlineStr">
        <is>
          <t>31 all</t>
        </is>
      </c>
      <c r="I13" s="77" t="n"/>
      <c r="J13" s="77" t="inlineStr">
        <is>
          <t>Poison Jab, Slash, Bite, Pin Missile</t>
        </is>
      </c>
      <c r="K13" s="77" t="inlineStr">
        <is>
          <t>-</t>
        </is>
      </c>
    </row>
    <row r="14">
      <c r="A14" s="32" t="inlineStr">
        <is>
          <t>In-game Trade</t>
        </is>
      </c>
      <c r="B14" s="32" t="inlineStr">
        <is>
          <t>Seedot</t>
        </is>
      </c>
      <c r="C14" s="32" t="inlineStr">
        <is>
          <t>Same as given</t>
        </is>
      </c>
      <c r="D14" s="32" t="inlineStr">
        <is>
          <t>RustboroCity_House1</t>
        </is>
      </c>
      <c r="E14" s="32" t="inlineStr">
        <is>
          <t>Split 2</t>
        </is>
      </c>
      <c r="F14" s="32" t="inlineStr">
        <is>
          <t>Relaxed</t>
        </is>
      </c>
      <c r="G14" s="32" t="n">
        <v>1</v>
      </c>
      <c r="H14" s="32" t="inlineStr">
        <is>
          <t>5, 4, 5, 4, 4, 4</t>
        </is>
      </c>
      <c r="I14" s="32" t="inlineStr">
        <is>
          <t>Chesto Berry</t>
        </is>
      </c>
      <c r="J14" s="32" t="inlineStr">
        <is>
          <t>Nickname DOTS, OT KOBE</t>
        </is>
      </c>
      <c r="K14" s="32" t="inlineStr">
        <is>
          <t>Ralts</t>
        </is>
      </c>
    </row>
    <row r="15">
      <c r="A15" s="77" t="inlineStr">
        <is>
          <t>In-game Trade</t>
        </is>
      </c>
      <c r="B15" s="77" t="inlineStr">
        <is>
          <t>Plusle</t>
        </is>
      </c>
      <c r="C15" s="77" t="inlineStr">
        <is>
          <t>Same as given</t>
        </is>
      </c>
      <c r="D15" s="77" t="inlineStr">
        <is>
          <t>FortreeCity_House1</t>
        </is>
      </c>
      <c r="E15" s="77" t="inlineStr">
        <is>
          <t>Split 6</t>
        </is>
      </c>
      <c r="F15" s="77" t="inlineStr">
        <is>
          <t>Hasty</t>
        </is>
      </c>
      <c r="G15" s="77" t="n">
        <v>0</v>
      </c>
      <c r="H15" s="77" t="inlineStr">
        <is>
          <t>4, 4, 4, 5, 5, 4</t>
        </is>
      </c>
      <c r="I15" s="77" t="inlineStr">
        <is>
          <t>Wood Mail</t>
        </is>
      </c>
      <c r="J15" s="77" t="inlineStr">
        <is>
          <t>Nickname PLUSES, OT ROMAN</t>
        </is>
      </c>
      <c r="K15" s="77" t="inlineStr">
        <is>
          <t>Volbeat</t>
        </is>
      </c>
    </row>
    <row r="16">
      <c r="A16" s="32" t="inlineStr">
        <is>
          <t>In-game Trade</t>
        </is>
      </c>
      <c r="B16" s="32" t="inlineStr">
        <is>
          <t>Horsea</t>
        </is>
      </c>
      <c r="C16" s="32" t="inlineStr">
        <is>
          <t>Same as given</t>
        </is>
      </c>
      <c r="D16" s="32" t="inlineStr">
        <is>
          <t>PacifidlogTown_House3</t>
        </is>
      </c>
      <c r="E16" s="32" t="inlineStr">
        <is>
          <t>Unassigned</t>
        </is>
      </c>
      <c r="F16" s="32" t="inlineStr">
        <is>
          <t>Brave</t>
        </is>
      </c>
      <c r="G16" s="32" t="n">
        <v>0</v>
      </c>
      <c r="H16" s="32" t="inlineStr">
        <is>
          <t>5, 4, 4, 4, 5, 4</t>
        </is>
      </c>
      <c r="I16" s="32" t="inlineStr">
        <is>
          <t>Wave Mail</t>
        </is>
      </c>
      <c r="J16" s="32" t="inlineStr">
        <is>
          <t>Nickname SEASOR, OT SKYLAR</t>
        </is>
      </c>
      <c r="K16" s="32" t="inlineStr">
        <is>
          <t>Bagon</t>
        </is>
      </c>
    </row>
    <row r="17">
      <c r="A17" s="77" t="inlineStr">
        <is>
          <t>In-game Trade</t>
        </is>
      </c>
      <c r="B17" s="77" t="inlineStr">
        <is>
          <t>Meowth</t>
        </is>
      </c>
      <c r="C17" s="77" t="inlineStr">
        <is>
          <t>Same as given</t>
        </is>
      </c>
      <c r="D17" s="77" t="inlineStr">
        <is>
          <t>BattleFrontier_Lounge6</t>
        </is>
      </c>
      <c r="E17" s="77" t="inlineStr">
        <is>
          <t>Postgame</t>
        </is>
      </c>
      <c r="F17" s="77" t="inlineStr">
        <is>
          <t>Naive</t>
        </is>
      </c>
      <c r="G17" s="77" t="n">
        <v>0</v>
      </c>
      <c r="H17" s="77" t="inlineStr">
        <is>
          <t>4, 5, 4, 5, 4, 4</t>
        </is>
      </c>
      <c r="I17" s="77" t="inlineStr">
        <is>
          <t>Retro Mail</t>
        </is>
      </c>
      <c r="J17" s="77" t="inlineStr">
        <is>
          <t>Nickname MEOWOW, OT ISIS</t>
        </is>
      </c>
      <c r="K17" s="77" t="inlineStr">
        <is>
          <t>Skitty</t>
        </is>
      </c>
    </row>
    <row r="18">
      <c r="A18" s="32" t="inlineStr">
        <is>
          <t>In-game Trade</t>
        </is>
      </c>
      <c r="B18" s="32" t="inlineStr">
        <is>
          <t>Geodude</t>
        </is>
      </c>
      <c r="C18" s="32" t="n">
        <v>5</v>
      </c>
      <c r="D18" s="32" t="inlineStr">
        <is>
          <t>PetalburgCity</t>
        </is>
      </c>
      <c r="E18" s="32" t="inlineStr">
        <is>
          <t>Split 1</t>
        </is>
      </c>
      <c r="F18" s="32" t="inlineStr">
        <is>
          <t>Relaxed</t>
        </is>
      </c>
      <c r="G18" s="32" t="n">
        <v>0</v>
      </c>
      <c r="H18" s="32" t="inlineStr">
        <is>
          <t>31, 31, 31, 31, 31, 31</t>
        </is>
      </c>
      <c r="I18" s="32" t="n"/>
      <c r="J18" s="32" t="inlineStr">
        <is>
          <t>Nickname GEODUDE, OT DUSTIN; random 50/50 with Rhyhorn, once only</t>
        </is>
      </c>
      <c r="K18" s="32" t="inlineStr">
        <is>
          <t>Any Pokemon</t>
        </is>
      </c>
    </row>
    <row r="19">
      <c r="A19" s="77" t="inlineStr">
        <is>
          <t>In-game Trade</t>
        </is>
      </c>
      <c r="B19" s="77" t="inlineStr">
        <is>
          <t>Rhyhorn</t>
        </is>
      </c>
      <c r="C19" s="77" t="n">
        <v>5</v>
      </c>
      <c r="D19" s="77" t="inlineStr">
        <is>
          <t>PetalburgCity</t>
        </is>
      </c>
      <c r="E19" s="77" t="inlineStr">
        <is>
          <t>Split 1</t>
        </is>
      </c>
      <c r="F19" s="77" t="inlineStr">
        <is>
          <t>Relaxed</t>
        </is>
      </c>
      <c r="G19" s="77" t="n">
        <v>0</v>
      </c>
      <c r="H19" s="77" t="inlineStr">
        <is>
          <t>31, 31, 31, 31, 31, 31</t>
        </is>
      </c>
      <c r="I19" s="77" t="n"/>
      <c r="J19" s="77" t="inlineStr">
        <is>
          <t>Nickname RHYHORN, OT DUSTIN; random 50/50 with Geodude, once only</t>
        </is>
      </c>
      <c r="K19" s="77" t="inlineStr">
        <is>
          <t>Any Pokemon</t>
        </is>
      </c>
    </row>
  </sheetData>
  <autoFilter ref="A1:K1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TM46</t>
        </is>
      </c>
      <c r="B2" s="32" t="inlineStr">
        <is>
          <t>Thief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(20, 61)</t>
        </is>
      </c>
    </row>
    <row r="3">
      <c r="A3" s="77" t="inlineStr">
        <is>
          <t>TM09</t>
        </is>
      </c>
      <c r="B3" s="77" t="inlineStr">
        <is>
          <t>Bullet Seed</t>
        </is>
      </c>
      <c r="C3" s="77" t="inlineStr">
        <is>
          <t>NPC gift (boy), x2</t>
        </is>
      </c>
      <c r="D3" s="77" t="inlineStr">
        <is>
          <t>Route 104</t>
        </is>
      </c>
      <c r="E3" s="77" t="inlineStr">
        <is>
          <t>Split 1</t>
        </is>
      </c>
      <c r="F3" s="77" t="inlineStr">
        <is>
          <t>North end of Route 104 South</t>
        </is>
      </c>
      <c r="G3" s="77" t="n"/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(36, 33)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 (Trainer School student), x2</t>
        </is>
      </c>
      <c r="D9" s="77" t="inlineStr">
        <is>
          <t>Rustboro City - Pokemon School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TM54</t>
        </is>
      </c>
      <c r="B10" s="32" t="inlineStr">
        <is>
          <t>Grass Knot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n"/>
      <c r="G10" s="32" t="inlineStr">
        <is>
          <t>(32, 11)</t>
        </is>
      </c>
    </row>
    <row r="11">
      <c r="A11" s="77" t="inlineStr">
        <is>
          <t>TM39</t>
        </is>
      </c>
      <c r="B11" s="77" t="inlineStr">
        <is>
          <t>Rock Tomb</t>
        </is>
      </c>
      <c r="C11" s="77" t="inlineStr">
        <is>
          <t>Gym reward (Roxanne), x2</t>
        </is>
      </c>
      <c r="D11" s="77" t="inlineStr">
        <is>
          <t>Rustboro City - Gym</t>
        </is>
      </c>
      <c r="E11" s="77" t="inlineStr">
        <is>
          <t>Split 2</t>
        </is>
      </c>
      <c r="F11" s="77" t="n"/>
      <c r="G11" s="77" t="n"/>
    </row>
    <row r="12">
      <c r="A12" s="32" t="inlineStr">
        <is>
          <t>TM52</t>
        </is>
      </c>
      <c r="B12" s="32" t="inlineStr">
        <is>
          <t>Aurora Beam</t>
        </is>
      </c>
      <c r="C12" s="32" t="inlineStr">
        <is>
          <t>Item Ball</t>
        </is>
      </c>
      <c r="D12" s="32" t="inlineStr">
        <is>
          <t>Route 106</t>
        </is>
      </c>
      <c r="E12" s="32" t="inlineStr">
        <is>
          <t>Split 3</t>
        </is>
      </c>
      <c r="F12" s="32" t="n"/>
      <c r="G12" s="32" t="inlineStr">
        <is>
          <t>(34, 12)</t>
        </is>
      </c>
    </row>
    <row r="13">
      <c r="A13" s="77" t="inlineStr">
        <is>
          <t>TM52</t>
        </is>
      </c>
      <c r="B13" s="77" t="inlineStr">
        <is>
          <t>Aurora Beam</t>
        </is>
      </c>
      <c r="C13" s="77" t="inlineStr">
        <is>
          <t>Item Ball</t>
        </is>
      </c>
      <c r="D13" s="77" t="inlineStr">
        <is>
          <t>Granite Cave - B2F</t>
        </is>
      </c>
      <c r="E13" s="77" t="inlineStr">
        <is>
          <t>Split 3</t>
        </is>
      </c>
      <c r="F13" s="77" t="n"/>
      <c r="G13" s="77" t="inlineStr">
        <is>
          <t>(30, 6)</t>
        </is>
      </c>
    </row>
    <row r="14">
      <c r="A14" s="32" t="inlineStr">
        <is>
          <t>TM70</t>
        </is>
      </c>
      <c r="B14" s="32" t="inlineStr">
        <is>
          <t>Flame Charge</t>
        </is>
      </c>
      <c r="C14" s="32" t="inlineStr">
        <is>
          <t>Item Ball</t>
        </is>
      </c>
      <c r="D14" s="32" t="inlineStr">
        <is>
          <t>Granite Cave - B2F</t>
        </is>
      </c>
      <c r="E14" s="32" t="inlineStr">
        <is>
          <t>Split 3</t>
        </is>
      </c>
      <c r="F14" s="32" t="n"/>
      <c r="G14" s="32" t="inlineStr">
        <is>
          <t>(21, 11)</t>
        </is>
      </c>
    </row>
    <row r="15">
      <c r="A15" s="77" t="inlineStr">
        <is>
          <t>TM55</t>
        </is>
      </c>
      <c r="B15" s="77" t="inlineStr">
        <is>
          <t>Sleep Talk</t>
        </is>
      </c>
      <c r="C15" s="77" t="inlineStr">
        <is>
          <t>Item Ball</t>
        </is>
      </c>
      <c r="D15" s="77" t="inlineStr">
        <is>
          <t>Mauville City</t>
        </is>
      </c>
      <c r="E15" s="77" t="inlineStr">
        <is>
          <t>Split 4</t>
        </is>
      </c>
      <c r="F15" s="77" t="n"/>
      <c r="G15" s="77" t="inlineStr">
        <is>
          <t>(33, 17)</t>
        </is>
      </c>
    </row>
    <row r="16">
      <c r="A16" s="32" t="inlineStr">
        <is>
          <t>TM58</t>
        </is>
      </c>
      <c r="B16" s="32" t="inlineStr">
        <is>
          <t>Payback</t>
        </is>
      </c>
      <c r="C16" s="32" t="inlineStr">
        <is>
          <t>Item Ball</t>
        </is>
      </c>
      <c r="D16" s="32" t="inlineStr">
        <is>
          <t>Route 117</t>
        </is>
      </c>
      <c r="E16" s="32" t="inlineStr">
        <is>
          <t>Split 4</t>
        </is>
      </c>
      <c r="F16" s="32" t="n"/>
      <c r="G16" s="32" t="inlineStr">
        <is>
          <t>(5, 9)</t>
        </is>
      </c>
    </row>
    <row r="17">
      <c r="A17" s="77" t="inlineStr">
        <is>
          <t>TM13</t>
        </is>
      </c>
      <c r="B17" s="77" t="inlineStr">
        <is>
          <t>Ice Beam</t>
        </is>
      </c>
      <c r="C17" s="77" t="inlineStr">
        <is>
          <t>Item Ball</t>
        </is>
      </c>
      <c r="D17" s="77" t="inlineStr">
        <is>
          <t>Abandoned Ship - Room - B1F</t>
        </is>
      </c>
      <c r="E17" s="77" t="inlineStr">
        <is>
          <t>Split 4</t>
        </is>
      </c>
      <c r="F17" s="77" t="n"/>
      <c r="G17" s="77" t="inlineStr">
        <is>
          <t>(4, 4)</t>
        </is>
      </c>
    </row>
    <row r="18">
      <c r="A18" s="32" t="inlineStr">
        <is>
          <t>TM18</t>
        </is>
      </c>
      <c r="B18" s="32" t="inlineStr">
        <is>
          <t>Rain Dance</t>
        </is>
      </c>
      <c r="C18" s="32" t="inlineStr">
        <is>
          <t>Item Ball</t>
        </is>
      </c>
      <c r="D18" s="32" t="inlineStr">
        <is>
          <t>Abandoned Ship - Hidden Floor Rooms</t>
        </is>
      </c>
      <c r="E18" s="32" t="inlineStr">
        <is>
          <t>Split 4</t>
        </is>
      </c>
      <c r="F18" s="32" t="n"/>
      <c r="G18" s="32" t="inlineStr">
        <is>
          <t>(5, 11)</t>
        </is>
      </c>
    </row>
    <row r="19">
      <c r="A19" s="77" t="inlineStr">
        <is>
          <t>TM62</t>
        </is>
      </c>
      <c r="B19" s="77" t="inlineStr">
        <is>
          <t>Wild Charge</t>
        </is>
      </c>
      <c r="C19" s="77" t="inlineStr">
        <is>
          <t>Item Ball</t>
        </is>
      </c>
      <c r="D19" s="77" t="inlineStr">
        <is>
          <t>New Mauville - Inside</t>
        </is>
      </c>
      <c r="E19" s="77" t="inlineStr">
        <is>
          <t>Split 4</t>
        </is>
      </c>
      <c r="F19" s="77" t="n"/>
      <c r="G19" s="77" t="inlineStr">
        <is>
          <t>(37, 24)</t>
        </is>
      </c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n"/>
      <c r="G20" s="32" t="inlineStr">
        <is>
          <t>(30, 92)</t>
        </is>
      </c>
    </row>
    <row r="21">
      <c r="A21" s="77" t="inlineStr">
        <is>
          <t>TM06</t>
        </is>
      </c>
      <c r="B21" s="77" t="inlineStr">
        <is>
          <t>Toxic</t>
        </is>
      </c>
      <c r="C21" s="77" t="inlineStr">
        <is>
          <t>Item Ball</t>
        </is>
      </c>
      <c r="D21" s="77" t="inlineStr">
        <is>
          <t>Fiery Path</t>
        </is>
      </c>
      <c r="E21" s="77" t="inlineStr">
        <is>
          <t>Split 5</t>
        </is>
      </c>
      <c r="F21" s="77" t="n"/>
      <c r="G21" s="77" t="inlineStr">
        <is>
          <t>(8, 3)</t>
        </is>
      </c>
    </row>
    <row r="22">
      <c r="A22" s="32" t="inlineStr">
        <is>
          <t>TM32</t>
        </is>
      </c>
      <c r="B22" s="32" t="inlineStr">
        <is>
          <t>Double Team</t>
        </is>
      </c>
      <c r="C22" s="32" t="inlineStr">
        <is>
          <t>Hidden</t>
        </is>
      </c>
      <c r="D22" s="32" t="inlineStr">
        <is>
          <t>Route 113</t>
        </is>
      </c>
      <c r="E22" s="32" t="inlineStr">
        <is>
          <t>Split 5</t>
        </is>
      </c>
      <c r="F22" s="32" t="n"/>
      <c r="G22" s="32" t="inlineStr">
        <is>
          <t>(22, 5)</t>
        </is>
      </c>
    </row>
    <row r="23">
      <c r="A23" s="77" t="inlineStr">
        <is>
          <t>TM60</t>
        </is>
      </c>
      <c r="B23" s="77" t="inlineStr">
        <is>
          <t>Embargo</t>
        </is>
      </c>
      <c r="C23" s="77" t="inlineStr">
        <is>
          <t>Item Ball</t>
        </is>
      </c>
      <c r="D23" s="77" t="inlineStr">
        <is>
          <t>Fallarbor Town</t>
        </is>
      </c>
      <c r="E23" s="77" t="inlineStr">
        <is>
          <t>Split 5</t>
        </is>
      </c>
      <c r="F23" s="77" t="n"/>
      <c r="G23" s="77" t="inlineStr">
        <is>
          <t>(16, 10)</t>
        </is>
      </c>
    </row>
    <row r="24">
      <c r="A24" s="32" t="inlineStr">
        <is>
          <t>TM61</t>
        </is>
      </c>
      <c r="B24" s="32" t="inlineStr">
        <is>
          <t>Scald</t>
        </is>
      </c>
      <c r="C24" s="32" t="inlineStr">
        <is>
          <t>Item Ball</t>
        </is>
      </c>
      <c r="D24" s="32" t="inlineStr">
        <is>
          <t>Route 119</t>
        </is>
      </c>
      <c r="E24" s="32" t="inlineStr">
        <is>
          <t>Split 6</t>
        </is>
      </c>
      <c r="F24" s="32" t="n"/>
      <c r="G24" s="32" t="inlineStr">
        <is>
          <t>(13, 105)</t>
        </is>
      </c>
    </row>
    <row r="25">
      <c r="A25" s="77" t="inlineStr">
        <is>
          <t>TM11</t>
        </is>
      </c>
      <c r="B25" s="77" t="inlineStr">
        <is>
          <t>Sunny Day</t>
        </is>
      </c>
      <c r="C25" s="77" t="inlineStr">
        <is>
          <t>Item Ball</t>
        </is>
      </c>
      <c r="D25" s="77" t="inlineStr">
        <is>
          <t>Scorched Slab</t>
        </is>
      </c>
      <c r="E25" s="77" t="inlineStr">
        <is>
          <t>Split 6</t>
        </is>
      </c>
      <c r="F25" s="77" t="n"/>
      <c r="G25" s="77" t="inlineStr">
        <is>
          <t>(7, 5)</t>
        </is>
      </c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n"/>
      <c r="G26" s="32" t="inlineStr">
        <is>
          <t>(28, 90)</t>
        </is>
      </c>
    </row>
    <row r="27">
      <c r="A27" s="77" t="inlineStr">
        <is>
          <t>TM14</t>
        </is>
      </c>
      <c r="B27" s="77" t="inlineStr">
        <is>
          <t>Blizzard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TM15</t>
        </is>
      </c>
      <c r="B28" s="32" t="inlineStr">
        <is>
          <t>Hyper Beam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TM16</t>
        </is>
      </c>
      <c r="B29" s="77" t="inlineStr">
        <is>
          <t>Light Screen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TM17</t>
        </is>
      </c>
      <c r="B30" s="32" t="inlineStr">
        <is>
          <t>Protect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TM20</t>
        </is>
      </c>
      <c r="B31" s="77" t="inlineStr">
        <is>
          <t>Safeguard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TM25</t>
        </is>
      </c>
      <c r="B32" s="32" t="inlineStr">
        <is>
          <t>Thunder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TM33</t>
        </is>
      </c>
      <c r="B33" s="77" t="inlineStr">
        <is>
          <t>Reflect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TM38</t>
        </is>
      </c>
      <c r="B34" s="32" t="inlineStr">
        <is>
          <t>Fire Blast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n"/>
      <c r="G34" s="32" t="inlineStr">
        <is>
          <t>-</t>
        </is>
      </c>
    </row>
    <row r="35">
      <c r="A35" s="77" t="inlineStr">
        <is>
          <t>TM30</t>
        </is>
      </c>
      <c r="B35" s="77" t="inlineStr">
        <is>
          <t>Shadow Ball</t>
        </is>
      </c>
      <c r="C35" s="77" t="inlineStr">
        <is>
          <t>Item Ball</t>
        </is>
      </c>
      <c r="D35" s="77" t="inlineStr">
        <is>
          <t>Mt Pyre - 6F</t>
        </is>
      </c>
      <c r="E35" s="77" t="inlineStr">
        <is>
          <t>Split 7</t>
        </is>
      </c>
      <c r="F35" s="77" t="n"/>
      <c r="G35" s="77" t="inlineStr">
        <is>
          <t>(6, 9)</t>
        </is>
      </c>
    </row>
    <row r="36">
      <c r="A36" s="32" t="inlineStr">
        <is>
          <t>TM48</t>
        </is>
      </c>
      <c r="B36" s="32" t="inlineStr">
        <is>
          <t>Skill Swap</t>
        </is>
      </c>
      <c r="C36" s="32" t="inlineStr">
        <is>
          <t>Item Ball</t>
        </is>
      </c>
      <c r="D36" s="32" t="inlineStr">
        <is>
          <t>Mt Pyre - Exterior</t>
        </is>
      </c>
      <c r="E36" s="32" t="inlineStr">
        <is>
          <t>Split 7</t>
        </is>
      </c>
      <c r="F36" s="32" t="n"/>
      <c r="G36" s="32" t="inlineStr">
        <is>
          <t>(19, 40)</t>
        </is>
      </c>
    </row>
    <row r="37">
      <c r="A37" s="77" t="inlineStr">
        <is>
          <t>TM56</t>
        </is>
      </c>
      <c r="B37" s="77" t="inlineStr">
        <is>
          <t>Shadow Claw</t>
        </is>
      </c>
      <c r="C37" s="77" t="inlineStr">
        <is>
          <t>Item Ball</t>
        </is>
      </c>
      <c r="D37" s="77" t="inlineStr">
        <is>
          <t>Mt Pyre - 1F</t>
        </is>
      </c>
      <c r="E37" s="77" t="inlineStr">
        <is>
          <t>Split 7</t>
        </is>
      </c>
      <c r="F37" s="77" t="n"/>
      <c r="G37" s="77" t="inlineStr">
        <is>
          <t>(14, 8)</t>
        </is>
      </c>
    </row>
    <row r="38">
      <c r="A38" s="32" t="inlineStr">
        <is>
          <t>TM63</t>
        </is>
      </c>
      <c r="B38" s="32" t="inlineStr">
        <is>
          <t>Dazzling Gleam</t>
        </is>
      </c>
      <c r="C38" s="32" t="inlineStr">
        <is>
          <t>Item Ball</t>
        </is>
      </c>
      <c r="D38" s="32" t="inlineStr">
        <is>
          <t>Mossdeep City</t>
        </is>
      </c>
      <c r="E38" s="32" t="inlineStr">
        <is>
          <t>Split 7</t>
        </is>
      </c>
      <c r="F38" s="32" t="n"/>
      <c r="G38" s="32" t="inlineStr">
        <is>
          <t>(55, 30)</t>
        </is>
      </c>
    </row>
    <row r="39">
      <c r="A39" s="77" t="inlineStr">
        <is>
          <t>TM07</t>
        </is>
      </c>
      <c r="B39" s="77" t="inlineStr">
        <is>
          <t>Hail</t>
        </is>
      </c>
      <c r="C39" s="77" t="inlineStr">
        <is>
          <t>Item Ball</t>
        </is>
      </c>
      <c r="D39" s="77" t="inlineStr">
        <is>
          <t>Shoal Cave - Low Tide Ice Room</t>
        </is>
      </c>
      <c r="E39" s="77" t="inlineStr">
        <is>
          <t>Split 7</t>
        </is>
      </c>
      <c r="F39" s="77" t="n"/>
      <c r="G39" s="77" t="inlineStr">
        <is>
          <t>(12, 8)</t>
        </is>
      </c>
    </row>
    <row r="40">
      <c r="A40" s="32" t="inlineStr">
        <is>
          <t>TM26</t>
        </is>
      </c>
      <c r="B40" s="32" t="inlineStr">
        <is>
          <t>Earthquake</t>
        </is>
      </c>
      <c r="C40" s="32" t="inlineStr">
        <is>
          <t>Item Ball</t>
        </is>
      </c>
      <c r="D40" s="32" t="inlineStr">
        <is>
          <t>Seafloor Cavern - Room 9</t>
        </is>
      </c>
      <c r="E40" s="32" t="inlineStr">
        <is>
          <t>Split 8</t>
        </is>
      </c>
      <c r="F40" s="32" t="n"/>
      <c r="G40" s="32" t="inlineStr">
        <is>
          <t>(14, 5)</t>
        </is>
      </c>
    </row>
    <row r="41">
      <c r="A41" s="77" t="inlineStr">
        <is>
          <t>TM66</t>
        </is>
      </c>
      <c r="B41" s="77" t="inlineStr">
        <is>
          <t>Volt Switch</t>
        </is>
      </c>
      <c r="C41" s="77" t="inlineStr">
        <is>
          <t>Item Ball</t>
        </is>
      </c>
      <c r="D41" s="77" t="inlineStr">
        <is>
          <t>Sootopolis City</t>
        </is>
      </c>
      <c r="E41" s="77" t="inlineStr">
        <is>
          <t>Split 8</t>
        </is>
      </c>
      <c r="F41" s="77" t="n"/>
      <c r="G41" s="77" t="inlineStr">
        <is>
          <t>(28, 22)</t>
        </is>
      </c>
    </row>
    <row r="42">
      <c r="A42" s="32" t="inlineStr">
        <is>
          <t>TM29</t>
        </is>
      </c>
      <c r="B42" s="32" t="inlineStr">
        <is>
          <t>Psychic</t>
        </is>
      </c>
      <c r="C42" s="32" t="inlineStr">
        <is>
          <t>Item Ball</t>
        </is>
      </c>
      <c r="D42" s="32" t="inlineStr">
        <is>
          <t>Victory Road - B1F</t>
        </is>
      </c>
      <c r="E42" s="32" t="inlineStr">
        <is>
          <t>Elite Four &amp; Champion</t>
        </is>
      </c>
      <c r="F42" s="32" t="n"/>
      <c r="G42" s="32" t="inlineStr">
        <is>
          <t>(42, 8)</t>
        </is>
      </c>
    </row>
    <row r="43">
      <c r="A43" s="77" t="inlineStr">
        <is>
          <t>TM22</t>
        </is>
      </c>
      <c r="B43" s="77" t="inlineStr">
        <is>
          <t>Solar Beam</t>
        </is>
      </c>
      <c r="C43" s="77" t="inlineStr">
        <is>
          <t>Item Ball</t>
        </is>
      </c>
      <c r="D43" s="77" t="inlineStr">
        <is>
          <t>Safari Zone - Northwest</t>
        </is>
      </c>
      <c r="E43" s="77" t="inlineStr">
        <is>
          <t>Postgame</t>
        </is>
      </c>
      <c r="F43" s="77" t="n"/>
      <c r="G43" s="77" t="inlineStr">
        <is>
          <t>(33, 7)</t>
        </is>
      </c>
    </row>
    <row r="44">
      <c r="A44" s="32" t="inlineStr">
        <is>
          <t>TM69</t>
        </is>
      </c>
      <c r="B44" s="32" t="inlineStr">
        <is>
          <t>Work Up</t>
        </is>
      </c>
      <c r="C44" s="32" t="inlineStr">
        <is>
          <t>Item Ball</t>
        </is>
      </c>
      <c r="D44" s="32" t="inlineStr">
        <is>
          <t>Trainer Grove</t>
        </is>
      </c>
      <c r="E44" s="32" t="inlineStr">
        <is>
          <t>Unassigned</t>
        </is>
      </c>
      <c r="F44" s="32" t="n"/>
      <c r="G44" s="32" t="inlineStr">
        <is>
          <t>(5, 15)</t>
        </is>
      </c>
    </row>
    <row r="45">
      <c r="A45" s="77" t="inlineStr">
        <is>
          <t>TM02</t>
        </is>
      </c>
      <c r="B45" s="77" t="inlineStr">
        <is>
          <t>Dragon Claw</t>
        </is>
      </c>
      <c r="C45" s="77" t="inlineStr">
        <is>
          <t>Item Ball</t>
        </is>
      </c>
      <c r="D45" s="77" t="inlineStr">
        <is>
          <t>Meteor Falls - B1F - 2R</t>
        </is>
      </c>
      <c r="E45" s="77" t="inlineStr">
        <is>
          <t>Unassigned</t>
        </is>
      </c>
      <c r="F45" s="77" t="n"/>
      <c r="G45" s="77" t="inlineStr">
        <is>
          <t>(5, 3)</t>
        </is>
      </c>
    </row>
    <row r="46">
      <c r="A46" s="32" t="inlineStr">
        <is>
          <t>TM23</t>
        </is>
      </c>
      <c r="B46" s="32" t="inlineStr">
        <is>
          <t>Iron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(2, 4)</t>
        </is>
      </c>
    </row>
    <row r="47">
      <c r="A47" s="77" t="inlineStr">
        <is>
          <t>TM64</t>
        </is>
      </c>
      <c r="B47" s="77" t="inlineStr">
        <is>
          <t>Dragon Tail</t>
        </is>
      </c>
      <c r="C47" s="77" t="inlineStr">
        <is>
          <t>Item Ball</t>
        </is>
      </c>
      <c r="D47" s="77" t="inlineStr">
        <is>
          <t>Meteor Falls - 1F - 1R</t>
        </is>
      </c>
      <c r="E47" s="77" t="inlineStr">
        <is>
          <t>Unassigned</t>
        </is>
      </c>
      <c r="F47" s="77" t="n"/>
      <c r="G47" s="77" t="inlineStr">
        <is>
          <t>(19, 23)</t>
        </is>
      </c>
    </row>
    <row r="48">
      <c r="A48" s="32" t="inlineStr">
        <is>
          <t>TM34</t>
        </is>
      </c>
      <c r="B48" s="32" t="inlineStr">
        <is>
          <t>Shock Wave</t>
        </is>
      </c>
      <c r="C48" s="32" t="inlineStr">
        <is>
          <t>Item Ball</t>
        </is>
      </c>
      <c r="D48" s="32" t="inlineStr">
        <is>
          <t>Route 115</t>
        </is>
      </c>
      <c r="E48" s="32" t="inlineStr">
        <is>
          <t>Unassigned</t>
        </is>
      </c>
      <c r="F48" s="32" t="n"/>
      <c r="G48" s="32" t="inlineStr">
        <is>
          <t>(9, 60)</t>
        </is>
      </c>
    </row>
  </sheetData>
  <autoFilter ref="A1:G4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Granite Cave - B2F (Split 3, Item Ball); 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inlineStr">
        <is>
          <t>Route 116 (Split 2, Item Ball)</t>
        </is>
      </c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116 (Split 2, NPC gift (Cooltrainer Cole, after the double battle))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Ball); Route 115 (Unassigned,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n"/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n"/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Granite Cave - B1F (Split 3,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Verdanturf Town - Mart (Split 4, Mart); Route 120 (Split 7, Item Ball); Aqua Hideout - B2F (Split 7, Item Ball)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inlineStr">
        <is>
          <t>Petalburg Coast (Split 1, Item Ball)</t>
        </is>
      </c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inlineStr">
        <is>
          <t>Viridian Forest (Split 1, Hidden)</t>
        </is>
      </c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TM67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Resisting, the user attacks and lowers the foe's Sp. Atk.</t>
        </is>
      </c>
      <c r="F517" s="77" t="n"/>
    </row>
    <row r="518">
      <c r="A518" s="7" t="inlineStr">
        <is>
          <t>TM68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Strikes the target with wings spread wide.</t>
        </is>
      </c>
      <c r="F518" s="32" t="n"/>
    </row>
    <row r="519">
      <c r="A519" s="80" t="inlineStr">
        <is>
          <t>TM69</t>
        </is>
      </c>
      <c r="B519" s="30" t="inlineStr">
        <is>
          <t>TMs &amp; HMs</t>
        </is>
      </c>
      <c r="C519" s="30" t="n">
        <v>3000</v>
      </c>
      <c r="D519" s="30" t="inlineStr">
        <is>
          <t>-</t>
        </is>
      </c>
      <c r="E519" s="77" t="inlineStr">
        <is>
          <t>The user is roused. Ups Attack and Sp. Atk.</t>
        </is>
      </c>
      <c r="F519" s="77" t="n"/>
    </row>
    <row r="520">
      <c r="A520" s="7" t="inlineStr">
        <is>
          <t>TM70</t>
        </is>
      </c>
      <c r="B520" s="6" t="inlineStr">
        <is>
          <t>TMs &amp; HMs</t>
        </is>
      </c>
      <c r="C520" s="6" t="n">
        <v>3000</v>
      </c>
      <c r="D520" s="6" t="inlineStr">
        <is>
          <t>-</t>
        </is>
      </c>
      <c r="E520" s="32" t="inlineStr">
        <is>
          <t>Cloaks in flame and attacks. Raises Speed.</t>
        </is>
      </c>
      <c r="F520" s="32" t="n"/>
    </row>
    <row r="521">
      <c r="A521" s="80" t="inlineStr">
        <is>
          <t>HM01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Attacks the foe with sharp blades or claws.</t>
        </is>
      </c>
      <c r="F521" s="77" t="n"/>
    </row>
    <row r="522">
      <c r="A522" s="7" t="inlineStr">
        <is>
          <t>HM02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Flies up on the first turn, then attacks next turn.</t>
        </is>
      </c>
      <c r="F522" s="32" t="n"/>
    </row>
    <row r="523">
      <c r="A523" s="80" t="inlineStr">
        <is>
          <t>HM03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Creates a huge wave, then crashes it down on the foe.</t>
        </is>
      </c>
      <c r="F523" s="77" t="n"/>
    </row>
    <row r="524">
      <c r="A524" s="7" t="inlineStr">
        <is>
          <t>HM04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Builds enormous power, then slams the foe.</t>
        </is>
      </c>
      <c r="F524" s="32" t="n"/>
    </row>
    <row r="525">
      <c r="A525" s="80" t="inlineStr">
        <is>
          <t>HM05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Looses a powerful blast of light that reduces accuracy.</t>
        </is>
      </c>
      <c r="F525" s="77" t="n"/>
    </row>
    <row r="526">
      <c r="A526" s="7" t="inlineStr">
        <is>
          <t>HM06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A rock-crushingly tough attack that may lower Defense.</t>
        </is>
      </c>
      <c r="F526" s="32" t="inlineStr">
        <is>
          <t>Viridian Forest (Split 1, NPC gift (end of forest))</t>
        </is>
      </c>
    </row>
    <row r="527">
      <c r="A527" s="80" t="inlineStr">
        <is>
          <t>HM07</t>
        </is>
      </c>
      <c r="B527" s="30" t="inlineStr">
        <is>
          <t>TMs &amp; HMs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Attacks the foe with enough power to climb waterfalls.</t>
        </is>
      </c>
      <c r="F527" s="77" t="n"/>
    </row>
    <row r="528">
      <c r="A528" s="7" t="inlineStr">
        <is>
          <t>HM08</t>
        </is>
      </c>
      <c r="B528" s="6" t="inlineStr">
        <is>
          <t>TMs &amp; HMs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Dives underwater the 1st turn, then attacks next turn.</t>
        </is>
      </c>
      <c r="F528" s="32" t="n"/>
    </row>
    <row r="529">
      <c r="A529" s="80" t="inlineStr">
        <is>
          <t>Escape Rope</t>
        </is>
      </c>
      <c r="B529" s="30" t="inlineStr">
        <is>
          <t>Key Items</t>
        </is>
      </c>
      <c r="C529" s="30" t="inlineStr">
        <is>
          <t>-</t>
        </is>
      </c>
      <c r="D529" s="30" t="n">
        <v>30</v>
      </c>
      <c r="E529" s="77" t="inlineStr">
        <is>
          <t>Use to escape instantly from a cave or a dungeon.</t>
        </is>
      </c>
      <c r="F529" s="77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30">
      <c r="A530" s="7" t="inlineStr">
        <is>
          <t>Oval Charm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Raises the chance of finding eggs at the daycare.</t>
        </is>
      </c>
      <c r="F530" s="32" t="n"/>
    </row>
    <row r="531">
      <c r="A531" s="80" t="inlineStr">
        <is>
          <t>Shiny Charm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A charm that will raise the chance of Shiny Pokémon.</t>
        </is>
      </c>
      <c r="F531" s="77" t="n"/>
    </row>
    <row r="532">
      <c r="A532" s="7" t="inlineStr">
        <is>
          <t>Gracidea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Bouquets made with it are offered as a token of gratitude.</t>
        </is>
      </c>
      <c r="F532" s="32" t="n"/>
    </row>
    <row r="533">
      <c r="A533" s="80" t="inlineStr">
        <is>
          <t>Reveal Glass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This glass returns a Pokémon back to its original form.</t>
        </is>
      </c>
      <c r="F533" s="77" t="n"/>
    </row>
    <row r="534">
      <c r="A534" s="7" t="inlineStr">
        <is>
          <t>DNA Splicers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Splicer that fuses Kyurem and a certain Pokémon.</t>
        </is>
      </c>
      <c r="F534" s="32" t="n"/>
    </row>
    <row r="535">
      <c r="A535" s="80" t="inlineStr">
        <is>
          <t>Prison Bottle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bottle used to seal a certain Pokémon long ago.</t>
        </is>
      </c>
      <c r="F535" s="77" t="n"/>
    </row>
    <row r="536">
      <c r="A536" s="7" t="inlineStr">
        <is>
          <t>Mega Ring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Enables {PKMN} holding their Mega Stone to Mega Evolve.</t>
        </is>
      </c>
      <c r="F536" s="32" t="n"/>
    </row>
    <row r="537">
      <c r="A537" s="80" t="inlineStr">
        <is>
          <t>Bicycle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folding bicycle that is faster than the Running Shoes.</t>
        </is>
      </c>
      <c r="F537" s="77" t="n"/>
    </row>
    <row r="538">
      <c r="A538" s="7" t="inlineStr">
        <is>
          <t>Mach Bike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A folding bicycle that doubles your speed or better.</t>
        </is>
      </c>
      <c r="F538" s="32" t="n"/>
    </row>
    <row r="539">
      <c r="A539" s="80" t="inlineStr">
        <is>
          <t>Acro Bike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folding bicycle capable of jumps and wheelies.</t>
        </is>
      </c>
      <c r="F539" s="77" t="n"/>
    </row>
    <row r="540">
      <c r="A540" s="7" t="inlineStr">
        <is>
          <t>Old Rod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Use by any body of water to fish for wild Pokémon.</t>
        </is>
      </c>
      <c r="F540" s="32" t="n"/>
    </row>
    <row r="541">
      <c r="A541" s="80" t="inlineStr">
        <is>
          <t>Good Rod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decent fishing rod for catching wild Pokémon.</t>
        </is>
      </c>
      <c r="F541" s="77" t="inlineStr">
        <is>
          <t>Oldale Town (Split 1, NPC gift (Fisherman))</t>
        </is>
      </c>
    </row>
    <row r="542">
      <c r="A542" s="7" t="inlineStr">
        <is>
          <t>Super Rod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The best fishing rod for catching wild Pokémon.</t>
        </is>
      </c>
      <c r="F542" s="32" t="n"/>
    </row>
    <row r="543">
      <c r="A543" s="80" t="inlineStr">
        <is>
          <t>Dowsing Machine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device that signals an invisible item by sound.</t>
        </is>
      </c>
      <c r="F543" s="77" t="n"/>
    </row>
    <row r="544">
      <c r="A544" s="7" t="inlineStr">
        <is>
          <t>Town Map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Can be viewed anytime. Shows your present location.</t>
        </is>
      </c>
      <c r="F544" s="32" t="n"/>
    </row>
    <row r="545">
      <c r="A545" s="80" t="inlineStr">
        <is>
          <t>Vs. Seeker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rechargeable unit that flags battle- ready Trainers.</t>
        </is>
      </c>
      <c r="F545" s="77" t="n"/>
    </row>
    <row r="546">
      <c r="A546" s="7" t="inlineStr">
        <is>
          <t>TM Case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A convenient case that holds TMs and HMs.</t>
        </is>
      </c>
      <c r="F546" s="32" t="n"/>
    </row>
    <row r="547">
      <c r="A547" s="80" t="inlineStr">
        <is>
          <t>Berry Pouch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convenient container that holds Berries.</t>
        </is>
      </c>
      <c r="F547" s="77" t="n"/>
    </row>
    <row r="548">
      <c r="A548" s="7" t="inlineStr">
        <is>
          <t>{PKMN} Box Link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This device grants access to the {PKMN} Storage System.</t>
        </is>
      </c>
      <c r="F548" s="32" t="n"/>
    </row>
    <row r="549">
      <c r="A549" s="80" t="inlineStr">
        <is>
          <t>Coin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that holds up to 9,999 Coins.</t>
        </is>
      </c>
      <c r="F549" s="77" t="n"/>
    </row>
    <row r="550">
      <c r="A550" s="7" t="inlineStr">
        <is>
          <t>Powder Jar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Stores Berry Powder made using a Berry Crusher.</t>
        </is>
      </c>
      <c r="F550" s="32" t="n"/>
    </row>
    <row r="551">
      <c r="A551" s="80" t="inlineStr">
        <is>
          <t>Wailmer Pail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tool used for watering Berries and plants.</t>
        </is>
      </c>
      <c r="F551" s="77" t="n"/>
    </row>
    <row r="552">
      <c r="A552" s="7" t="inlineStr">
        <is>
          <t>Poké Radar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tool used to search out Pokémon hiding in grass.</t>
        </is>
      </c>
      <c r="F552" s="32" t="n"/>
    </row>
    <row r="553">
      <c r="A553" s="80" t="inlineStr">
        <is>
          <t>{POKEBLOCK} Case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case for holding {POKEBLOCK}s made with a Berry Blender.</t>
        </is>
      </c>
      <c r="F553" s="77" t="n"/>
    </row>
    <row r="554">
      <c r="A554" s="7" t="inlineStr">
        <is>
          <t>Soot Sack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A sack used to gather and hold volcanic ash.</t>
        </is>
      </c>
      <c r="F554" s="32" t="n"/>
    </row>
    <row r="555">
      <c r="A555" s="80" t="inlineStr">
        <is>
          <t>Poké Flute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sweet-sounding flute that awakens Pokémon.</t>
        </is>
      </c>
      <c r="F555" s="77" t="n"/>
    </row>
    <row r="556">
      <c r="A556" s="7" t="inlineStr">
        <is>
          <t>Fame Checker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Stores information on famous people for instant recall.</t>
        </is>
      </c>
      <c r="F556" s="32" t="n"/>
    </row>
    <row r="557">
      <c r="A557" s="80" t="inlineStr">
        <is>
          <t>Teachy TV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TV set tuned to an advice program for Trainers.</t>
        </is>
      </c>
      <c r="F557" s="77" t="n"/>
    </row>
    <row r="558">
      <c r="A558" s="7" t="inlineStr">
        <is>
          <t>S.S.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The ticket required for sailing on a ferry.</t>
        </is>
      </c>
      <c r="F558" s="32" t="n"/>
    </row>
    <row r="559">
      <c r="A559" s="80" t="inlineStr">
        <is>
          <t>Eon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The ticket for a ferry to a distant southern island.</t>
        </is>
      </c>
      <c r="F559" s="77" t="n"/>
    </row>
    <row r="560">
      <c r="A560" s="7" t="inlineStr">
        <is>
          <t>Mystic Ticket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ticket required to board the ship to Navel Rock.</t>
        </is>
      </c>
      <c r="F560" s="32" t="n"/>
    </row>
    <row r="561">
      <c r="A561" s="80" t="inlineStr">
        <is>
          <t>Aurora Ticket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ticket required to board the ship to Birth Island.</t>
        </is>
      </c>
      <c r="F561" s="77" t="n"/>
    </row>
    <row r="562">
      <c r="A562" s="7" t="inlineStr">
        <is>
          <t>Old Sea Map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faded sea chart that shows the way to a certain island.</t>
        </is>
      </c>
      <c r="F562" s="32" t="n"/>
    </row>
    <row r="563">
      <c r="A563" s="80" t="inlineStr">
        <is>
          <t>Letter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A letter to Steven from the President of the Devon Corp.</t>
        </is>
      </c>
      <c r="F563" s="77" t="n"/>
    </row>
    <row r="564">
      <c r="A564" s="7" t="inlineStr">
        <is>
          <t>Devon Parts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package that contains Devon's machine parts.</t>
        </is>
      </c>
      <c r="F564" s="32" t="n"/>
    </row>
    <row r="565">
      <c r="A565" s="80" t="inlineStr">
        <is>
          <t>Go-Goggles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Nifty goggles that protect eyes from desert sandstorms.</t>
        </is>
      </c>
      <c r="F565" s="77" t="n"/>
    </row>
    <row r="566">
      <c r="A566" s="7" t="inlineStr">
        <is>
          <t>Devon Scope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by Devon that signals any unseeable Pokémon.</t>
        </is>
      </c>
      <c r="F566" s="32" t="n"/>
    </row>
    <row r="567">
      <c r="A567" s="80" t="inlineStr">
        <is>
          <t>Basement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for New Mauville beneath Mauville City.</t>
        </is>
      </c>
      <c r="F567" s="77" t="n"/>
    </row>
    <row r="568">
      <c r="A568" s="7" t="inlineStr">
        <is>
          <t>Scanner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inlineStr">
        <is>
          <t>A device found inside the Abandoned Ship.</t>
        </is>
      </c>
      <c r="F568" s="32" t="inlineStr">
        <is>
          <t>Abandoned Ship - Hidden Floor Rooms (Split 4, Item Ball)</t>
        </is>
      </c>
    </row>
    <row r="569">
      <c r="A569" s="80" t="inlineStr">
        <is>
          <t>Storage Key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inlineStr">
        <is>
          <t>The key to the storage inside the Abandoned Ship.</t>
        </is>
      </c>
      <c r="F569" s="77" t="inlineStr">
        <is>
          <t>Abandoned Ship - Captains Office (Split 4, Item Ball)</t>
        </is>
      </c>
    </row>
    <row r="570">
      <c r="A570" s="7" t="inlineStr">
        <is>
          <t>Key to Room 1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2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Key to Room 4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n"/>
      <c r="F572" s="32" t="inlineStr">
        <is>
          <t>Abandoned Ship - Hidden Floor Rooms (Split 4, Hidden)</t>
        </is>
      </c>
    </row>
    <row r="573">
      <c r="A573" s="80" t="inlineStr">
        <is>
          <t>Key to Room 6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n"/>
      <c r="F573" s="77" t="inlineStr">
        <is>
          <t>Abandoned Ship - Hidden Floor Rooms (Split 4, Hidden)</t>
        </is>
      </c>
    </row>
    <row r="574">
      <c r="A574" s="7" t="inlineStr">
        <is>
          <t>Meteorite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A meteorite found at Meteor Falls.</t>
        </is>
      </c>
      <c r="F574" s="32" t="n"/>
    </row>
    <row r="575">
      <c r="A575" s="80" t="inlineStr">
        <is>
          <t>Magma Emblem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medal-like item in the same shape as Team Magma's mark.</t>
        </is>
      </c>
      <c r="F575" s="77" t="n"/>
    </row>
    <row r="576">
      <c r="A576" s="7" t="inlineStr">
        <is>
          <t>Contest Pass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pass required for entering Pokémon Contests.</t>
        </is>
      </c>
      <c r="F576" s="32" t="n"/>
    </row>
    <row r="577">
      <c r="A577" s="80" t="inlineStr">
        <is>
          <t>Parcel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parcel for Prof. Oak from a Pokémon Mart's clerk.</t>
        </is>
      </c>
      <c r="F577" s="77" t="n"/>
    </row>
    <row r="578">
      <c r="A578" s="7" t="inlineStr">
        <is>
          <t>Secret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The key to the Cinnabar Island Gym's entrance.</t>
        </is>
      </c>
      <c r="F578" s="32" t="n"/>
    </row>
    <row r="579">
      <c r="A579" s="80" t="inlineStr">
        <is>
          <t>Bike Voucher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voucher for obtaining a bicycle from the Bike Shop.</t>
        </is>
      </c>
      <c r="F579" s="77" t="n"/>
    </row>
    <row r="580">
      <c r="A580" s="7" t="inlineStr">
        <is>
          <t>Gold Teeth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Gold dentures lost by the Safari Zone's Warden.</t>
        </is>
      </c>
      <c r="F580" s="32" t="n"/>
    </row>
    <row r="581">
      <c r="A581" s="80" t="inlineStr">
        <is>
          <t>Card Key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A card-type door key used in Silph Co's office.</t>
        </is>
      </c>
      <c r="F581" s="77" t="n"/>
    </row>
    <row r="582">
      <c r="A582" s="7" t="inlineStr">
        <is>
          <t>Lift Key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An elevator key used in Team Rocket's Hideout.</t>
        </is>
      </c>
      <c r="F582" s="32" t="n"/>
    </row>
    <row r="583">
      <c r="A583" s="80" t="inlineStr">
        <is>
          <t>Silph Scope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Silph Co's scope makes unseeable POKéMON visible.</t>
        </is>
      </c>
      <c r="F583" s="77" t="n"/>
    </row>
    <row r="584">
      <c r="A584" s="7" t="inlineStr">
        <is>
          <t>Tri-Pass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pass for ferries between One, Two, and Three Island.</t>
        </is>
      </c>
      <c r="F584" s="32" t="n"/>
    </row>
    <row r="585">
      <c r="A585" s="80" t="inlineStr">
        <is>
          <t>Rainbow Pass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For ferries serving Vermilion and the Sevii Islands.</t>
        </is>
      </c>
      <c r="F585" s="77" t="n"/>
    </row>
    <row r="586">
      <c r="A586" s="7" t="inlineStr">
        <is>
          <t>Tea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thirst-quenching tea prepared by an old lady.</t>
        </is>
      </c>
      <c r="F586" s="32" t="n"/>
    </row>
    <row r="587">
      <c r="A587" s="80" t="inlineStr">
        <is>
          <t>Ruby</t>
        </is>
      </c>
      <c r="B587" s="30" t="inlineStr">
        <is>
          <t>Key Items</t>
        </is>
      </c>
      <c r="C587" s="30" t="inlineStr">
        <is>
          <t>-</t>
        </is>
      </c>
      <c r="D587" s="30" t="inlineStr">
        <is>
          <t>-</t>
        </is>
      </c>
      <c r="E587" s="77" t="inlineStr">
        <is>
          <t>An exquisite, red- glowing gem that symbolizes passion.</t>
        </is>
      </c>
      <c r="F587" s="77" t="n"/>
    </row>
    <row r="588">
      <c r="A588" s="7" t="inlineStr">
        <is>
          <t>Sapphire</t>
        </is>
      </c>
      <c r="B588" s="6" t="inlineStr">
        <is>
          <t>Key Items</t>
        </is>
      </c>
      <c r="C588" s="6" t="inlineStr">
        <is>
          <t>-</t>
        </is>
      </c>
      <c r="D588" s="6" t="inlineStr">
        <is>
          <t>-</t>
        </is>
      </c>
      <c r="E588" s="32" t="inlineStr">
        <is>
          <t>A brilliant blue gem that symbolizes honesty.</t>
        </is>
      </c>
      <c r="F588" s="32" t="n"/>
    </row>
    <row r="589">
      <c r="A589" s="80" t="inlineStr">
        <is>
          <t>Exp. Share</t>
        </is>
      </c>
      <c r="B589" s="30" t="n"/>
      <c r="C589" s="30" t="inlineStr">
        <is>
          <t>-</t>
        </is>
      </c>
      <c r="D589" s="30" t="n">
        <v>30</v>
      </c>
      <c r="E589" s="77" t="inlineStr">
        <is>
          <t>This device gives exp. to other party members.</t>
        </is>
      </c>
      <c r="F589" s="77" t="n"/>
    </row>
  </sheetData>
  <autoFilter ref="A1:F58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TM Bullet Seed x2</t>
        </is>
      </c>
      <c r="B38" s="32" t="inlineStr">
        <is>
          <t>NPC gift (boy)</t>
        </is>
      </c>
      <c r="C38" s="32" t="inlineStr">
        <is>
          <t>Route 104</t>
        </is>
      </c>
      <c r="D38" s="32" t="inlineStr">
        <is>
          <t>Split 1</t>
        </is>
      </c>
      <c r="E38" s="32" t="inlineStr">
        <is>
          <t>North end of Route 104 South</t>
        </is>
      </c>
      <c r="F38" s="32" t="n"/>
    </row>
    <row r="39">
      <c r="A39" s="77" t="inlineStr">
        <is>
          <t>Miracle Seed</t>
        </is>
      </c>
      <c r="B39" s="77" t="inlineStr">
        <is>
          <t>NPC gift (Picnicker Maisie, after battle)</t>
        </is>
      </c>
      <c r="C39" s="77" t="inlineStr">
        <is>
          <t>Trainer Grove</t>
        </is>
      </c>
      <c r="D39" s="77" t="inlineStr">
        <is>
          <t>Split 1</t>
        </is>
      </c>
      <c r="E39" s="77" t="n"/>
      <c r="F39" s="77" t="n"/>
    </row>
    <row r="40">
      <c r="A40" s="32" t="inlineStr">
        <is>
          <t>Everstone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(20, 5)</t>
        </is>
      </c>
    </row>
    <row r="41">
      <c r="A41" s="77" t="inlineStr">
        <is>
          <t>Lagging Tail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(35, 57)</t>
        </is>
      </c>
    </row>
    <row r="42">
      <c r="A42" s="32" t="inlineStr">
        <is>
          <t>Quick Ball</t>
        </is>
      </c>
      <c r="B42" s="32" t="inlineStr">
        <is>
          <t>Item Ball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(23, 37)</t>
        </is>
      </c>
    </row>
    <row r="43">
      <c r="A43" s="77" t="inlineStr">
        <is>
          <t>Heart Scale</t>
        </is>
      </c>
      <c r="B43" s="77" t="inlineStr">
        <is>
          <t>Hidden</t>
        </is>
      </c>
      <c r="C43" s="77" t="inlineStr">
        <is>
          <t>Petalburg Coast</t>
        </is>
      </c>
      <c r="D43" s="77" t="inlineStr">
        <is>
          <t>Split 1</t>
        </is>
      </c>
      <c r="E43" s="77" t="n"/>
      <c r="F43" s="77" t="inlineStr">
        <is>
          <t>(23, 18)</t>
        </is>
      </c>
    </row>
    <row r="44">
      <c r="A44" s="32" t="inlineStr">
        <is>
          <t>Focus Band</t>
        </is>
      </c>
      <c r="B44" s="32" t="inlineStr">
        <is>
          <t>Item Ball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(0, 7)</t>
        </is>
      </c>
    </row>
    <row r="45">
      <c r="A45" s="77" t="inlineStr">
        <is>
          <t>Chilan Berry</t>
        </is>
      </c>
      <c r="B45" s="77" t="inlineStr">
        <is>
          <t>Hidden</t>
        </is>
      </c>
      <c r="C45" s="77" t="inlineStr">
        <is>
          <t>Viridian Forest</t>
        </is>
      </c>
      <c r="D45" s="77" t="inlineStr">
        <is>
          <t>Split 1</t>
        </is>
      </c>
      <c r="E45" s="77" t="n"/>
      <c r="F45" s="77" t="inlineStr">
        <is>
          <t>(7, 0)</t>
        </is>
      </c>
    </row>
    <row r="46">
      <c r="A46" s="32" t="inlineStr">
        <is>
          <t>HM Rock Smash</t>
        </is>
      </c>
      <c r="B46" s="32" t="inlineStr">
        <is>
          <t>NPC gift (end of forest)</t>
        </is>
      </c>
      <c r="C46" s="32" t="inlineStr">
        <is>
          <t>Viridian Forest</t>
        </is>
      </c>
      <c r="D46" s="32" t="inlineStr">
        <is>
          <t>Split 1</t>
        </is>
      </c>
      <c r="E46" s="32" t="inlineStr">
        <is>
          <t>Shares its flag with the Mauville gift.</t>
        </is>
      </c>
      <c r="F46" s="32" t="n"/>
    </row>
    <row r="47">
      <c r="A47" s="77" t="inlineStr">
        <is>
          <t>TM Protect x1</t>
        </is>
      </c>
      <c r="B47" s="77" t="inlineStr">
        <is>
          <t>Gym reward (Norman)</t>
        </is>
      </c>
      <c r="C47" s="77" t="inlineStr">
        <is>
          <t>Petalburg City - Gym</t>
        </is>
      </c>
      <c r="D47" s="77" t="inlineStr">
        <is>
          <t>Split 1</t>
        </is>
      </c>
      <c r="E47" s="77" t="inlineStr">
        <is>
          <t>Only TM given as a single copy</t>
        </is>
      </c>
      <c r="F47" s="77" t="n"/>
    </row>
    <row r="48">
      <c r="A48" s="32" t="inlineStr">
        <is>
          <t>Ether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n"/>
      <c r="F48" s="32" t="inlineStr">
        <is>
          <t>(4, 8)</t>
        </is>
      </c>
    </row>
    <row r="49">
      <c r="A49" s="77" t="inlineStr">
        <is>
          <t>Great Ball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(45, 7)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Shiny Stone OR Moon Stone</t>
        </is>
      </c>
      <c r="B59" s="77" t="inlineStr">
        <is>
          <t>NPC choice (one only)</t>
        </is>
      </c>
      <c r="C59" s="77" t="inlineStr">
        <is>
          <t>Lost Cave</t>
        </is>
      </c>
      <c r="D59" s="77" t="inlineStr">
        <is>
          <t>Split 2</t>
        </is>
      </c>
      <c r="E59" s="77" t="inlineStr">
        <is>
          <t>Deepest point of Lost Cave</t>
        </is>
      </c>
      <c r="F59" s="77" t="n"/>
    </row>
    <row r="60">
      <c r="A60" s="32" t="inlineStr">
        <is>
          <t>PP Up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(39, 15)</t>
        </is>
      </c>
    </row>
    <row r="61">
      <c r="A61" s="77" t="inlineStr">
        <is>
          <t>Potion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(5, 8)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Occa + Passho + Rindo Berry</t>
        </is>
      </c>
      <c r="B65" s="77" t="inlineStr">
        <is>
          <t>NPC gift (hiker, all three at once)</t>
        </is>
      </c>
      <c r="C65" s="77" t="inlineStr">
        <is>
          <t>Rustboro City - House 1</t>
        </is>
      </c>
      <c r="D65" s="77" t="inlineStr">
        <is>
          <t>Split 2</t>
        </is>
      </c>
      <c r="E65" s="77" t="inlineStr">
        <is>
          <t>House next to the Gym</t>
        </is>
      </c>
      <c r="F65" s="77" t="n"/>
    </row>
    <row r="66">
      <c r="A66" s="32" t="inlineStr">
        <is>
          <t>TM68 Wing Attack x2</t>
        </is>
      </c>
      <c r="B66" s="32" t="inlineStr">
        <is>
          <t>NPC gift (Trainer School student)</t>
        </is>
      </c>
      <c r="C66" s="32" t="inlineStr">
        <is>
          <t>Rustboro City - Pokemon School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Normal Gem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(6, 4)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X Special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(55, 12)</t>
        </is>
      </c>
    </row>
    <row r="86">
      <c r="A86" s="32" t="inlineStr">
        <is>
          <t>Super Potion</t>
        </is>
      </c>
      <c r="B86" s="32" t="inlineStr">
        <is>
          <t>Hidden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(22, 9)</t>
        </is>
      </c>
    </row>
    <row r="87">
      <c r="A87" s="77" t="inlineStr">
        <is>
          <t>Black Belt</t>
        </is>
      </c>
      <c r="B87" s="77" t="inlineStr">
        <is>
          <t>NPC gift (Cooltrainer Cole, after the double battle)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Cave-side end of Route 116</t>
        </is>
      </c>
      <c r="F87" s="77" t="n"/>
    </row>
    <row r="88">
      <c r="A88" s="32" t="inlineStr">
        <is>
          <t>Max Ether</t>
        </is>
      </c>
      <c r="B88" s="32" t="inlineStr">
        <is>
          <t>Item Ball</t>
        </is>
      </c>
      <c r="C88" s="32" t="inlineStr">
        <is>
          <t>Rusturf Tunnel</t>
        </is>
      </c>
      <c r="D88" s="32" t="inlineStr">
        <is>
          <t>Split 2</t>
        </is>
      </c>
      <c r="E88" s="32" t="n"/>
      <c r="F88" s="32" t="inlineStr">
        <is>
          <t>(30, 2)</t>
        </is>
      </c>
    </row>
    <row r="89">
      <c r="A89" s="77" t="inlineStr">
        <is>
          <t>Poké Ball</t>
        </is>
      </c>
      <c r="B89" s="77" t="inlineStr">
        <is>
          <t>Item Ball</t>
        </is>
      </c>
      <c r="C89" s="77" t="inlineStr">
        <is>
          <t>Rusturf Tunnel</t>
        </is>
      </c>
      <c r="D89" s="77" t="inlineStr">
        <is>
          <t>Split 2</t>
        </is>
      </c>
      <c r="E89" s="77" t="n"/>
      <c r="F89" s="77" t="inlineStr">
        <is>
          <t>(3, 1)</t>
        </is>
      </c>
    </row>
    <row r="90">
      <c r="A90" s="32" t="inlineStr">
        <is>
          <t>Rare Candy</t>
        </is>
      </c>
      <c r="B90" s="32" t="inlineStr">
        <is>
          <t>Hidden</t>
        </is>
      </c>
      <c r="C90" s="32" t="inlineStr">
        <is>
          <t>Rustboro City - Gym</t>
        </is>
      </c>
      <c r="D90" s="32" t="inlineStr">
        <is>
          <t>Split 2</t>
        </is>
      </c>
      <c r="E90" s="32" t="n"/>
      <c r="F90" s="32" t="inlineStr">
        <is>
          <t>(1, 13)</t>
        </is>
      </c>
    </row>
    <row r="91">
      <c r="A91" s="77" t="inlineStr">
        <is>
          <t>TM Rock Tomb x2</t>
        </is>
      </c>
      <c r="B91" s="77" t="inlineStr">
        <is>
          <t>Gym reward (Roxanne)</t>
        </is>
      </c>
      <c r="C91" s="77" t="inlineStr">
        <is>
          <t>Rustboro City - Gym</t>
        </is>
      </c>
      <c r="D91" s="77" t="inlineStr">
        <is>
          <t>Split 2</t>
        </is>
      </c>
      <c r="E91" s="77" t="n"/>
      <c r="F91" s="77" t="n"/>
    </row>
    <row r="92">
      <c r="A92" s="32" t="inlineStr">
        <is>
          <t>Star Piece</t>
        </is>
      </c>
      <c r="B92" s="32" t="inlineStr">
        <is>
          <t>Item Ball</t>
        </is>
      </c>
      <c r="C92" s="32" t="inlineStr">
        <is>
          <t>Route 105</t>
        </is>
      </c>
      <c r="D92" s="32" t="inlineStr">
        <is>
          <t>Split 3</t>
        </is>
      </c>
      <c r="E92" s="32" t="n"/>
      <c r="F92" s="32" t="inlineStr">
        <is>
          <t>(8, 73)</t>
        </is>
      </c>
    </row>
    <row r="93">
      <c r="A93" s="77" t="inlineStr">
        <is>
          <t>Big Pearl</t>
        </is>
      </c>
      <c r="B93" s="77" t="inlineStr">
        <is>
          <t>Hidden</t>
        </is>
      </c>
      <c r="C93" s="77" t="inlineStr">
        <is>
          <t>Route 105</t>
        </is>
      </c>
      <c r="D93" s="77" t="inlineStr">
        <is>
          <t>Split 3</t>
        </is>
      </c>
      <c r="E93" s="77" t="n"/>
      <c r="F93" s="77" t="inlineStr">
        <is>
          <t>(5, 56)</t>
        </is>
      </c>
    </row>
    <row r="94">
      <c r="A94" s="32" t="inlineStr">
        <is>
          <t>Heart Scale</t>
        </is>
      </c>
      <c r="B94" s="32" t="inlineStr">
        <is>
          <t>Hidden</t>
        </is>
      </c>
      <c r="C94" s="32" t="inlineStr">
        <is>
          <t>Route 105</t>
        </is>
      </c>
      <c r="D94" s="32" t="inlineStr">
        <is>
          <t>Split 3</t>
        </is>
      </c>
      <c r="E94" s="32" t="n"/>
      <c r="F94" s="32" t="inlineStr">
        <is>
          <t>(15, 68)</t>
        </is>
      </c>
    </row>
    <row r="95">
      <c r="A95" s="77" t="inlineStr">
        <is>
          <t>Full Heal</t>
        </is>
      </c>
      <c r="B95" s="77" t="inlineStr">
        <is>
          <t>Item Ball</t>
        </is>
      </c>
      <c r="C95" s="77" t="inlineStr">
        <is>
          <t>Route 106</t>
        </is>
      </c>
      <c r="D95" s="77" t="inlineStr">
        <is>
          <t>Split 3</t>
        </is>
      </c>
      <c r="E95" s="77" t="n"/>
      <c r="F95" s="77" t="inlineStr">
        <is>
          <t>(29, 14)</t>
        </is>
      </c>
    </row>
    <row r="96">
      <c r="A96" s="32" t="inlineStr">
        <is>
          <t>Heart Scale</t>
        </is>
      </c>
      <c r="B96" s="32" t="inlineStr">
        <is>
          <t>Hidden</t>
        </is>
      </c>
      <c r="C96" s="32" t="inlineStr">
        <is>
          <t>Route 106</t>
        </is>
      </c>
      <c r="D96" s="32" t="inlineStr">
        <is>
          <t>Split 3</t>
        </is>
      </c>
      <c r="E96" s="32" t="n"/>
      <c r="F96" s="32" t="inlineStr">
        <is>
          <t>(68, 15)</t>
        </is>
      </c>
    </row>
    <row r="97">
      <c r="A97" s="77" t="inlineStr">
        <is>
          <t>Poké Ball</t>
        </is>
      </c>
      <c r="B97" s="77" t="inlineStr">
        <is>
          <t>Hidden</t>
        </is>
      </c>
      <c r="C97" s="77" t="inlineStr">
        <is>
          <t>Route 106</t>
        </is>
      </c>
      <c r="D97" s="77" t="inlineStr">
        <is>
          <t>Split 3</t>
        </is>
      </c>
      <c r="E97" s="77" t="n"/>
      <c r="F97" s="77" t="inlineStr">
        <is>
          <t>(41, 11)</t>
        </is>
      </c>
    </row>
    <row r="98">
      <c r="A98" s="32" t="inlineStr">
        <is>
          <t>Stardust</t>
        </is>
      </c>
      <c r="B98" s="32" t="inlineStr">
        <is>
          <t>Hidden</t>
        </is>
      </c>
      <c r="C98" s="32" t="inlineStr">
        <is>
          <t>Route 106</t>
        </is>
      </c>
      <c r="D98" s="32" t="inlineStr">
        <is>
          <t>Split 3</t>
        </is>
      </c>
      <c r="E98" s="32" t="n"/>
      <c r="F98" s="32" t="inlineStr">
        <is>
          <t>(53, 12)</t>
        </is>
      </c>
    </row>
    <row r="99">
      <c r="A99" s="77" t="inlineStr">
        <is>
          <t>Escape Rope</t>
        </is>
      </c>
      <c r="B99" s="77" t="inlineStr">
        <is>
          <t>Item Ball</t>
        </is>
      </c>
      <c r="C99" s="77" t="inlineStr">
        <is>
          <t>Granite Cave - 1F</t>
        </is>
      </c>
      <c r="D99" s="77" t="inlineStr">
        <is>
          <t>Split 3</t>
        </is>
      </c>
      <c r="E99" s="77" t="n"/>
      <c r="F99" s="77" t="inlineStr">
        <is>
          <t>(17, 7)</t>
        </is>
      </c>
    </row>
    <row r="100">
      <c r="A100" s="32" t="inlineStr">
        <is>
          <t>Leaf Stone</t>
        </is>
      </c>
      <c r="B100" s="32" t="inlineStr">
        <is>
          <t>Item Ball</t>
        </is>
      </c>
      <c r="C100" s="32" t="inlineStr">
        <is>
          <t>Granite Cave - B2F</t>
        </is>
      </c>
      <c r="D100" s="32" t="inlineStr">
        <is>
          <t>Split 3</t>
        </is>
      </c>
      <c r="E100" s="32" t="n"/>
      <c r="F100" s="32" t="inlineStr">
        <is>
          <t>(3, 20)</t>
        </is>
      </c>
    </row>
    <row r="101">
      <c r="A101" s="77" t="inlineStr">
        <is>
          <t>Poké Ball</t>
        </is>
      </c>
      <c r="B101" s="77" t="inlineStr">
        <is>
          <t>Item Ball</t>
        </is>
      </c>
      <c r="C101" s="77" t="inlineStr">
        <is>
          <t>Granite Cave - B1F</t>
        </is>
      </c>
      <c r="D101" s="77" t="inlineStr">
        <is>
          <t>Split 3</t>
        </is>
      </c>
      <c r="E101" s="77" t="n"/>
      <c r="F101" s="77" t="inlineStr">
        <is>
          <t>(15, 21)</t>
        </is>
      </c>
    </row>
    <row r="102">
      <c r="A102" s="32" t="inlineStr">
        <is>
          <t>Rare Candy</t>
        </is>
      </c>
      <c r="B102" s="32" t="inlineStr">
        <is>
          <t>Item Ball</t>
        </is>
      </c>
      <c r="C102" s="32" t="inlineStr">
        <is>
          <t>Granite Cave - B2F</t>
        </is>
      </c>
      <c r="D102" s="32" t="inlineStr">
        <is>
          <t>Split 3</t>
        </is>
      </c>
      <c r="E102" s="32" t="n"/>
      <c r="F102" s="32" t="inlineStr">
        <is>
          <t>(29, 4)</t>
        </is>
      </c>
    </row>
    <row r="103">
      <c r="A103" s="77" t="inlineStr">
        <is>
          <t>Repel</t>
        </is>
      </c>
      <c r="B103" s="77" t="inlineStr">
        <is>
          <t>Item Ball</t>
        </is>
      </c>
      <c r="C103" s="77" t="inlineStr">
        <is>
          <t>Granite Cave - B2F</t>
        </is>
      </c>
      <c r="D103" s="77" t="inlineStr">
        <is>
          <t>Split 3</t>
        </is>
      </c>
      <c r="E103" s="77" t="n"/>
      <c r="F103" s="77" t="inlineStr">
        <is>
          <t>(4, 4)</t>
        </is>
      </c>
    </row>
    <row r="104">
      <c r="A104" s="32" t="inlineStr">
        <is>
          <t>Shell Bell</t>
        </is>
      </c>
      <c r="B104" s="32" t="inlineStr">
        <is>
          <t>Item Ball</t>
        </is>
      </c>
      <c r="C104" s="32" t="inlineStr">
        <is>
          <t>Granite Cave - B1F</t>
        </is>
      </c>
      <c r="D104" s="32" t="inlineStr">
        <is>
          <t>Split 3</t>
        </is>
      </c>
      <c r="E104" s="32" t="n"/>
      <c r="F104" s="32" t="inlineStr">
        <is>
          <t>(1, 6)</t>
        </is>
      </c>
    </row>
    <row r="105">
      <c r="A105" s="77" t="inlineStr">
        <is>
          <t>Aerodactylite</t>
        </is>
      </c>
      <c r="B105" s="77" t="inlineStr">
        <is>
          <t>Hidden</t>
        </is>
      </c>
      <c r="C105" s="77" t="inlineStr">
        <is>
          <t>Granite Cave - B2F</t>
        </is>
      </c>
      <c r="D105" s="77" t="inlineStr">
        <is>
          <t>Split 3</t>
        </is>
      </c>
      <c r="E105" s="77" t="n"/>
      <c r="F105" s="77" t="inlineStr">
        <is>
          <t>(16, 16)</t>
        </is>
      </c>
    </row>
    <row r="106">
      <c r="A106" s="32" t="inlineStr">
        <is>
          <t>Everstone</t>
        </is>
      </c>
      <c r="B106" s="32" t="inlineStr">
        <is>
          <t>Hidden</t>
        </is>
      </c>
      <c r="C106" s="32" t="inlineStr">
        <is>
          <t>Granite Cave - B2F</t>
        </is>
      </c>
      <c r="D106" s="32" t="inlineStr">
        <is>
          <t>Split 3</t>
        </is>
      </c>
      <c r="E106" s="32" t="n"/>
      <c r="F106" s="32" t="inlineStr">
        <is>
          <t>(28, 6)</t>
        </is>
      </c>
    </row>
    <row r="107">
      <c r="A107" s="77" t="inlineStr">
        <is>
          <t>Everstone</t>
        </is>
      </c>
      <c r="B107" s="77" t="inlineStr">
        <is>
          <t>Hidden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(15, 11)</t>
        </is>
      </c>
    </row>
    <row r="108">
      <c r="A108" s="32" t="inlineStr">
        <is>
          <t>Star Piece</t>
        </is>
      </c>
      <c r="B108" s="32" t="inlineStr">
        <is>
          <t>Item Ball</t>
        </is>
      </c>
      <c r="C108" s="32" t="inlineStr">
        <is>
          <t>Route 108</t>
        </is>
      </c>
      <c r="D108" s="32" t="inlineStr">
        <is>
          <t>Split 4</t>
        </is>
      </c>
      <c r="E108" s="32" t="n"/>
      <c r="F108" s="32" t="inlineStr">
        <is>
          <t>(42, 4)</t>
        </is>
      </c>
    </row>
    <row r="109">
      <c r="A109" s="77" t="inlineStr">
        <is>
          <t>Rare Candy</t>
        </is>
      </c>
      <c r="B109" s="77" t="inlineStr">
        <is>
          <t>Hidden</t>
        </is>
      </c>
      <c r="C109" s="77" t="inlineStr">
        <is>
          <t>Route 108</t>
        </is>
      </c>
      <c r="D109" s="77" t="inlineStr">
        <is>
          <t>Split 4</t>
        </is>
      </c>
      <c r="E109" s="77" t="n"/>
      <c r="F109" s="77" t="inlineStr">
        <is>
          <t>(38, 14)</t>
        </is>
      </c>
    </row>
    <row r="110">
      <c r="A110" s="32" t="inlineStr">
        <is>
          <t>PP Up</t>
        </is>
      </c>
      <c r="B110" s="32" t="inlineStr">
        <is>
          <t>Item Ball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(27, 46)</t>
        </is>
      </c>
    </row>
    <row r="111">
      <c r="A111" s="77" t="inlineStr">
        <is>
          <t>Potion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(25, 6)</t>
        </is>
      </c>
    </row>
    <row r="112">
      <c r="A112" s="32" t="inlineStr">
        <is>
          <t>Ether</t>
        </is>
      </c>
      <c r="B112" s="32" t="inlineStr">
        <is>
          <t>Hidden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(28, 20)</t>
        </is>
      </c>
    </row>
    <row r="113">
      <c r="A113" s="77" t="inlineStr">
        <is>
          <t>Great Ball</t>
        </is>
      </c>
      <c r="B113" s="77" t="inlineStr">
        <is>
          <t>Hidden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(9, 10)</t>
        </is>
      </c>
    </row>
    <row r="114">
      <c r="A114" s="32" t="inlineStr">
        <is>
          <t>Heart Scale</t>
        </is>
      </c>
      <c r="B114" s="32" t="inlineStr">
        <is>
          <t>Hidden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(33, 5)</t>
        </is>
      </c>
    </row>
    <row r="115">
      <c r="A115" s="77" t="inlineStr">
        <is>
          <t>Heart Scale</t>
        </is>
      </c>
      <c r="B115" s="77" t="inlineStr">
        <is>
          <t>Hidden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(13, 16)</t>
        </is>
      </c>
    </row>
    <row r="116">
      <c r="A116" s="32" t="inlineStr">
        <is>
          <t>Heart Scale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(8, 42)</t>
        </is>
      </c>
    </row>
    <row r="117">
      <c r="A117" s="77" t="inlineStr">
        <is>
          <t>Revive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(16, 23)</t>
        </is>
      </c>
    </row>
    <row r="118">
      <c r="A118" s="32" t="inlineStr">
        <is>
          <t>Antidote</t>
        </is>
      </c>
      <c r="B118" s="32" t="inlineStr">
        <is>
          <t>Mart</t>
        </is>
      </c>
      <c r="C118" s="32" t="inlineStr">
        <is>
          <t>Slateport City - Mart</t>
        </is>
      </c>
      <c r="D118" s="32" t="inlineStr">
        <is>
          <t>Split 4</t>
        </is>
      </c>
      <c r="E118" s="32" t="n"/>
      <c r="F118" s="32" t="inlineStr">
        <is>
          <t>-</t>
        </is>
      </c>
    </row>
    <row r="119">
      <c r="A119" s="77" t="inlineStr">
        <is>
          <t>Calcium</t>
        </is>
      </c>
      <c r="B119" s="77" t="inlineStr">
        <is>
          <t>Mart</t>
        </is>
      </c>
      <c r="C119" s="77" t="inlineStr">
        <is>
          <t>Slateport City</t>
        </is>
      </c>
      <c r="D119" s="77" t="inlineStr">
        <is>
          <t>Split 4</t>
        </is>
      </c>
      <c r="E119" s="77" t="n"/>
      <c r="F119" s="77" t="inlineStr">
        <is>
          <t>-</t>
        </is>
      </c>
    </row>
    <row r="120">
      <c r="A120" s="32" t="inlineStr">
        <is>
          <t>Carbos</t>
        </is>
      </c>
      <c r="B120" s="32" t="inlineStr">
        <is>
          <t>Mart</t>
        </is>
      </c>
      <c r="C120" s="32" t="inlineStr">
        <is>
          <t>Slateport City</t>
        </is>
      </c>
      <c r="D120" s="32" t="inlineStr">
        <is>
          <t>Split 4</t>
        </is>
      </c>
      <c r="E120" s="32" t="n"/>
      <c r="F120" s="32" t="inlineStr">
        <is>
          <t>-</t>
        </is>
      </c>
    </row>
    <row r="121">
      <c r="A121" s="77" t="inlineStr">
        <is>
          <t>Escape Rope</t>
        </is>
      </c>
      <c r="B121" s="77" t="inlineStr">
        <is>
          <t>Mart</t>
        </is>
      </c>
      <c r="C121" s="77" t="inlineStr">
        <is>
          <t>Slateport City - Mart</t>
        </is>
      </c>
      <c r="D121" s="77" t="inlineStr">
        <is>
          <t>Split 4</t>
        </is>
      </c>
      <c r="E121" s="77" t="n"/>
      <c r="F121" s="77" t="inlineStr">
        <is>
          <t>-</t>
        </is>
      </c>
    </row>
    <row r="122">
      <c r="A122" s="32" t="inlineStr">
        <is>
          <t>Great Ball</t>
        </is>
      </c>
      <c r="B122" s="32" t="inlineStr">
        <is>
          <t>Mart</t>
        </is>
      </c>
      <c r="C122" s="32" t="inlineStr">
        <is>
          <t>Slateport City - Mart</t>
        </is>
      </c>
      <c r="D122" s="32" t="inlineStr">
        <is>
          <t>Split 4</t>
        </is>
      </c>
      <c r="E122" s="32" t="inlineStr">
        <is>
          <t>Only sold after Badge 2</t>
        </is>
      </c>
      <c r="F122" s="32" t="inlineStr">
        <is>
          <t>-</t>
        </is>
      </c>
    </row>
    <row r="123">
      <c r="A123" s="77" t="inlineStr">
        <is>
          <t>HP Up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Harbor Mail</t>
        </is>
      </c>
      <c r="B124" s="32" t="inlineStr">
        <is>
          <t>Mart</t>
        </is>
      </c>
      <c r="C124" s="32" t="inlineStr">
        <is>
          <t>Slateport City - Mart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Iron</t>
        </is>
      </c>
      <c r="B125" s="77" t="inlineStr">
        <is>
          <t>Mart</t>
        </is>
      </c>
      <c r="C125" s="77" t="inlineStr">
        <is>
          <t>Slateport City</t>
        </is>
      </c>
      <c r="D125" s="77" t="inlineStr">
        <is>
          <t>Split 4</t>
        </is>
      </c>
      <c r="E125" s="77" t="n"/>
      <c r="F125" s="77" t="inlineStr">
        <is>
          <t>-</t>
        </is>
      </c>
    </row>
    <row r="126">
      <c r="A126" s="32" t="inlineStr">
        <is>
          <t>Paralyze Heal</t>
        </is>
      </c>
      <c r="B126" s="32" t="inlineStr">
        <is>
          <t>Mart</t>
        </is>
      </c>
      <c r="C126" s="32" t="inlineStr">
        <is>
          <t>Slateport City - Mart</t>
        </is>
      </c>
      <c r="D126" s="32" t="inlineStr">
        <is>
          <t>Split 4</t>
        </is>
      </c>
      <c r="E126" s="32" t="n"/>
      <c r="F126" s="32" t="inlineStr">
        <is>
          <t>-</t>
        </is>
      </c>
    </row>
    <row r="127">
      <c r="A127" s="77" t="inlineStr">
        <is>
          <t>Poké Ball</t>
        </is>
      </c>
      <c r="B127" s="77" t="inlineStr">
        <is>
          <t>Mart</t>
        </is>
      </c>
      <c r="C127" s="77" t="inlineStr">
        <is>
          <t>Slateport City - Mart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Potion</t>
        </is>
      </c>
      <c r="B128" s="32" t="inlineStr">
        <is>
          <t>Mart</t>
        </is>
      </c>
      <c r="C128" s="32" t="inlineStr">
        <is>
          <t>Slateport City - Mart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Protein</t>
        </is>
      </c>
      <c r="B129" s="77" t="inlineStr">
        <is>
          <t>Mart</t>
        </is>
      </c>
      <c r="C129" s="77" t="inlineStr">
        <is>
          <t>Slateport City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Rare Candy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Repel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Super Potion</t>
        </is>
      </c>
      <c r="B132" s="32" t="inlineStr">
        <is>
          <t>Mart</t>
        </is>
      </c>
      <c r="C132" s="32" t="inlineStr">
        <is>
          <t>Slateport City - Mart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Zinc</t>
        </is>
      </c>
      <c r="B133" s="77" t="inlineStr">
        <is>
          <t>Mart</t>
        </is>
      </c>
      <c r="C133" s="77" t="inlineStr">
        <is>
          <t>Slateport City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Bead Mail</t>
        </is>
      </c>
      <c r="B134" s="32" t="inlineStr">
        <is>
          <t>Item Ball</t>
        </is>
      </c>
      <c r="C134" s="32" t="inlineStr">
        <is>
          <t>Route 110 - Trick House Puzzle 8</t>
        </is>
      </c>
      <c r="D134" s="32" t="inlineStr">
        <is>
          <t>Split 4</t>
        </is>
      </c>
      <c r="E134" s="32" t="n"/>
      <c r="F134" s="32" t="inlineStr">
        <is>
          <t>(2, 2)</t>
        </is>
      </c>
    </row>
    <row r="135">
      <c r="A135" s="77" t="inlineStr">
        <is>
          <t>Elixir</t>
        </is>
      </c>
      <c r="B135" s="77" t="inlineStr">
        <is>
          <t>Item Ball</t>
        </is>
      </c>
      <c r="C135" s="77" t="inlineStr">
        <is>
          <t>Route 110</t>
        </is>
      </c>
      <c r="D135" s="77" t="inlineStr">
        <is>
          <t>Split 4</t>
        </is>
      </c>
      <c r="E135" s="77" t="n"/>
      <c r="F135" s="77" t="inlineStr">
        <is>
          <t>(6, 38)</t>
        </is>
      </c>
    </row>
    <row r="136">
      <c r="A136" s="32" t="inlineStr">
        <is>
          <t>Glitter Mail</t>
        </is>
      </c>
      <c r="B136" s="32" t="inlineStr">
        <is>
          <t>Item Ball</t>
        </is>
      </c>
      <c r="C136" s="32" t="inlineStr">
        <is>
          <t>Route 110 - Trick House Puzzle 6</t>
        </is>
      </c>
      <c r="D136" s="32" t="inlineStr">
        <is>
          <t>Split 4</t>
        </is>
      </c>
      <c r="E136" s="32" t="n"/>
      <c r="F136" s="32" t="inlineStr">
        <is>
          <t>(11, 21)</t>
        </is>
      </c>
    </row>
    <row r="137">
      <c r="A137" s="77" t="inlineStr">
        <is>
          <t>Harbor Mail</t>
        </is>
      </c>
      <c r="B137" s="77" t="inlineStr">
        <is>
          <t>Item Ball</t>
        </is>
      </c>
      <c r="C137" s="77" t="inlineStr">
        <is>
          <t>Route 110 - Trick House Puzzle 2</t>
        </is>
      </c>
      <c r="D137" s="77" t="inlineStr">
        <is>
          <t>Split 4</t>
        </is>
      </c>
      <c r="E137" s="77" t="n"/>
      <c r="F137" s="77" t="inlineStr">
        <is>
          <t>(3, 13)</t>
        </is>
      </c>
    </row>
    <row r="138">
      <c r="A138" s="32" t="inlineStr">
        <is>
          <t>Mech Mail</t>
        </is>
      </c>
      <c r="B138" s="32" t="inlineStr">
        <is>
          <t>Item Ball</t>
        </is>
      </c>
      <c r="C138" s="32" t="inlineStr">
        <is>
          <t>Route 110 - Trick House Puzzle 4</t>
        </is>
      </c>
      <c r="D138" s="32" t="inlineStr">
        <is>
          <t>Split 4</t>
        </is>
      </c>
      <c r="E138" s="32" t="n"/>
      <c r="F138" s="32" t="inlineStr">
        <is>
          <t>(2, 5)</t>
        </is>
      </c>
    </row>
    <row r="139">
      <c r="A139" s="77" t="inlineStr">
        <is>
          <t>Orange Mail</t>
        </is>
      </c>
      <c r="B139" s="77" t="inlineStr">
        <is>
          <t>Item Ball</t>
        </is>
      </c>
      <c r="C139" s="77" t="inlineStr">
        <is>
          <t>Route 110 - Trick House Puzzle 1</t>
        </is>
      </c>
      <c r="D139" s="77" t="inlineStr">
        <is>
          <t>Split 4</t>
        </is>
      </c>
      <c r="E139" s="77" t="n"/>
      <c r="F139" s="77" t="inlineStr">
        <is>
          <t>(9, 4)</t>
        </is>
      </c>
    </row>
    <row r="140">
      <c r="A140" s="32" t="inlineStr">
        <is>
          <t>Rare Candy</t>
        </is>
      </c>
      <c r="B140" s="32" t="inlineStr">
        <is>
          <t>Item Ball</t>
        </is>
      </c>
      <c r="C140" s="32" t="inlineStr">
        <is>
          <t>Route 110</t>
        </is>
      </c>
      <c r="D140" s="32" t="inlineStr">
        <is>
          <t>Split 4</t>
        </is>
      </c>
      <c r="E140" s="32" t="n"/>
      <c r="F140" s="32" t="inlineStr">
        <is>
          <t>(26, 47)</t>
        </is>
      </c>
    </row>
    <row r="141">
      <c r="A141" s="77" t="inlineStr">
        <is>
          <t>Scope Lens</t>
        </is>
      </c>
      <c r="B141" s="77" t="inlineStr">
        <is>
          <t>Item Ball</t>
        </is>
      </c>
      <c r="C141" s="77" t="inlineStr">
        <is>
          <t>Route 110</t>
        </is>
      </c>
      <c r="D141" s="77" t="inlineStr">
        <is>
          <t>Split 4</t>
        </is>
      </c>
      <c r="E141" s="77" t="n"/>
      <c r="F141" s="77" t="inlineStr">
        <is>
          <t>(30, 69)</t>
        </is>
      </c>
    </row>
    <row r="142">
      <c r="A142" s="32" t="inlineStr">
        <is>
          <t>Shadow Mail</t>
        </is>
      </c>
      <c r="B142" s="32" t="inlineStr">
        <is>
          <t>Item Ball</t>
        </is>
      </c>
      <c r="C142" s="32" t="inlineStr">
        <is>
          <t>Route 110 - Trick House Puzzle 3</t>
        </is>
      </c>
      <c r="D142" s="32" t="inlineStr">
        <is>
          <t>Split 4</t>
        </is>
      </c>
      <c r="E142" s="32" t="n"/>
      <c r="F142" s="32" t="inlineStr">
        <is>
          <t>(4, 2)</t>
        </is>
      </c>
    </row>
    <row r="143">
      <c r="A143" s="77" t="inlineStr">
        <is>
          <t>Tropic Mail</t>
        </is>
      </c>
      <c r="B143" s="77" t="inlineStr">
        <is>
          <t>Item Ball</t>
        </is>
      </c>
      <c r="C143" s="77" t="inlineStr">
        <is>
          <t>Route 110 - Trick House Puzzle 7</t>
        </is>
      </c>
      <c r="D143" s="77" t="inlineStr">
        <is>
          <t>Split 4</t>
        </is>
      </c>
      <c r="E143" s="77" t="n"/>
      <c r="F143" s="77" t="inlineStr">
        <is>
          <t>(5, 12)</t>
        </is>
      </c>
    </row>
    <row r="144">
      <c r="A144" s="32" t="inlineStr">
        <is>
          <t>Wave Mail</t>
        </is>
      </c>
      <c r="B144" s="32" t="inlineStr">
        <is>
          <t>Item Ball</t>
        </is>
      </c>
      <c r="C144" s="32" t="inlineStr">
        <is>
          <t>Route 110 - Trick House Puzzle 2</t>
        </is>
      </c>
      <c r="D144" s="32" t="inlineStr">
        <is>
          <t>Split 4</t>
        </is>
      </c>
      <c r="E144" s="32" t="n"/>
      <c r="F144" s="32" t="inlineStr">
        <is>
          <t>(8, 17)</t>
        </is>
      </c>
    </row>
    <row r="145">
      <c r="A145" s="77" t="inlineStr">
        <is>
          <t>Wood Mail</t>
        </is>
      </c>
      <c r="B145" s="77" t="inlineStr">
        <is>
          <t>Item Ball</t>
        </is>
      </c>
      <c r="C145" s="77" t="inlineStr">
        <is>
          <t>Route 110 - Trick House Puzzle 3</t>
        </is>
      </c>
      <c r="D145" s="77" t="inlineStr">
        <is>
          <t>Split 4</t>
        </is>
      </c>
      <c r="E145" s="77" t="n"/>
      <c r="F145" s="77" t="inlineStr">
        <is>
          <t>(1, 2)</t>
        </is>
      </c>
    </row>
    <row r="146">
      <c r="A146" s="32" t="inlineStr">
        <is>
          <t>Full Heal</t>
        </is>
      </c>
      <c r="B146" s="32" t="inlineStr">
        <is>
          <t>Hidden</t>
        </is>
      </c>
      <c r="C146" s="32" t="inlineStr">
        <is>
          <t>Route 110</t>
        </is>
      </c>
      <c r="D146" s="32" t="inlineStr">
        <is>
          <t>Split 4</t>
        </is>
      </c>
      <c r="E146" s="32" t="n"/>
      <c r="F146" s="32" t="inlineStr">
        <is>
          <t>(37, 67)</t>
        </is>
      </c>
    </row>
    <row r="147">
      <c r="A147" s="77" t="inlineStr">
        <is>
          <t>Great Ball</t>
        </is>
      </c>
      <c r="B147" s="77" t="inlineStr">
        <is>
          <t>Hidden</t>
        </is>
      </c>
      <c r="C147" s="77" t="inlineStr">
        <is>
          <t>Route 110</t>
        </is>
      </c>
      <c r="D147" s="77" t="inlineStr">
        <is>
          <t>Split 4</t>
        </is>
      </c>
      <c r="E147" s="77" t="n"/>
      <c r="F147" s="77" t="inlineStr">
        <is>
          <t>(33, 45)</t>
        </is>
      </c>
    </row>
    <row r="148">
      <c r="A148" s="32" t="inlineStr">
        <is>
          <t>Nugget</t>
        </is>
      </c>
      <c r="B148" s="32" t="inlineStr">
        <is>
          <t>Hidden</t>
        </is>
      </c>
      <c r="C148" s="32" t="inlineStr">
        <is>
          <t>Route 110 - Trick House End</t>
        </is>
      </c>
      <c r="D148" s="32" t="inlineStr">
        <is>
          <t>Split 4</t>
        </is>
      </c>
      <c r="E148" s="32" t="n"/>
      <c r="F148" s="32" t="inlineStr">
        <is>
          <t>(4, 5)</t>
        </is>
      </c>
    </row>
    <row r="149">
      <c r="A149" s="77" t="inlineStr">
        <is>
          <t>Poké Ball</t>
        </is>
      </c>
      <c r="B149" s="77" t="inlineStr">
        <is>
          <t>Hidden</t>
        </is>
      </c>
      <c r="C149" s="77" t="inlineStr">
        <is>
          <t>Route 110</t>
        </is>
      </c>
      <c r="D149" s="77" t="inlineStr">
        <is>
          <t>Split 4</t>
        </is>
      </c>
      <c r="E149" s="77" t="n"/>
      <c r="F149" s="77" t="inlineStr">
        <is>
          <t>(4, 35)</t>
        </is>
      </c>
    </row>
    <row r="150">
      <c r="A150" s="32" t="inlineStr">
        <is>
          <t>Revive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(35, 39)</t>
        </is>
      </c>
    </row>
    <row r="151">
      <c r="A151" s="77" t="inlineStr">
        <is>
          <t>Swampertite</t>
        </is>
      </c>
      <c r="B151" s="77" t="inlineStr">
        <is>
          <t>Hidden</t>
        </is>
      </c>
      <c r="C151" s="77" t="inlineStr">
        <is>
          <t>Route 110</t>
        </is>
      </c>
      <c r="D151" s="77" t="inlineStr">
        <is>
          <t>Split 4</t>
        </is>
      </c>
      <c r="E151" s="77" t="n"/>
      <c r="F151" s="77" t="inlineStr">
        <is>
          <t>(36, 67)</t>
        </is>
      </c>
    </row>
    <row r="152">
      <c r="A152" s="32" t="inlineStr">
        <is>
          <t>Ultra Ball</t>
        </is>
      </c>
      <c r="B152" s="32" t="inlineStr">
        <is>
          <t>Item Ball</t>
        </is>
      </c>
      <c r="C152" s="32" t="inlineStr">
        <is>
          <t>Mauville City</t>
        </is>
      </c>
      <c r="D152" s="32" t="inlineStr">
        <is>
          <t>Split 4</t>
        </is>
      </c>
      <c r="E152" s="32" t="n"/>
      <c r="F152" s="32" t="inlineStr">
        <is>
          <t>(28, 19)</t>
        </is>
      </c>
    </row>
    <row r="153">
      <c r="A153" s="77" t="inlineStr">
        <is>
          <t>Antidote</t>
        </is>
      </c>
      <c r="B153" s="77" t="inlineStr">
        <is>
          <t>Mart</t>
        </is>
      </c>
      <c r="C153" s="77" t="inlineStr">
        <is>
          <t>Mauville City - Mart</t>
        </is>
      </c>
      <c r="D153" s="77" t="inlineStr">
        <is>
          <t>Split 4</t>
        </is>
      </c>
      <c r="E153" s="77" t="n"/>
      <c r="F153" s="77" t="inlineStr">
        <is>
          <t>-</t>
        </is>
      </c>
    </row>
    <row r="154">
      <c r="A154" s="32" t="inlineStr">
        <is>
          <t>Awakening</t>
        </is>
      </c>
      <c r="B154" s="32" t="inlineStr">
        <is>
          <t>Mart</t>
        </is>
      </c>
      <c r="C154" s="32" t="inlineStr">
        <is>
          <t>Mauville City - Mart</t>
        </is>
      </c>
      <c r="D154" s="32" t="inlineStr">
        <is>
          <t>Split 4</t>
        </is>
      </c>
      <c r="E154" s="32" t="n"/>
      <c r="F154" s="32" t="inlineStr">
        <is>
          <t>-</t>
        </is>
      </c>
    </row>
    <row r="155">
      <c r="A155" s="77" t="inlineStr">
        <is>
          <t>Dire Hit</t>
        </is>
      </c>
      <c r="B155" s="77" t="inlineStr">
        <is>
          <t>Mart</t>
        </is>
      </c>
      <c r="C155" s="77" t="inlineStr">
        <is>
          <t>Mauville City - Mart</t>
        </is>
      </c>
      <c r="D155" s="77" t="inlineStr">
        <is>
          <t>Split 4</t>
        </is>
      </c>
      <c r="E155" s="77" t="n"/>
      <c r="F155" s="77" t="inlineStr">
        <is>
          <t>-</t>
        </is>
      </c>
    </row>
    <row r="156">
      <c r="A156" s="32" t="inlineStr">
        <is>
          <t>Great Ball</t>
        </is>
      </c>
      <c r="B156" s="32" t="inlineStr">
        <is>
          <t>Mart</t>
        </is>
      </c>
      <c r="C156" s="32" t="inlineStr">
        <is>
          <t>Mauville City - Mart</t>
        </is>
      </c>
      <c r="D156" s="32" t="inlineStr">
        <is>
          <t>Split 4</t>
        </is>
      </c>
      <c r="E156" s="32" t="inlineStr">
        <is>
          <t>Only sold after Badge 2</t>
        </is>
      </c>
      <c r="F156" s="32" t="inlineStr">
        <is>
          <t>-</t>
        </is>
      </c>
    </row>
    <row r="157">
      <c r="A157" s="77" t="inlineStr">
        <is>
          <t>Guard Spec.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Paralyze Heal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Poké Ball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n"/>
      <c r="F159" s="77" t="inlineStr">
        <is>
          <t>-</t>
        </is>
      </c>
    </row>
    <row r="160">
      <c r="A160" s="32" t="inlineStr">
        <is>
          <t>Rare Candy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n"/>
      <c r="F160" s="32" t="inlineStr">
        <is>
          <t>-</t>
        </is>
      </c>
    </row>
    <row r="161">
      <c r="A161" s="77" t="inlineStr">
        <is>
          <t>Super Potion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X Accuracy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X Attack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X Defense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X Speed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Great Ball</t>
        </is>
      </c>
      <c r="B166" s="32" t="inlineStr">
        <is>
          <t>Item Ball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(16, 18)</t>
        </is>
      </c>
    </row>
    <row r="167">
      <c r="A167" s="77" t="inlineStr">
        <is>
          <t>Revive</t>
        </is>
      </c>
      <c r="B167" s="77" t="inlineStr">
        <is>
          <t>Item Ball</t>
        </is>
      </c>
      <c r="C167" s="77" t="inlineStr">
        <is>
          <t>Route 117</t>
        </is>
      </c>
      <c r="D167" s="77" t="inlineStr">
        <is>
          <t>Split 4</t>
        </is>
      </c>
      <c r="E167" s="77" t="n"/>
      <c r="F167" s="77" t="inlineStr">
        <is>
          <t>(9, 1)</t>
        </is>
      </c>
    </row>
    <row r="168">
      <c r="A168" s="32" t="inlineStr">
        <is>
          <t>Repel</t>
        </is>
      </c>
      <c r="B168" s="32" t="inlineStr">
        <is>
          <t>Hidden</t>
        </is>
      </c>
      <c r="C168" s="32" t="inlineStr">
        <is>
          <t>Route 117</t>
        </is>
      </c>
      <c r="D168" s="32" t="inlineStr">
        <is>
          <t>Split 4</t>
        </is>
      </c>
      <c r="E168" s="32" t="n"/>
      <c r="F168" s="32" t="inlineStr">
        <is>
          <t>(3, 18)</t>
        </is>
      </c>
    </row>
    <row r="169">
      <c r="A169" s="77" t="inlineStr">
        <is>
          <t>Antidote</t>
        </is>
      </c>
      <c r="B169" s="77" t="inlineStr">
        <is>
          <t>Mart</t>
        </is>
      </c>
      <c r="C169" s="77" t="inlineStr">
        <is>
          <t>Verdanturf Town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Awakening</t>
        </is>
      </c>
      <c r="B170" s="32" t="inlineStr">
        <is>
          <t>Mart</t>
        </is>
      </c>
      <c r="C170" s="32" t="inlineStr">
        <is>
          <t>Verdanturf Town - Mart</t>
        </is>
      </c>
      <c r="D170" s="32" t="inlineStr">
        <is>
          <t>Split 4</t>
        </is>
      </c>
      <c r="E170" s="32" t="n"/>
      <c r="F170" s="32" t="inlineStr">
        <is>
          <t>-</t>
        </is>
      </c>
    </row>
    <row r="171">
      <c r="A171" s="77" t="inlineStr">
        <is>
          <t>Burn Heal</t>
        </is>
      </c>
      <c r="B171" s="77" t="inlineStr">
        <is>
          <t>Mart</t>
        </is>
      </c>
      <c r="C171" s="77" t="inlineStr">
        <is>
          <t>Verdanturf Town - Mart</t>
        </is>
      </c>
      <c r="D171" s="77" t="inlineStr">
        <is>
          <t>Split 4</t>
        </is>
      </c>
      <c r="E171" s="77" t="n"/>
      <c r="F171" s="77" t="inlineStr">
        <is>
          <t>-</t>
        </is>
      </c>
    </row>
    <row r="172">
      <c r="A172" s="32" t="inlineStr">
        <is>
          <t>Fluffy Tail</t>
        </is>
      </c>
      <c r="B172" s="32" t="inlineStr">
        <is>
          <t>Mart</t>
        </is>
      </c>
      <c r="C172" s="32" t="inlineStr">
        <is>
          <t>Verdanturf Town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Great Ball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inlineStr">
        <is>
          <t>Only sold after Badge 2</t>
        </is>
      </c>
      <c r="F173" s="77" t="inlineStr">
        <is>
          <t>-</t>
        </is>
      </c>
    </row>
    <row r="174">
      <c r="A174" s="32" t="inlineStr">
        <is>
          <t>Ice Heal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Nest Ball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Paralyze Heal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Rare Candy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Repel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Super Potion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X Sp. Atk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Dive Ball</t>
        </is>
      </c>
      <c r="B181" s="77" t="inlineStr">
        <is>
          <t>Item Ball</t>
        </is>
      </c>
      <c r="C181" s="77" t="inlineStr">
        <is>
          <t>Abandoned Ship - Rooms 2 - B1F</t>
        </is>
      </c>
      <c r="D181" s="77" t="inlineStr">
        <is>
          <t>Split 4</t>
        </is>
      </c>
      <c r="E181" s="77" t="n"/>
      <c r="F181" s="77" t="inlineStr">
        <is>
          <t>(13, 3)</t>
        </is>
      </c>
    </row>
    <row r="182">
      <c r="A182" s="32" t="inlineStr">
        <is>
          <t>Escape Rope</t>
        </is>
      </c>
      <c r="B182" s="32" t="inlineStr">
        <is>
          <t>Item Ball</t>
        </is>
      </c>
      <c r="C182" s="32" t="inlineStr">
        <is>
          <t>Abandoned Ship - Rooms - B1F</t>
        </is>
      </c>
      <c r="D182" s="32" t="inlineStr">
        <is>
          <t>Split 4</t>
        </is>
      </c>
      <c r="E182" s="32" t="n"/>
      <c r="F182" s="32" t="inlineStr">
        <is>
          <t>(6, 7)</t>
        </is>
      </c>
    </row>
    <row r="183">
      <c r="A183" s="77" t="inlineStr">
        <is>
          <t>Harbor Mail</t>
        </is>
      </c>
      <c r="B183" s="77" t="inlineStr">
        <is>
          <t>Item Ball</t>
        </is>
      </c>
      <c r="C183" s="77" t="inlineStr">
        <is>
          <t>Abandoned Ship - Rooms - 1F</t>
        </is>
      </c>
      <c r="D183" s="77" t="inlineStr">
        <is>
          <t>Split 4</t>
        </is>
      </c>
      <c r="E183" s="77" t="n"/>
      <c r="F183" s="77" t="inlineStr">
        <is>
          <t>(4, 5)</t>
        </is>
      </c>
    </row>
    <row r="184">
      <c r="A184" s="32" t="inlineStr">
        <is>
          <t>Luxury Ball</t>
        </is>
      </c>
      <c r="B184" s="32" t="inlineStr">
        <is>
          <t>Item Ball</t>
        </is>
      </c>
      <c r="C184" s="32" t="inlineStr">
        <is>
          <t>Abandoned Ship - Hidden Floor Rooms</t>
        </is>
      </c>
      <c r="D184" s="32" t="inlineStr">
        <is>
          <t>Split 4</t>
        </is>
      </c>
      <c r="E184" s="32" t="n"/>
      <c r="F184" s="32" t="inlineStr">
        <is>
          <t>(41, 4)</t>
        </is>
      </c>
    </row>
    <row r="185">
      <c r="A185" s="77" t="inlineStr">
        <is>
          <t>Revive</t>
        </is>
      </c>
      <c r="B185" s="77" t="inlineStr">
        <is>
          <t>Item Ball</t>
        </is>
      </c>
      <c r="C185" s="77" t="inlineStr">
        <is>
          <t>Abandoned Ship - Rooms 2 - 1F</t>
        </is>
      </c>
      <c r="D185" s="77" t="inlineStr">
        <is>
          <t>Split 4</t>
        </is>
      </c>
      <c r="E185" s="77" t="n"/>
      <c r="F185" s="77" t="inlineStr">
        <is>
          <t>(4, 4)</t>
        </is>
      </c>
    </row>
    <row r="186">
      <c r="A186" s="32" t="inlineStr">
        <is>
          <t>Scanner</t>
        </is>
      </c>
      <c r="B186" s="32" t="inlineStr">
        <is>
          <t>Item Ball</t>
        </is>
      </c>
      <c r="C186" s="32" t="inlineStr">
        <is>
          <t>Abandoned Ship - Hidden Floor Rooms</t>
        </is>
      </c>
      <c r="D186" s="32" t="inlineStr">
        <is>
          <t>Split 4</t>
        </is>
      </c>
      <c r="E186" s="32" t="n"/>
      <c r="F186" s="32" t="inlineStr">
        <is>
          <t>(16, 10)</t>
        </is>
      </c>
    </row>
    <row r="187">
      <c r="A187" s="77" t="inlineStr">
        <is>
          <t>Storage Key</t>
        </is>
      </c>
      <c r="B187" s="77" t="inlineStr">
        <is>
          <t>Item Ball</t>
        </is>
      </c>
      <c r="C187" s="77" t="inlineStr">
        <is>
          <t>Abandoned Ship - Captains Office</t>
        </is>
      </c>
      <c r="D187" s="77" t="inlineStr">
        <is>
          <t>Split 4</t>
        </is>
      </c>
      <c r="E187" s="77" t="n"/>
      <c r="F187" s="77" t="inlineStr">
        <is>
          <t>(0, 6)</t>
        </is>
      </c>
    </row>
    <row r="188">
      <c r="A188" s="32" t="inlineStr">
        <is>
          <t>Water Stone</t>
        </is>
      </c>
      <c r="B188" s="32" t="inlineStr">
        <is>
          <t>Item Ball</t>
        </is>
      </c>
      <c r="C188" s="32" t="inlineStr">
        <is>
          <t>Abandoned Ship - Hidden Floor Rooms</t>
        </is>
      </c>
      <c r="D188" s="32" t="inlineStr">
        <is>
          <t>Split 4</t>
        </is>
      </c>
      <c r="E188" s="32" t="n"/>
      <c r="F188" s="32" t="inlineStr">
        <is>
          <t>(31, 11)</t>
        </is>
      </c>
    </row>
    <row r="189">
      <c r="A189" s="77" t="inlineStr">
        <is>
          <t>Key to Room 1</t>
        </is>
      </c>
      <c r="B189" s="77" t="inlineStr">
        <is>
          <t>Hidden</t>
        </is>
      </c>
      <c r="C189" s="77" t="inlineStr">
        <is>
          <t>Abandoned Ship - Hidden Floor Rooms</t>
        </is>
      </c>
      <c r="D189" s="77" t="inlineStr">
        <is>
          <t>Split 4</t>
        </is>
      </c>
      <c r="E189" s="77" t="n"/>
      <c r="F189" s="77" t="inlineStr">
        <is>
          <t>(42, 10)</t>
        </is>
      </c>
    </row>
    <row r="190">
      <c r="A190" s="32" t="inlineStr">
        <is>
          <t>Key to Room 2</t>
        </is>
      </c>
      <c r="B190" s="32" t="inlineStr">
        <is>
          <t>Hidden</t>
        </is>
      </c>
      <c r="C190" s="32" t="inlineStr">
        <is>
          <t>Abandoned Ship - Hidden Floor Rooms</t>
        </is>
      </c>
      <c r="D190" s="32" t="inlineStr">
        <is>
          <t>Split 4</t>
        </is>
      </c>
      <c r="E190" s="32" t="n"/>
      <c r="F190" s="32" t="inlineStr">
        <is>
          <t>(20, 5)</t>
        </is>
      </c>
    </row>
    <row r="191">
      <c r="A191" s="77" t="inlineStr">
        <is>
          <t>Key to Room 4</t>
        </is>
      </c>
      <c r="B191" s="77" t="inlineStr">
        <is>
          <t>Hidden</t>
        </is>
      </c>
      <c r="C191" s="77" t="inlineStr">
        <is>
          <t>Abandoned Ship - Hidden Floor Rooms</t>
        </is>
      </c>
      <c r="D191" s="77" t="inlineStr">
        <is>
          <t>Split 4</t>
        </is>
      </c>
      <c r="E191" s="77" t="n"/>
      <c r="F191" s="77" t="inlineStr">
        <is>
          <t>(1, 12)</t>
        </is>
      </c>
    </row>
    <row r="192">
      <c r="A192" s="32" t="inlineStr">
        <is>
          <t>Key to Room 6</t>
        </is>
      </c>
      <c r="B192" s="32" t="inlineStr">
        <is>
          <t>Hidden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(1, 2)</t>
        </is>
      </c>
    </row>
    <row r="193">
      <c r="A193" s="77" t="inlineStr">
        <is>
          <t>Escape Rope</t>
        </is>
      </c>
      <c r="B193" s="77" t="inlineStr">
        <is>
          <t>Item Ball</t>
        </is>
      </c>
      <c r="C193" s="77" t="inlineStr">
        <is>
          <t>New Mauville - Inside</t>
        </is>
      </c>
      <c r="D193" s="77" t="inlineStr">
        <is>
          <t>Split 4</t>
        </is>
      </c>
      <c r="E193" s="77" t="n"/>
      <c r="F193" s="77" t="inlineStr">
        <is>
          <t>(16, 22)</t>
        </is>
      </c>
    </row>
    <row r="194">
      <c r="A194" s="32" t="inlineStr">
        <is>
          <t>Full Heal</t>
        </is>
      </c>
      <c r="B194" s="32" t="inlineStr">
        <is>
          <t>Item Ball</t>
        </is>
      </c>
      <c r="C194" s="32" t="inlineStr">
        <is>
          <t>New Mauville - Inside</t>
        </is>
      </c>
      <c r="D194" s="32" t="inlineStr">
        <is>
          <t>Split 4</t>
        </is>
      </c>
      <c r="E194" s="32" t="n"/>
      <c r="F194" s="32" t="inlineStr">
        <is>
          <t>(17, 10)</t>
        </is>
      </c>
    </row>
    <row r="195">
      <c r="A195" s="77" t="inlineStr">
        <is>
          <t>Paralyze Heal</t>
        </is>
      </c>
      <c r="B195" s="77" t="inlineStr">
        <is>
          <t>Item Ball</t>
        </is>
      </c>
      <c r="C195" s="77" t="inlineStr">
        <is>
          <t>New Mauville - Inside</t>
        </is>
      </c>
      <c r="D195" s="77" t="inlineStr">
        <is>
          <t>Split 4</t>
        </is>
      </c>
      <c r="E195" s="77" t="n"/>
      <c r="F195" s="77" t="inlineStr">
        <is>
          <t>(2, 11)</t>
        </is>
      </c>
    </row>
    <row r="196">
      <c r="A196" s="32" t="inlineStr">
        <is>
          <t>Thunder Stone</t>
        </is>
      </c>
      <c r="B196" s="32" t="inlineStr">
        <is>
          <t>Item Ball</t>
        </is>
      </c>
      <c r="C196" s="32" t="inlineStr">
        <is>
          <t>New Mauville - Inside</t>
        </is>
      </c>
      <c r="D196" s="32" t="inlineStr">
        <is>
          <t>Split 4</t>
        </is>
      </c>
      <c r="E196" s="32" t="n"/>
      <c r="F196" s="32" t="inlineStr">
        <is>
          <t>(39, 4)</t>
        </is>
      </c>
    </row>
    <row r="197">
      <c r="A197" s="77" t="inlineStr">
        <is>
          <t>Ultra Ball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(32, 25)</t>
        </is>
      </c>
    </row>
    <row r="198">
      <c r="A198" s="32" t="inlineStr">
        <is>
          <t>Manectite</t>
        </is>
      </c>
      <c r="B198" s="32" t="inlineStr">
        <is>
          <t>Hidden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(33, 25)</t>
        </is>
      </c>
    </row>
    <row r="199">
      <c r="A199" s="77" t="inlineStr">
        <is>
          <t>Elixir</t>
        </is>
      </c>
      <c r="B199" s="77" t="inlineStr">
        <is>
          <t>Item Ball</t>
        </is>
      </c>
      <c r="C199" s="77" t="inlineStr">
        <is>
          <t>Route 111</t>
        </is>
      </c>
      <c r="D199" s="77" t="inlineStr">
        <is>
          <t>Split 5</t>
        </is>
      </c>
      <c r="E199" s="77" t="n"/>
      <c r="F199" s="77" t="inlineStr">
        <is>
          <t>(19, 118)</t>
        </is>
      </c>
    </row>
    <row r="200">
      <c r="A200" s="32" t="inlineStr">
        <is>
          <t>Ether</t>
        </is>
      </c>
      <c r="B200" s="32" t="inlineStr">
        <is>
          <t>Item Ball</t>
        </is>
      </c>
      <c r="C200" s="32" t="inlineStr">
        <is>
          <t>Route 111</t>
        </is>
      </c>
      <c r="D200" s="32" t="inlineStr">
        <is>
          <t>Split 5</t>
        </is>
      </c>
      <c r="E200" s="32" t="n"/>
      <c r="F200" s="32" t="inlineStr">
        <is>
          <t>(3, 114)</t>
        </is>
      </c>
    </row>
    <row r="201">
      <c r="A201" s="77" t="inlineStr">
        <is>
          <t>Soft Sand</t>
        </is>
      </c>
      <c r="B201" s="77" t="inlineStr">
        <is>
          <t>Item Ball</t>
        </is>
      </c>
      <c r="C201" s="77" t="inlineStr">
        <is>
          <t>Route 111</t>
        </is>
      </c>
      <c r="D201" s="77" t="inlineStr">
        <is>
          <t>Split 5</t>
        </is>
      </c>
      <c r="E201" s="77" t="n"/>
      <c r="F201" s="77" t="inlineStr">
        <is>
          <t>(33, 104)</t>
        </is>
      </c>
    </row>
    <row r="202">
      <c r="A202" s="32" t="inlineStr">
        <is>
          <t>Stardust</t>
        </is>
      </c>
      <c r="B202" s="32" t="inlineStr">
        <is>
          <t>Item Ball</t>
        </is>
      </c>
      <c r="C202" s="32" t="inlineStr">
        <is>
          <t>Route 111</t>
        </is>
      </c>
      <c r="D202" s="32" t="inlineStr">
        <is>
          <t>Split 5</t>
        </is>
      </c>
      <c r="E202" s="32" t="n"/>
      <c r="F202" s="32" t="inlineStr">
        <is>
          <t>(12, 54)</t>
        </is>
      </c>
    </row>
    <row r="203">
      <c r="A203" s="77" t="inlineStr">
        <is>
          <t>Escape Rope</t>
        </is>
      </c>
      <c r="B203" s="77" t="inlineStr">
        <is>
          <t>Hidden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(19, 55)</t>
        </is>
      </c>
    </row>
    <row r="204">
      <c r="A204" s="32" t="inlineStr">
        <is>
          <t>Kangaskhanite</t>
        </is>
      </c>
      <c r="B204" s="32" t="inlineStr">
        <is>
          <t>Hidden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(36, 66)</t>
        </is>
      </c>
    </row>
    <row r="205">
      <c r="A205" s="77" t="inlineStr">
        <is>
          <t>Rare Candy</t>
        </is>
      </c>
      <c r="B205" s="77" t="inlineStr">
        <is>
          <t>Hidden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(35, 66)</t>
        </is>
      </c>
    </row>
    <row r="206">
      <c r="A206" s="32" t="inlineStr">
        <is>
          <t>Stardust</t>
        </is>
      </c>
      <c r="B206" s="32" t="inlineStr">
        <is>
          <t>Hidden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(26, 70)</t>
        </is>
      </c>
    </row>
    <row r="207">
      <c r="A207" s="77" t="inlineStr">
        <is>
          <t>Nugget</t>
        </is>
      </c>
      <c r="B207" s="77" t="inlineStr">
        <is>
          <t>Item Ball</t>
        </is>
      </c>
      <c r="C207" s="77" t="inlineStr">
        <is>
          <t>Route 112</t>
        </is>
      </c>
      <c r="D207" s="77" t="inlineStr">
        <is>
          <t>Split 5</t>
        </is>
      </c>
      <c r="E207" s="77" t="n"/>
      <c r="F207" s="77" t="inlineStr">
        <is>
          <t>(14, 43)</t>
        </is>
      </c>
    </row>
    <row r="208">
      <c r="A208" s="32" t="inlineStr">
        <is>
          <t>Blazikenite</t>
        </is>
      </c>
      <c r="B208" s="32" t="inlineStr">
        <is>
          <t>Hidden</t>
        </is>
      </c>
      <c r="C208" s="32" t="inlineStr">
        <is>
          <t>Route 112</t>
        </is>
      </c>
      <c r="D208" s="32" t="inlineStr">
        <is>
          <t>Split 5</t>
        </is>
      </c>
      <c r="E208" s="32" t="n"/>
      <c r="F208" s="32" t="inlineStr">
        <is>
          <t>(25, 7)</t>
        </is>
      </c>
    </row>
    <row r="209">
      <c r="A209" s="77" t="inlineStr">
        <is>
          <t>Fire Stone</t>
        </is>
      </c>
      <c r="B209" s="77" t="inlineStr">
        <is>
          <t>Item Ball</t>
        </is>
      </c>
      <c r="C209" s="77" t="inlineStr">
        <is>
          <t>Fiery Path</t>
        </is>
      </c>
      <c r="D209" s="77" t="inlineStr">
        <is>
          <t>Split 5</t>
        </is>
      </c>
      <c r="E209" s="77" t="n"/>
      <c r="F209" s="77" t="inlineStr">
        <is>
          <t>(7, 32)</t>
        </is>
      </c>
    </row>
    <row r="210">
      <c r="A210" s="32" t="inlineStr">
        <is>
          <t>Absolite</t>
        </is>
      </c>
      <c r="B210" s="32" t="inlineStr">
        <is>
          <t>Hidden</t>
        </is>
      </c>
      <c r="C210" s="32" t="inlineStr">
        <is>
          <t>Fiery Path</t>
        </is>
      </c>
      <c r="D210" s="32" t="inlineStr">
        <is>
          <t>Split 5</t>
        </is>
      </c>
      <c r="E210" s="32" t="n"/>
      <c r="F210" s="32" t="inlineStr">
        <is>
          <t>(25, 35)</t>
        </is>
      </c>
    </row>
    <row r="211">
      <c r="A211" s="77" t="inlineStr">
        <is>
          <t>Hyper Potion</t>
        </is>
      </c>
      <c r="B211" s="77" t="inlineStr">
        <is>
          <t>Item Ball</t>
        </is>
      </c>
      <c r="C211" s="77" t="inlineStr">
        <is>
          <t>Route 113</t>
        </is>
      </c>
      <c r="D211" s="77" t="inlineStr">
        <is>
          <t>Split 5</t>
        </is>
      </c>
      <c r="E211" s="77" t="n"/>
      <c r="F211" s="77" t="inlineStr">
        <is>
          <t>(15, 15)</t>
        </is>
      </c>
    </row>
    <row r="212">
      <c r="A212" s="32" t="inlineStr">
        <is>
          <t>Max Ether</t>
        </is>
      </c>
      <c r="B212" s="32" t="inlineStr">
        <is>
          <t>Item Ball</t>
        </is>
      </c>
      <c r="C212" s="32" t="inlineStr">
        <is>
          <t>Route 113</t>
        </is>
      </c>
      <c r="D212" s="32" t="inlineStr">
        <is>
          <t>Split 5</t>
        </is>
      </c>
      <c r="E212" s="32" t="n"/>
      <c r="F212" s="32" t="inlineStr">
        <is>
          <t>(53, 7)</t>
        </is>
      </c>
    </row>
    <row r="213">
      <c r="A213" s="77" t="inlineStr">
        <is>
          <t>Super Repel</t>
        </is>
      </c>
      <c r="B213" s="77" t="inlineStr">
        <is>
          <t>Item Ball</t>
        </is>
      </c>
      <c r="C213" s="77" t="inlineStr">
        <is>
          <t>Route 113</t>
        </is>
      </c>
      <c r="D213" s="77" t="inlineStr">
        <is>
          <t>Split 5</t>
        </is>
      </c>
      <c r="E213" s="77" t="n"/>
      <c r="F213" s="77" t="inlineStr">
        <is>
          <t>(79, 5)</t>
        </is>
      </c>
    </row>
    <row r="214">
      <c r="A214" s="32" t="inlineStr">
        <is>
          <t>Ether</t>
        </is>
      </c>
      <c r="B214" s="32" t="inlineStr">
        <is>
          <t>Hidden</t>
        </is>
      </c>
      <c r="C214" s="32" t="inlineStr">
        <is>
          <t>Route 113</t>
        </is>
      </c>
      <c r="D214" s="32" t="inlineStr">
        <is>
          <t>Split 5</t>
        </is>
      </c>
      <c r="E214" s="32" t="n"/>
      <c r="F214" s="32" t="inlineStr">
        <is>
          <t>(66, 3)</t>
        </is>
      </c>
    </row>
    <row r="215">
      <c r="A215" s="77" t="inlineStr">
        <is>
          <t>Nugget</t>
        </is>
      </c>
      <c r="B215" s="77" t="inlineStr">
        <is>
          <t>Hidden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(73, 3)</t>
        </is>
      </c>
    </row>
    <row r="216">
      <c r="A216" s="32" t="inlineStr">
        <is>
          <t>Nugget</t>
        </is>
      </c>
      <c r="B216" s="32" t="inlineStr">
        <is>
          <t>Hidden</t>
        </is>
      </c>
      <c r="C216" s="32" t="inlineStr">
        <is>
          <t>Fallarbor Town</t>
        </is>
      </c>
      <c r="D216" s="32" t="inlineStr">
        <is>
          <t>Split 5</t>
        </is>
      </c>
      <c r="E216" s="32" t="n"/>
      <c r="F216" s="32" t="inlineStr">
        <is>
          <t>(2, 15)</t>
        </is>
      </c>
    </row>
    <row r="217">
      <c r="A217" s="77" t="inlineStr">
        <is>
          <t>Antidote</t>
        </is>
      </c>
      <c r="B217" s="77" t="inlineStr">
        <is>
          <t>Mart</t>
        </is>
      </c>
      <c r="C217" s="77" t="inlineStr">
        <is>
          <t>Fallarbor Town - Mart</t>
        </is>
      </c>
      <c r="D217" s="77" t="inlineStr">
        <is>
          <t>Split 5</t>
        </is>
      </c>
      <c r="E217" s="77" t="n"/>
      <c r="F217" s="77" t="inlineStr">
        <is>
          <t>-</t>
        </is>
      </c>
    </row>
    <row r="218">
      <c r="A218" s="32" t="inlineStr">
        <is>
          <t>Dire Hit</t>
        </is>
      </c>
      <c r="B218" s="32" t="inlineStr">
        <is>
          <t>Mart</t>
        </is>
      </c>
      <c r="C218" s="32" t="inlineStr">
        <is>
          <t>Fallarbor Town - Mart</t>
        </is>
      </c>
      <c r="D218" s="32" t="inlineStr">
        <is>
          <t>Split 5</t>
        </is>
      </c>
      <c r="E218" s="32" t="n"/>
      <c r="F218" s="32" t="inlineStr">
        <is>
          <t>-</t>
        </is>
      </c>
    </row>
    <row r="219">
      <c r="A219" s="77" t="inlineStr">
        <is>
          <t>Escape Rope</t>
        </is>
      </c>
      <c r="B219" s="77" t="inlineStr">
        <is>
          <t>Mart</t>
        </is>
      </c>
      <c r="C219" s="77" t="inlineStr">
        <is>
          <t>Fallarbor Town - Mart</t>
        </is>
      </c>
      <c r="D219" s="77" t="inlineStr">
        <is>
          <t>Split 5</t>
        </is>
      </c>
      <c r="E219" s="77" t="n"/>
      <c r="F219" s="77" t="inlineStr">
        <is>
          <t>-</t>
        </is>
      </c>
    </row>
    <row r="220">
      <c r="A220" s="32" t="inlineStr">
        <is>
          <t>Great Ball</t>
        </is>
      </c>
      <c r="B220" s="32" t="inlineStr">
        <is>
          <t>Mart</t>
        </is>
      </c>
      <c r="C220" s="32" t="inlineStr">
        <is>
          <t>Fallarbor Town - Mart</t>
        </is>
      </c>
      <c r="D220" s="32" t="inlineStr">
        <is>
          <t>Split 5</t>
        </is>
      </c>
      <c r="E220" s="32" t="inlineStr">
        <is>
          <t>Only sold after Badge 2</t>
        </is>
      </c>
      <c r="F220" s="32" t="inlineStr">
        <is>
          <t>-</t>
        </is>
      </c>
    </row>
    <row r="221">
      <c r="A221" s="77" t="inlineStr">
        <is>
          <t>Guard Spec.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Paralyze Heal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Rare Candy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n"/>
      <c r="F223" s="77" t="inlineStr">
        <is>
          <t>-</t>
        </is>
      </c>
    </row>
    <row r="224">
      <c r="A224" s="32" t="inlineStr">
        <is>
          <t>Super Potion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n"/>
      <c r="F224" s="32" t="inlineStr">
        <is>
          <t>-</t>
        </is>
      </c>
    </row>
    <row r="225">
      <c r="A225" s="77" t="inlineStr">
        <is>
          <t>Super Repel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X Attack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X Defense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X Sp. Atk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X Speed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Energy Powder</t>
        </is>
      </c>
      <c r="B230" s="32" t="inlineStr">
        <is>
          <t>Item Ball</t>
        </is>
      </c>
      <c r="C230" s="32" t="inlineStr">
        <is>
          <t>Route 114</t>
        </is>
      </c>
      <c r="D230" s="32" t="inlineStr">
        <is>
          <t>Split 5</t>
        </is>
      </c>
      <c r="E230" s="32" t="n"/>
      <c r="F230" s="32" t="inlineStr">
        <is>
          <t>(31, 19)</t>
        </is>
      </c>
    </row>
    <row r="231">
      <c r="A231" s="77" t="inlineStr">
        <is>
          <t>Protein</t>
        </is>
      </c>
      <c r="B231" s="77" t="inlineStr">
        <is>
          <t>Item Ball</t>
        </is>
      </c>
      <c r="C231" s="77" t="inlineStr">
        <is>
          <t>Route 114</t>
        </is>
      </c>
      <c r="D231" s="77" t="inlineStr">
        <is>
          <t>Split 5</t>
        </is>
      </c>
      <c r="E231" s="77" t="n"/>
      <c r="F231" s="77" t="inlineStr">
        <is>
          <t>(11, 37)</t>
        </is>
      </c>
    </row>
    <row r="232">
      <c r="A232" s="32" t="inlineStr">
        <is>
          <t>Rare Candy</t>
        </is>
      </c>
      <c r="B232" s="32" t="inlineStr">
        <is>
          <t>Item Ball</t>
        </is>
      </c>
      <c r="C232" s="32" t="inlineStr">
        <is>
          <t>Route 114</t>
        </is>
      </c>
      <c r="D232" s="32" t="inlineStr">
        <is>
          <t>Split 5</t>
        </is>
      </c>
      <c r="E232" s="32" t="n"/>
      <c r="F232" s="32" t="inlineStr">
        <is>
          <t>(7, 6)</t>
        </is>
      </c>
    </row>
    <row r="233">
      <c r="A233" s="77" t="inlineStr">
        <is>
          <t>Carbos</t>
        </is>
      </c>
      <c r="B233" s="77" t="inlineStr">
        <is>
          <t>Hidden</t>
        </is>
      </c>
      <c r="C233" s="77" t="inlineStr">
        <is>
          <t>Route 114</t>
        </is>
      </c>
      <c r="D233" s="77" t="inlineStr">
        <is>
          <t>Split 5</t>
        </is>
      </c>
      <c r="E233" s="77" t="n"/>
      <c r="F233" s="77" t="inlineStr">
        <is>
          <t>(20, 57)</t>
        </is>
      </c>
    </row>
    <row r="234">
      <c r="A234" s="32" t="inlineStr">
        <is>
          <t>Revive</t>
        </is>
      </c>
      <c r="B234" s="32" t="inlineStr">
        <is>
          <t>Hidden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(7, 30)</t>
        </is>
      </c>
    </row>
    <row r="235">
      <c r="A235" s="77" t="inlineStr">
        <is>
          <t>Burn Heal</t>
        </is>
      </c>
      <c r="B235" s="77" t="inlineStr">
        <is>
          <t>Item Ball</t>
        </is>
      </c>
      <c r="C235" s="77" t="inlineStr">
        <is>
          <t>Jagged Pass</t>
        </is>
      </c>
      <c r="D235" s="77" t="inlineStr">
        <is>
          <t>Split 5</t>
        </is>
      </c>
      <c r="E235" s="77" t="n"/>
      <c r="F235" s="77" t="inlineStr">
        <is>
          <t>(23, 24)</t>
        </is>
      </c>
    </row>
    <row r="236">
      <c r="A236" s="32" t="inlineStr">
        <is>
          <t>Full Heal</t>
        </is>
      </c>
      <c r="B236" s="32" t="inlineStr">
        <is>
          <t>Hidden</t>
        </is>
      </c>
      <c r="C236" s="32" t="inlineStr">
        <is>
          <t>Jagged Pass</t>
        </is>
      </c>
      <c r="D236" s="32" t="inlineStr">
        <is>
          <t>Split 5</t>
        </is>
      </c>
      <c r="E236" s="32" t="n"/>
      <c r="F236" s="32" t="inlineStr">
        <is>
          <t>(8, 10)</t>
        </is>
      </c>
    </row>
    <row r="237">
      <c r="A237" s="77" t="inlineStr">
        <is>
          <t>Great Ball</t>
        </is>
      </c>
      <c r="B237" s="77" t="inlineStr">
        <is>
          <t>Hidden</t>
        </is>
      </c>
      <c r="C237" s="77" t="inlineStr">
        <is>
          <t>Jagged Pass</t>
        </is>
      </c>
      <c r="D237" s="77" t="inlineStr">
        <is>
          <t>Split 5</t>
        </is>
      </c>
      <c r="E237" s="77" t="n"/>
      <c r="F237" s="77" t="inlineStr">
        <is>
          <t>(7, 29)</t>
        </is>
      </c>
    </row>
    <row r="238">
      <c r="A238" s="32" t="inlineStr">
        <is>
          <t>Ice Heal</t>
        </is>
      </c>
      <c r="B238" s="32" t="inlineStr">
        <is>
          <t>Hidden</t>
        </is>
      </c>
      <c r="C238" s="32" t="inlineStr">
        <is>
          <t>Lavaridge Town</t>
        </is>
      </c>
      <c r="D238" s="32" t="inlineStr">
        <is>
          <t>Split 5</t>
        </is>
      </c>
      <c r="E238" s="32" t="n"/>
      <c r="F238" s="32" t="inlineStr">
        <is>
          <t>(4, 5)</t>
        </is>
      </c>
    </row>
    <row r="239">
      <c r="A239" s="77" t="inlineStr">
        <is>
          <t>Antidote</t>
        </is>
      </c>
      <c r="B239" s="77" t="inlineStr">
        <is>
          <t>Mart</t>
        </is>
      </c>
      <c r="C239" s="77" t="inlineStr">
        <is>
          <t>Lavaridge Town - Mart</t>
        </is>
      </c>
      <c r="D239" s="77" t="inlineStr">
        <is>
          <t>Split 5</t>
        </is>
      </c>
      <c r="E239" s="77" t="n"/>
      <c r="F239" s="77" t="inlineStr">
        <is>
          <t>-</t>
        </is>
      </c>
    </row>
    <row r="240">
      <c r="A240" s="32" t="inlineStr">
        <is>
          <t>Awakening</t>
        </is>
      </c>
      <c r="B240" s="32" t="inlineStr">
        <is>
          <t>Mart</t>
        </is>
      </c>
      <c r="C240" s="32" t="inlineStr">
        <is>
          <t>Lavaridge Town - Mart</t>
        </is>
      </c>
      <c r="D240" s="32" t="inlineStr">
        <is>
          <t>Split 5</t>
        </is>
      </c>
      <c r="E240" s="32" t="n"/>
      <c r="F240" s="32" t="inlineStr">
        <is>
          <t>-</t>
        </is>
      </c>
    </row>
    <row r="241">
      <c r="A241" s="77" t="inlineStr">
        <is>
          <t>Burn Heal</t>
        </is>
      </c>
      <c r="B241" s="77" t="inlineStr">
        <is>
          <t>Mart</t>
        </is>
      </c>
      <c r="C241" s="77" t="inlineStr">
        <is>
          <t>Lavaridge Town - Mart</t>
        </is>
      </c>
      <c r="D241" s="77" t="inlineStr">
        <is>
          <t>Split 5</t>
        </is>
      </c>
      <c r="E241" s="77" t="n"/>
      <c r="F241" s="77" t="inlineStr">
        <is>
          <t>-</t>
        </is>
      </c>
    </row>
    <row r="242">
      <c r="A242" s="32" t="inlineStr">
        <is>
          <t>Energy Powder</t>
        </is>
      </c>
      <c r="B242" s="32" t="inlineStr">
        <is>
          <t>Mart</t>
        </is>
      </c>
      <c r="C242" s="32" t="inlineStr">
        <is>
          <t>Lavaridge Town - Herb Shop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Energy Root</t>
        </is>
      </c>
      <c r="B243" s="77" t="inlineStr">
        <is>
          <t>Mart</t>
        </is>
      </c>
      <c r="C243" s="77" t="inlineStr">
        <is>
          <t>Lavaridge Town - Herb Shop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Great Ball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inlineStr">
        <is>
          <t>Only sold after Badge 2</t>
        </is>
      </c>
      <c r="F244" s="32" t="inlineStr">
        <is>
          <t>-</t>
        </is>
      </c>
    </row>
    <row r="245">
      <c r="A245" s="77" t="inlineStr">
        <is>
          <t>Heal Powder</t>
        </is>
      </c>
      <c r="B245" s="77" t="inlineStr">
        <is>
          <t>Mart</t>
        </is>
      </c>
      <c r="C245" s="77" t="inlineStr">
        <is>
          <t>Lavaridge Town - Herb Shop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Paralyze Heal</t>
        </is>
      </c>
      <c r="B246" s="32" t="inlineStr">
        <is>
          <t>Mart</t>
        </is>
      </c>
      <c r="C246" s="32" t="inlineStr">
        <is>
          <t>Lavaridge Town - Mart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Rare Candy</t>
        </is>
      </c>
      <c r="B247" s="77" t="inlineStr">
        <is>
          <t>Mart</t>
        </is>
      </c>
      <c r="C247" s="77" t="inlineStr">
        <is>
          <t>Lavaridge Town - Mart</t>
        </is>
      </c>
      <c r="D247" s="77" t="inlineStr">
        <is>
          <t>Split 5</t>
        </is>
      </c>
      <c r="E247" s="77" t="n"/>
      <c r="F247" s="77" t="inlineStr">
        <is>
          <t>-</t>
        </is>
      </c>
    </row>
    <row r="248">
      <c r="A248" s="32" t="inlineStr">
        <is>
          <t>Revival Herb</t>
        </is>
      </c>
      <c r="B248" s="32" t="inlineStr">
        <is>
          <t>Mart</t>
        </is>
      </c>
      <c r="C248" s="32" t="inlineStr">
        <is>
          <t>Lavaridge Town - Herb Shop</t>
        </is>
      </c>
      <c r="D248" s="32" t="inlineStr">
        <is>
          <t>Split 5</t>
        </is>
      </c>
      <c r="E248" s="32" t="n"/>
      <c r="F248" s="32" t="inlineStr">
        <is>
          <t>-</t>
        </is>
      </c>
    </row>
    <row r="249">
      <c r="A249" s="77" t="inlineStr">
        <is>
          <t>Revive</t>
        </is>
      </c>
      <c r="B249" s="77" t="inlineStr">
        <is>
          <t>Mart</t>
        </is>
      </c>
      <c r="C249" s="77" t="inlineStr">
        <is>
          <t>Lavaridge Town - Mart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Super Potion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Super Repel</t>
        </is>
      </c>
      <c r="B251" s="77" t="inlineStr">
        <is>
          <t>Mart</t>
        </is>
      </c>
      <c r="C251" s="77" t="inlineStr">
        <is>
          <t>Lavaridge Town - Mart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X Speed</t>
        </is>
      </c>
      <c r="B252" s="32" t="inlineStr">
        <is>
          <t>Mart</t>
        </is>
      </c>
      <c r="C252" s="32" t="inlineStr">
        <is>
          <t>Lavaridge Town - Mart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Escape Rope</t>
        </is>
      </c>
      <c r="B253" s="77" t="inlineStr">
        <is>
          <t>Item Ball</t>
        </is>
      </c>
      <c r="C253" s="77" t="inlineStr">
        <is>
          <t>Magma Hideout - 3F - 3R</t>
        </is>
      </c>
      <c r="D253" s="77" t="inlineStr">
        <is>
          <t>Split 5</t>
        </is>
      </c>
      <c r="E253" s="77" t="n"/>
      <c r="F253" s="77" t="inlineStr">
        <is>
          <t>(9, 19)</t>
        </is>
      </c>
    </row>
    <row r="254">
      <c r="A254" s="32" t="inlineStr">
        <is>
          <t>Full Restore</t>
        </is>
      </c>
      <c r="B254" s="32" t="inlineStr">
        <is>
          <t>Item Ball</t>
        </is>
      </c>
      <c r="C254" s="32" t="inlineStr">
        <is>
          <t>Magma Hideout - 2F - 2R</t>
        </is>
      </c>
      <c r="D254" s="32" t="inlineStr">
        <is>
          <t>Split 5</t>
        </is>
      </c>
      <c r="E254" s="32" t="n"/>
      <c r="F254" s="32" t="inlineStr">
        <is>
          <t>(14, 6)</t>
        </is>
      </c>
    </row>
    <row r="255">
      <c r="A255" s="77" t="inlineStr">
        <is>
          <t>Max Elixir</t>
        </is>
      </c>
      <c r="B255" s="77" t="inlineStr">
        <is>
          <t>Item Ball</t>
        </is>
      </c>
      <c r="C255" s="77" t="inlineStr">
        <is>
          <t>Magma Hideout - 2F - 2R</t>
        </is>
      </c>
      <c r="D255" s="77" t="inlineStr">
        <is>
          <t>Split 5</t>
        </is>
      </c>
      <c r="E255" s="77" t="n"/>
      <c r="F255" s="77" t="inlineStr">
        <is>
          <t>(21, 7)</t>
        </is>
      </c>
    </row>
    <row r="256">
      <c r="A256" s="32" t="inlineStr">
        <is>
          <t>Max Revive</t>
        </is>
      </c>
      <c r="B256" s="32" t="inlineStr">
        <is>
          <t>Item Ball</t>
        </is>
      </c>
      <c r="C256" s="32" t="inlineStr">
        <is>
          <t>Magma Hideout - 4F</t>
        </is>
      </c>
      <c r="D256" s="32" t="inlineStr">
        <is>
          <t>Split 5</t>
        </is>
      </c>
      <c r="E256" s="32" t="n"/>
      <c r="F256" s="32" t="inlineStr">
        <is>
          <t>(3, 7)</t>
        </is>
      </c>
    </row>
    <row r="257">
      <c r="A257" s="77" t="inlineStr">
        <is>
          <t>Nugget</t>
        </is>
      </c>
      <c r="B257" s="77" t="inlineStr">
        <is>
          <t>Item Ball</t>
        </is>
      </c>
      <c r="C257" s="77" t="inlineStr">
        <is>
          <t>Magma Hideout - 3F - 1R</t>
        </is>
      </c>
      <c r="D257" s="77" t="inlineStr">
        <is>
          <t>Split 5</t>
        </is>
      </c>
      <c r="E257" s="77" t="n"/>
      <c r="F257" s="77" t="inlineStr">
        <is>
          <t>(9, 16)</t>
        </is>
      </c>
    </row>
    <row r="258">
      <c r="A258" s="32" t="inlineStr">
        <is>
          <t>PP Max</t>
        </is>
      </c>
      <c r="B258" s="32" t="inlineStr">
        <is>
          <t>Item Ball</t>
        </is>
      </c>
      <c r="C258" s="32" t="inlineStr">
        <is>
          <t>Magma Hideout - 3F - 2R</t>
        </is>
      </c>
      <c r="D258" s="32" t="inlineStr">
        <is>
          <t>Split 5</t>
        </is>
      </c>
      <c r="E258" s="32" t="n"/>
      <c r="F258" s="32" t="inlineStr">
        <is>
          <t>(5, 9)</t>
        </is>
      </c>
    </row>
    <row r="259">
      <c r="A259" s="77" t="inlineStr">
        <is>
          <t>Rare Candy</t>
        </is>
      </c>
      <c r="B259" s="77" t="inlineStr">
        <is>
          <t>Item Ball</t>
        </is>
      </c>
      <c r="C259" s="77" t="inlineStr">
        <is>
          <t>Magma Hideout - 1F</t>
        </is>
      </c>
      <c r="D259" s="77" t="inlineStr">
        <is>
          <t>Split 5</t>
        </is>
      </c>
      <c r="E259" s="77" t="n"/>
      <c r="F259" s="77" t="inlineStr">
        <is>
          <t>(3, 20)</t>
        </is>
      </c>
    </row>
    <row r="260">
      <c r="A260" s="32" t="inlineStr">
        <is>
          <t>Hyper Potion</t>
        </is>
      </c>
      <c r="B260" s="32" t="inlineStr">
        <is>
          <t>Item Ball</t>
        </is>
      </c>
      <c r="C260" s="32" t="inlineStr">
        <is>
          <t>Route 118</t>
        </is>
      </c>
      <c r="D260" s="32" t="inlineStr">
        <is>
          <t>Split 6</t>
        </is>
      </c>
      <c r="E260" s="32" t="n"/>
      <c r="F260" s="32" t="inlineStr">
        <is>
          <t>(69, 7)</t>
        </is>
      </c>
    </row>
    <row r="261">
      <c r="A261" s="77" t="inlineStr">
        <is>
          <t>Heart Scale</t>
        </is>
      </c>
      <c r="B261" s="77" t="inlineStr">
        <is>
          <t>Hidden</t>
        </is>
      </c>
      <c r="C261" s="77" t="inlineStr">
        <is>
          <t>Route 118</t>
        </is>
      </c>
      <c r="D261" s="77" t="inlineStr">
        <is>
          <t>Split 6</t>
        </is>
      </c>
      <c r="E261" s="77" t="n"/>
      <c r="F261" s="77" t="inlineStr">
        <is>
          <t>(12, 14)</t>
        </is>
      </c>
    </row>
    <row r="262">
      <c r="A262" s="32" t="inlineStr">
        <is>
          <t>Iron</t>
        </is>
      </c>
      <c r="B262" s="32" t="inlineStr">
        <is>
          <t>Hidden</t>
        </is>
      </c>
      <c r="C262" s="32" t="inlineStr">
        <is>
          <t>Route 118</t>
        </is>
      </c>
      <c r="D262" s="32" t="inlineStr">
        <is>
          <t>Split 6</t>
        </is>
      </c>
      <c r="E262" s="32" t="n"/>
      <c r="F262" s="32" t="inlineStr">
        <is>
          <t>(31, 13)</t>
        </is>
      </c>
    </row>
    <row r="263">
      <c r="A263" s="77" t="inlineStr">
        <is>
          <t>Elixir</t>
        </is>
      </c>
      <c r="B263" s="77" t="inlineStr">
        <is>
          <t>Item Ball</t>
        </is>
      </c>
      <c r="C263" s="77" t="inlineStr">
        <is>
          <t>Route 119</t>
        </is>
      </c>
      <c r="D263" s="77" t="inlineStr">
        <is>
          <t>Split 6</t>
        </is>
      </c>
      <c r="E263" s="77" t="n"/>
      <c r="F263" s="77" t="inlineStr">
        <is>
          <t>(29, 53)</t>
        </is>
      </c>
    </row>
    <row r="264">
      <c r="A264" s="32" t="inlineStr">
        <is>
          <t>Elixir</t>
        </is>
      </c>
      <c r="B264" s="32" t="inlineStr">
        <is>
          <t>Item Ball</t>
        </is>
      </c>
      <c r="C264" s="32" t="inlineStr">
        <is>
          <t>Route 119</t>
        </is>
      </c>
      <c r="D264" s="32" t="inlineStr">
        <is>
          <t>Split 6</t>
        </is>
      </c>
      <c r="E264" s="32" t="n"/>
      <c r="F264" s="32" t="inlineStr">
        <is>
          <t>(24, 42)</t>
        </is>
      </c>
    </row>
    <row r="265">
      <c r="A265" s="77" t="inlineStr">
        <is>
          <t>Hyper Potion</t>
        </is>
      </c>
      <c r="B265" s="77" t="inlineStr">
        <is>
          <t>Item Ball</t>
        </is>
      </c>
      <c r="C265" s="77" t="inlineStr">
        <is>
          <t>Route 119</t>
        </is>
      </c>
      <c r="D265" s="77" t="inlineStr">
        <is>
          <t>Split 6</t>
        </is>
      </c>
      <c r="E265" s="77" t="n"/>
      <c r="F265" s="77" t="inlineStr">
        <is>
          <t>(33, 117)</t>
        </is>
      </c>
    </row>
    <row r="266">
      <c r="A266" s="32" t="inlineStr">
        <is>
          <t>Hyper Potion</t>
        </is>
      </c>
      <c r="B266" s="32" t="inlineStr">
        <is>
          <t>Item Ball</t>
        </is>
      </c>
      <c r="C266" s="32" t="inlineStr">
        <is>
          <t>Route 119</t>
        </is>
      </c>
      <c r="D266" s="32" t="inlineStr">
        <is>
          <t>Split 6</t>
        </is>
      </c>
      <c r="E266" s="32" t="n"/>
      <c r="F266" s="32" t="inlineStr">
        <is>
          <t>(3, 56)</t>
        </is>
      </c>
    </row>
    <row r="267">
      <c r="A267" s="77" t="inlineStr">
        <is>
          <t>Leaf Stone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(25, 76)</t>
        </is>
      </c>
    </row>
    <row r="268">
      <c r="A268" s="32" t="inlineStr">
        <is>
          <t>Nugget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(19, 5)</t>
        </is>
      </c>
    </row>
    <row r="269">
      <c r="A269" s="77" t="inlineStr">
        <is>
          <t>Rare Candy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(8, 18)</t>
        </is>
      </c>
    </row>
    <row r="270">
      <c r="A270" s="32" t="inlineStr">
        <is>
          <t>Super Repel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(12, 121)</t>
        </is>
      </c>
    </row>
    <row r="271">
      <c r="A271" s="77" t="inlineStr">
        <is>
          <t>Zinc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(4, 96)</t>
        </is>
      </c>
    </row>
    <row r="272">
      <c r="A272" s="32" t="inlineStr">
        <is>
          <t>Calcium</t>
        </is>
      </c>
      <c r="B272" s="32" t="inlineStr">
        <is>
          <t>Hidden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(17, 82)</t>
        </is>
      </c>
    </row>
    <row r="273">
      <c r="A273" s="77" t="inlineStr">
        <is>
          <t>Full Heal</t>
        </is>
      </c>
      <c r="B273" s="77" t="inlineStr">
        <is>
          <t>Hidden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(26, 120)</t>
        </is>
      </c>
    </row>
    <row r="274">
      <c r="A274" s="32" t="inlineStr">
        <is>
          <t>Max Ether</t>
        </is>
      </c>
      <c r="B274" s="32" t="inlineStr">
        <is>
          <t>Hidden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(20, 29)</t>
        </is>
      </c>
    </row>
    <row r="275">
      <c r="A275" s="77" t="inlineStr">
        <is>
          <t>Ultra Ball</t>
        </is>
      </c>
      <c r="B275" s="77" t="inlineStr">
        <is>
          <t>Hidden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(38, 63)</t>
        </is>
      </c>
    </row>
    <row r="276">
      <c r="A276" s="32" t="inlineStr">
        <is>
          <t>Antidote</t>
        </is>
      </c>
      <c r="B276" s="32" t="inlineStr">
        <is>
          <t>Mart</t>
        </is>
      </c>
      <c r="C276" s="32" t="inlineStr">
        <is>
          <t>Fortree City - Mart</t>
        </is>
      </c>
      <c r="D276" s="32" t="inlineStr">
        <is>
          <t>Split 6</t>
        </is>
      </c>
      <c r="E276" s="32" t="n"/>
      <c r="F276" s="32" t="inlineStr">
        <is>
          <t>-</t>
        </is>
      </c>
    </row>
    <row r="277">
      <c r="A277" s="77" t="inlineStr">
        <is>
          <t>Awakening</t>
        </is>
      </c>
      <c r="B277" s="77" t="inlineStr">
        <is>
          <t>Mart</t>
        </is>
      </c>
      <c r="C277" s="77" t="inlineStr">
        <is>
          <t>Fortree City - Mart</t>
        </is>
      </c>
      <c r="D277" s="77" t="inlineStr">
        <is>
          <t>Split 6</t>
        </is>
      </c>
      <c r="E277" s="77" t="n"/>
      <c r="F277" s="77" t="inlineStr">
        <is>
          <t>-</t>
        </is>
      </c>
    </row>
    <row r="278">
      <c r="A278" s="32" t="inlineStr">
        <is>
          <t>Great Ball</t>
        </is>
      </c>
      <c r="B278" s="32" t="inlineStr">
        <is>
          <t>Mart</t>
        </is>
      </c>
      <c r="C278" s="32" t="inlineStr">
        <is>
          <t>Fortree City - Mart</t>
        </is>
      </c>
      <c r="D278" s="32" t="inlineStr">
        <is>
          <t>Split 6</t>
        </is>
      </c>
      <c r="E278" s="32" t="inlineStr">
        <is>
          <t>Only sold after Badge 2</t>
        </is>
      </c>
      <c r="F278" s="32" t="inlineStr">
        <is>
          <t>-</t>
        </is>
      </c>
    </row>
    <row r="279">
      <c r="A279" s="77" t="inlineStr">
        <is>
          <t>Hyper Potion</t>
        </is>
      </c>
      <c r="B279" s="77" t="inlineStr">
        <is>
          <t>Mart</t>
        </is>
      </c>
      <c r="C279" s="77" t="inlineStr">
        <is>
          <t>Fortree City - Mart</t>
        </is>
      </c>
      <c r="D279" s="77" t="inlineStr">
        <is>
          <t>Split 6</t>
        </is>
      </c>
      <c r="E279" s="77" t="n"/>
      <c r="F279" s="77" t="inlineStr">
        <is>
          <t>-</t>
        </is>
      </c>
    </row>
    <row r="280">
      <c r="A280" s="32" t="inlineStr">
        <is>
          <t>Paralyze Heal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Rare Candy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n"/>
      <c r="F281" s="77" t="inlineStr">
        <is>
          <t>-</t>
        </is>
      </c>
    </row>
    <row r="282">
      <c r="A282" s="32" t="inlineStr">
        <is>
          <t>Revive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n"/>
      <c r="F282" s="32" t="inlineStr">
        <is>
          <t>-</t>
        </is>
      </c>
    </row>
    <row r="283">
      <c r="A283" s="77" t="inlineStr">
        <is>
          <t>Super Potion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Super Repel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Ultra Ball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Wood Mail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Full Heal</t>
        </is>
      </c>
      <c r="B287" s="77" t="inlineStr">
        <is>
          <t>Item Ball</t>
        </is>
      </c>
      <c r="C287" s="77" t="inlineStr">
        <is>
          <t>Route 120</t>
        </is>
      </c>
      <c r="D287" s="77" t="inlineStr">
        <is>
          <t>Split 7</t>
        </is>
      </c>
      <c r="E287" s="77" t="n"/>
      <c r="F287" s="77" t="inlineStr">
        <is>
          <t>(7, 89)</t>
        </is>
      </c>
    </row>
    <row r="288">
      <c r="A288" s="32" t="inlineStr">
        <is>
          <t>Hyper Potion</t>
        </is>
      </c>
      <c r="B288" s="32" t="inlineStr">
        <is>
          <t>Item Ball</t>
        </is>
      </c>
      <c r="C288" s="32" t="inlineStr">
        <is>
          <t>Route 120</t>
        </is>
      </c>
      <c r="D288" s="32" t="inlineStr">
        <is>
          <t>Split 7</t>
        </is>
      </c>
      <c r="E288" s="32" t="n"/>
      <c r="F288" s="32" t="inlineStr">
        <is>
          <t>(23, 82)</t>
        </is>
      </c>
    </row>
    <row r="289">
      <c r="A289" s="77" t="inlineStr">
        <is>
          <t>Nest Ball</t>
        </is>
      </c>
      <c r="B289" s="77" t="inlineStr">
        <is>
          <t>Item Ball</t>
        </is>
      </c>
      <c r="C289" s="77" t="inlineStr">
        <is>
          <t>Route 120</t>
        </is>
      </c>
      <c r="D289" s="77" t="inlineStr">
        <is>
          <t>Split 7</t>
        </is>
      </c>
      <c r="E289" s="77" t="n"/>
      <c r="F289" s="77" t="inlineStr">
        <is>
          <t>(22, 13)</t>
        </is>
      </c>
    </row>
    <row r="290">
      <c r="A290" s="32" t="inlineStr">
        <is>
          <t>Nugget</t>
        </is>
      </c>
      <c r="B290" s="32" t="inlineStr">
        <is>
          <t>Item Ball</t>
        </is>
      </c>
      <c r="C290" s="32" t="inlineStr">
        <is>
          <t>Route 120</t>
        </is>
      </c>
      <c r="D290" s="32" t="inlineStr">
        <is>
          <t>Split 7</t>
        </is>
      </c>
      <c r="E290" s="32" t="n"/>
      <c r="F290" s="32" t="inlineStr">
        <is>
          <t>(20, 55)</t>
        </is>
      </c>
    </row>
    <row r="291">
      <c r="A291" s="77" t="inlineStr">
        <is>
          <t>Revive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(24, 33)</t>
        </is>
      </c>
    </row>
    <row r="292">
      <c r="A292" s="32" t="inlineStr">
        <is>
          <t>Rare Candy</t>
        </is>
      </c>
      <c r="B292" s="32" t="inlineStr">
        <is>
          <t>Hidden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(9, 1)</t>
        </is>
      </c>
    </row>
    <row r="293">
      <c r="A293" s="77" t="inlineStr">
        <is>
          <t>Rare Candy</t>
        </is>
      </c>
      <c r="B293" s="77" t="inlineStr">
        <is>
          <t>Hidden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(0, 86)</t>
        </is>
      </c>
    </row>
    <row r="294">
      <c r="A294" s="32" t="inlineStr">
        <is>
          <t>Revive</t>
        </is>
      </c>
      <c r="B294" s="32" t="inlineStr">
        <is>
          <t>Hidden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(31, 11)</t>
        </is>
      </c>
    </row>
    <row r="295">
      <c r="A295" s="77" t="inlineStr">
        <is>
          <t>Zinc</t>
        </is>
      </c>
      <c r="B295" s="77" t="inlineStr">
        <is>
          <t>Hidden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(24, 42)</t>
        </is>
      </c>
    </row>
    <row r="296">
      <c r="A296" s="32" t="inlineStr">
        <is>
          <t>Carbos</t>
        </is>
      </c>
      <c r="B296" s="32" t="inlineStr">
        <is>
          <t>Item Ball</t>
        </is>
      </c>
      <c r="C296" s="32" t="inlineStr">
        <is>
          <t>Route 121</t>
        </is>
      </c>
      <c r="D296" s="32" t="inlineStr">
        <is>
          <t>Split 7</t>
        </is>
      </c>
      <c r="E296" s="32" t="n"/>
      <c r="F296" s="32" t="inlineStr">
        <is>
          <t>(55, 10)</t>
        </is>
      </c>
    </row>
    <row r="297">
      <c r="A297" s="77" t="inlineStr">
        <is>
          <t>Revive</t>
        </is>
      </c>
      <c r="B297" s="77" t="inlineStr">
        <is>
          <t>Item Ball</t>
        </is>
      </c>
      <c r="C297" s="77" t="inlineStr">
        <is>
          <t>Route 121</t>
        </is>
      </c>
      <c r="D297" s="77" t="inlineStr">
        <is>
          <t>Split 7</t>
        </is>
      </c>
      <c r="E297" s="77" t="n"/>
      <c r="F297" s="77" t="inlineStr">
        <is>
          <t>(60, 10)</t>
        </is>
      </c>
    </row>
    <row r="298">
      <c r="A298" s="32" t="inlineStr">
        <is>
          <t>Zinc</t>
        </is>
      </c>
      <c r="B298" s="32" t="inlineStr">
        <is>
          <t>Item Ball</t>
        </is>
      </c>
      <c r="C298" s="32" t="inlineStr">
        <is>
          <t>Route 121</t>
        </is>
      </c>
      <c r="D298" s="32" t="inlineStr">
        <is>
          <t>Split 7</t>
        </is>
      </c>
      <c r="E298" s="32" t="n"/>
      <c r="F298" s="32" t="inlineStr">
        <is>
          <t>(38, 13)</t>
        </is>
      </c>
    </row>
    <row r="299">
      <c r="A299" s="77" t="inlineStr">
        <is>
          <t>Full Heal</t>
        </is>
      </c>
      <c r="B299" s="77" t="inlineStr">
        <is>
          <t>Hidden</t>
        </is>
      </c>
      <c r="C299" s="77" t="inlineStr">
        <is>
          <t>Route 121</t>
        </is>
      </c>
      <c r="D299" s="77" t="inlineStr">
        <is>
          <t>Split 7</t>
        </is>
      </c>
      <c r="E299" s="77" t="n"/>
      <c r="F299" s="77" t="inlineStr">
        <is>
          <t>(72, 5)</t>
        </is>
      </c>
    </row>
    <row r="300">
      <c r="A300" s="32" t="inlineStr">
        <is>
          <t>HP Up</t>
        </is>
      </c>
      <c r="B300" s="32" t="inlineStr">
        <is>
          <t>Hidden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(23, 10)</t>
        </is>
      </c>
    </row>
    <row r="301">
      <c r="A301" s="77" t="inlineStr">
        <is>
          <t>Max Revive</t>
        </is>
      </c>
      <c r="B301" s="77" t="inlineStr">
        <is>
          <t>Hidden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(68, 8)</t>
        </is>
      </c>
    </row>
    <row r="302">
      <c r="A302" s="32" t="inlineStr">
        <is>
          <t>Nugget</t>
        </is>
      </c>
      <c r="B302" s="32" t="inlineStr">
        <is>
          <t>Hidden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(58, 3)</t>
        </is>
      </c>
    </row>
    <row r="303">
      <c r="A303" s="77" t="inlineStr">
        <is>
          <t>Max Repel</t>
        </is>
      </c>
      <c r="B303" s="77" t="inlineStr">
        <is>
          <t>Item Ball</t>
        </is>
      </c>
      <c r="C303" s="77" t="inlineStr">
        <is>
          <t>Lilycove City</t>
        </is>
      </c>
      <c r="D303" s="77" t="inlineStr">
        <is>
          <t>Split 7</t>
        </is>
      </c>
      <c r="E303" s="77" t="n"/>
      <c r="F303" s="77" t="inlineStr">
        <is>
          <t>(61, 36)</t>
        </is>
      </c>
    </row>
    <row r="304">
      <c r="A304" s="32" t="inlineStr">
        <is>
          <t>Heart Scale</t>
        </is>
      </c>
      <c r="B304" s="32" t="inlineStr">
        <is>
          <t>Hidden</t>
        </is>
      </c>
      <c r="C304" s="32" t="inlineStr">
        <is>
          <t>Lilycove City</t>
        </is>
      </c>
      <c r="D304" s="32" t="inlineStr">
        <is>
          <t>Split 7</t>
        </is>
      </c>
      <c r="E304" s="32" t="n"/>
      <c r="F304" s="32" t="inlineStr">
        <is>
          <t>(36, 31)</t>
        </is>
      </c>
    </row>
    <row r="305">
      <c r="A305" s="77" t="inlineStr">
        <is>
          <t>PP Up</t>
        </is>
      </c>
      <c r="B305" s="77" t="inlineStr">
        <is>
          <t>Hidden</t>
        </is>
      </c>
      <c r="C305" s="77" t="inlineStr">
        <is>
          <t>Lilycove City</t>
        </is>
      </c>
      <c r="D305" s="77" t="inlineStr">
        <is>
          <t>Split 7</t>
        </is>
      </c>
      <c r="E305" s="77" t="n"/>
      <c r="F305" s="77" t="inlineStr">
        <is>
          <t>(61, 7)</t>
        </is>
      </c>
    </row>
    <row r="306">
      <c r="A306" s="32" t="inlineStr">
        <is>
          <t>Poké Ball</t>
        </is>
      </c>
      <c r="B306" s="32" t="inlineStr">
        <is>
          <t>Hidden</t>
        </is>
      </c>
      <c r="C306" s="32" t="inlineStr">
        <is>
          <t>Lilycove City</t>
        </is>
      </c>
      <c r="D306" s="32" t="inlineStr">
        <is>
          <t>Split 7</t>
        </is>
      </c>
      <c r="E306" s="32" t="n"/>
      <c r="F306" s="32" t="inlineStr">
        <is>
          <t>(64, 31)</t>
        </is>
      </c>
    </row>
    <row r="307">
      <c r="A307" s="77" t="inlineStr">
        <is>
          <t>Antidote</t>
        </is>
      </c>
      <c r="B307" s="77" t="inlineStr">
        <is>
          <t>Mart</t>
        </is>
      </c>
      <c r="C307" s="77" t="inlineStr">
        <is>
          <t>Lilycove City - Department Store - 2F</t>
        </is>
      </c>
      <c r="D307" s="77" t="inlineStr">
        <is>
          <t>Split 7</t>
        </is>
      </c>
      <c r="E307" s="77" t="n"/>
      <c r="F307" s="77" t="inlineStr">
        <is>
          <t>-</t>
        </is>
      </c>
    </row>
    <row r="308">
      <c r="A308" s="32" t="inlineStr">
        <is>
          <t>Awakening</t>
        </is>
      </c>
      <c r="B308" s="32" t="inlineStr">
        <is>
          <t>Mart</t>
        </is>
      </c>
      <c r="C308" s="32" t="inlineStr">
        <is>
          <t>Lilycove City - Department Store - 2F</t>
        </is>
      </c>
      <c r="D308" s="32" t="inlineStr">
        <is>
          <t>Split 7</t>
        </is>
      </c>
      <c r="E308" s="32" t="n"/>
      <c r="F308" s="32" t="inlineStr">
        <is>
          <t>-</t>
        </is>
      </c>
    </row>
    <row r="309">
      <c r="A309" s="77" t="inlineStr">
        <is>
          <t>Burn Heal</t>
        </is>
      </c>
      <c r="B309" s="77" t="inlineStr">
        <is>
          <t>Mart</t>
        </is>
      </c>
      <c r="C309" s="77" t="inlineStr">
        <is>
          <t>Lilycove City - Department Store - 2F</t>
        </is>
      </c>
      <c r="D309" s="77" t="inlineStr">
        <is>
          <t>Split 7</t>
        </is>
      </c>
      <c r="E309" s="77" t="n"/>
      <c r="F309" s="77" t="inlineStr">
        <is>
          <t>-</t>
        </is>
      </c>
    </row>
    <row r="310">
      <c r="A310" s="32" t="inlineStr">
        <is>
          <t>Calcium</t>
        </is>
      </c>
      <c r="B310" s="32" t="inlineStr">
        <is>
          <t>Mart</t>
        </is>
      </c>
      <c r="C310" s="32" t="inlineStr">
        <is>
          <t>Lilycove City - Department Store - 3F</t>
        </is>
      </c>
      <c r="D310" s="32" t="inlineStr">
        <is>
          <t>Split 7</t>
        </is>
      </c>
      <c r="E310" s="32" t="n"/>
      <c r="F310" s="32" t="inlineStr">
        <is>
          <t>-</t>
        </is>
      </c>
    </row>
    <row r="311">
      <c r="A311" s="77" t="inlineStr">
        <is>
          <t>Carbos</t>
        </is>
      </c>
      <c r="B311" s="77" t="inlineStr">
        <is>
          <t>Mart</t>
        </is>
      </c>
      <c r="C311" s="77" t="inlineStr">
        <is>
          <t>Lilycove City - Department Store - 3F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Dire Hit</t>
        </is>
      </c>
      <c r="B312" s="32" t="inlineStr">
        <is>
          <t>Mart</t>
        </is>
      </c>
      <c r="C312" s="32" t="inlineStr">
        <is>
          <t>Lilycove City - Department Store - 3F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Escape Rope</t>
        </is>
      </c>
      <c r="B313" s="77" t="inlineStr">
        <is>
          <t>Mart</t>
        </is>
      </c>
      <c r="C313" s="77" t="inlineStr">
        <is>
          <t>Lilycove City - Department Store - 2F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Fluffy Tail</t>
        </is>
      </c>
      <c r="B314" s="32" t="inlineStr">
        <is>
          <t>Mart</t>
        </is>
      </c>
      <c r="C314" s="32" t="inlineStr">
        <is>
          <t>Lilycove City - Department Store - 2F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Full Heal</t>
        </is>
      </c>
      <c r="B315" s="77" t="inlineStr">
        <is>
          <t>Mart</t>
        </is>
      </c>
      <c r="C315" s="77" t="inlineStr">
        <is>
          <t>Lilycove City - Department Store - 2F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Great Ball</t>
        </is>
      </c>
      <c r="B316" s="32" t="inlineStr">
        <is>
          <t>Mart</t>
        </is>
      </c>
      <c r="C316" s="32" t="inlineStr">
        <is>
          <t>Lilycove City - Department Store - 2F</t>
        </is>
      </c>
      <c r="D316" s="32" t="inlineStr">
        <is>
          <t>Split 7</t>
        </is>
      </c>
      <c r="E316" s="32" t="inlineStr">
        <is>
          <t>Only sold after Badge 2</t>
        </is>
      </c>
      <c r="F316" s="32" t="inlineStr">
        <is>
          <t>-</t>
        </is>
      </c>
    </row>
    <row r="317">
      <c r="A317" s="77" t="inlineStr">
        <is>
          <t>Guard Spec.</t>
        </is>
      </c>
      <c r="B317" s="77" t="inlineStr">
        <is>
          <t>Mart</t>
        </is>
      </c>
      <c r="C317" s="77" t="inlineStr">
        <is>
          <t>Lilycove City - Department Store - 3F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HP Up</t>
        </is>
      </c>
      <c r="B318" s="32" t="inlineStr">
        <is>
          <t>Mart</t>
        </is>
      </c>
      <c r="C318" s="32" t="inlineStr">
        <is>
          <t>Lilycove City - Department Store - 3F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Hyper Potion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n"/>
      <c r="F319" s="77" t="inlineStr">
        <is>
          <t>-</t>
        </is>
      </c>
    </row>
    <row r="320">
      <c r="A320" s="32" t="inlineStr">
        <is>
          <t>Ice Heal</t>
        </is>
      </c>
      <c r="B320" s="32" t="inlineStr">
        <is>
          <t>Mart</t>
        </is>
      </c>
      <c r="C320" s="32" t="inlineStr">
        <is>
          <t>Lilycove City - Department Store - 2F</t>
        </is>
      </c>
      <c r="D320" s="32" t="inlineStr">
        <is>
          <t>Split 7</t>
        </is>
      </c>
      <c r="E320" s="32" t="n"/>
      <c r="F320" s="32" t="inlineStr">
        <is>
          <t>-</t>
        </is>
      </c>
    </row>
    <row r="321">
      <c r="A321" s="77" t="inlineStr">
        <is>
          <t>Iron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Max Potion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Max Repel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Mech Mail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Paralyze Heal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Poké Ball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Potion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Protein</t>
        </is>
      </c>
      <c r="B328" s="32" t="inlineStr">
        <is>
          <t>Mart</t>
        </is>
      </c>
      <c r="C328" s="32" t="inlineStr">
        <is>
          <t>Lilycove City - Department Store - 3F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Repel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Revive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Super 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Super Repel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Ultra Ball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Wave Mail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X Accuracy</t>
        </is>
      </c>
      <c r="B335" s="77" t="inlineStr">
        <is>
          <t>Mart</t>
        </is>
      </c>
      <c r="C335" s="77" t="inlineStr">
        <is>
          <t>Lilycove City - Department Store - 3F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X Attack</t>
        </is>
      </c>
      <c r="B336" s="32" t="inlineStr">
        <is>
          <t>Mart</t>
        </is>
      </c>
      <c r="C336" s="32" t="inlineStr">
        <is>
          <t>Lilycove City - Department Store - 3F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X Defense</t>
        </is>
      </c>
      <c r="B337" s="77" t="inlineStr">
        <is>
          <t>Mart</t>
        </is>
      </c>
      <c r="C337" s="77" t="inlineStr">
        <is>
          <t>Lilycove City - Department Store - 3F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X Sp. Atk</t>
        </is>
      </c>
      <c r="B338" s="32" t="inlineStr">
        <is>
          <t>Mart</t>
        </is>
      </c>
      <c r="C338" s="32" t="inlineStr">
        <is>
          <t>Lilycove City - Department Store - 3F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Speed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Zinc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Lax Incense</t>
        </is>
      </c>
      <c r="B341" s="77" t="inlineStr">
        <is>
          <t>Item Ball</t>
        </is>
      </c>
      <c r="C341" s="77" t="inlineStr">
        <is>
          <t>Mt Pyre - 5F</t>
        </is>
      </c>
      <c r="D341" s="77" t="inlineStr">
        <is>
          <t>Split 7</t>
        </is>
      </c>
      <c r="E341" s="77" t="n"/>
      <c r="F341" s="77" t="inlineStr">
        <is>
          <t>(6, 11)</t>
        </is>
      </c>
    </row>
    <row r="342">
      <c r="A342" s="32" t="inlineStr">
        <is>
          <t>Max Potion</t>
        </is>
      </c>
      <c r="B342" s="32" t="inlineStr">
        <is>
          <t>Item Ball</t>
        </is>
      </c>
      <c r="C342" s="32" t="inlineStr">
        <is>
          <t>Mt Pyre - Exterior</t>
        </is>
      </c>
      <c r="D342" s="32" t="inlineStr">
        <is>
          <t>Split 7</t>
        </is>
      </c>
      <c r="E342" s="32" t="n"/>
      <c r="F342" s="32" t="inlineStr">
        <is>
          <t>(27, 15)</t>
        </is>
      </c>
    </row>
    <row r="343">
      <c r="A343" s="77" t="inlineStr">
        <is>
          <t>Sea Incense</t>
        </is>
      </c>
      <c r="B343" s="77" t="inlineStr">
        <is>
          <t>Item Ball</t>
        </is>
      </c>
      <c r="C343" s="77" t="inlineStr">
        <is>
          <t>Mt Pyre - 4F</t>
        </is>
      </c>
      <c r="D343" s="77" t="inlineStr">
        <is>
          <t>Split 7</t>
        </is>
      </c>
      <c r="E343" s="77" t="n"/>
      <c r="F343" s="77" t="inlineStr">
        <is>
          <t>(3, 11)</t>
        </is>
      </c>
    </row>
    <row r="344">
      <c r="A344" s="32" t="inlineStr">
        <is>
          <t>Super Repel</t>
        </is>
      </c>
      <c r="B344" s="32" t="inlineStr">
        <is>
          <t>Item Ball</t>
        </is>
      </c>
      <c r="C344" s="32" t="inlineStr">
        <is>
          <t>Mt Pyre - 3F</t>
        </is>
      </c>
      <c r="D344" s="32" t="inlineStr">
        <is>
          <t>Split 7</t>
        </is>
      </c>
      <c r="E344" s="32" t="n"/>
      <c r="F344" s="32" t="inlineStr">
        <is>
          <t>(0, 7)</t>
        </is>
      </c>
    </row>
    <row r="345">
      <c r="A345" s="77" t="inlineStr">
        <is>
          <t>Ultra Ball</t>
        </is>
      </c>
      <c r="B345" s="77" t="inlineStr">
        <is>
          <t>Item Ball</t>
        </is>
      </c>
      <c r="C345" s="77" t="inlineStr">
        <is>
          <t>Mt Pyre - 2F</t>
        </is>
      </c>
      <c r="D345" s="77" t="inlineStr">
        <is>
          <t>Split 7</t>
        </is>
      </c>
      <c r="E345" s="77" t="n"/>
      <c r="F345" s="77" t="inlineStr">
        <is>
          <t>(0, 10)</t>
        </is>
      </c>
    </row>
    <row r="346">
      <c r="A346" s="32" t="inlineStr">
        <is>
          <t>Max Ether</t>
        </is>
      </c>
      <c r="B346" s="32" t="inlineStr">
        <is>
          <t>Hidden</t>
        </is>
      </c>
      <c r="C346" s="32" t="inlineStr">
        <is>
          <t>Mt Pyre - Exterior</t>
        </is>
      </c>
      <c r="D346" s="32" t="inlineStr">
        <is>
          <t>Split 7</t>
        </is>
      </c>
      <c r="E346" s="32" t="n"/>
      <c r="F346" s="32" t="inlineStr">
        <is>
          <t>(16, 22)</t>
        </is>
      </c>
    </row>
    <row r="347">
      <c r="A347" s="77" t="inlineStr">
        <is>
          <t>Rare Candy</t>
        </is>
      </c>
      <c r="B347" s="77" t="inlineStr">
        <is>
          <t>Hidden</t>
        </is>
      </c>
      <c r="C347" s="77" t="inlineStr">
        <is>
          <t>Mt Pyre - Summit</t>
        </is>
      </c>
      <c r="D347" s="77" t="inlineStr">
        <is>
          <t>Split 7</t>
        </is>
      </c>
      <c r="E347" s="77" t="n"/>
      <c r="F347" s="77" t="inlineStr">
        <is>
          <t>(37, 7)</t>
        </is>
      </c>
    </row>
    <row r="348">
      <c r="A348" s="32" t="inlineStr">
        <is>
          <t>Ultra Ball</t>
        </is>
      </c>
      <c r="B348" s="32" t="inlineStr">
        <is>
          <t>Hidden</t>
        </is>
      </c>
      <c r="C348" s="32" t="inlineStr">
        <is>
          <t>Mt Pyre - Exterior</t>
        </is>
      </c>
      <c r="D348" s="32" t="inlineStr">
        <is>
          <t>Split 7</t>
        </is>
      </c>
      <c r="E348" s="32" t="n"/>
      <c r="F348" s="32" t="inlineStr">
        <is>
          <t>(9, 8)</t>
        </is>
      </c>
    </row>
    <row r="349">
      <c r="A349" s="77" t="inlineStr">
        <is>
          <t>Zinc</t>
        </is>
      </c>
      <c r="B349" s="77" t="inlineStr">
        <is>
          <t>Hidden</t>
        </is>
      </c>
      <c r="C349" s="77" t="inlineStr">
        <is>
          <t>Mt Pyre - Summit</t>
        </is>
      </c>
      <c r="D349" s="77" t="inlineStr">
        <is>
          <t>Split 7</t>
        </is>
      </c>
      <c r="E349" s="77" t="n"/>
      <c r="F349" s="77" t="inlineStr">
        <is>
          <t>(9, 25)</t>
        </is>
      </c>
    </row>
    <row r="350">
      <c r="A350" s="32" t="inlineStr">
        <is>
          <t>Calcium</t>
        </is>
      </c>
      <c r="B350" s="32" t="inlineStr">
        <is>
          <t>Item Ball</t>
        </is>
      </c>
      <c r="C350" s="32" t="inlineStr">
        <is>
          <t>Route 123</t>
        </is>
      </c>
      <c r="D350" s="32" t="inlineStr">
        <is>
          <t>Split 7</t>
        </is>
      </c>
      <c r="E350" s="32" t="n"/>
      <c r="F350" s="32" t="inlineStr">
        <is>
          <t>(31, 8)</t>
        </is>
      </c>
    </row>
    <row r="351">
      <c r="A351" s="77" t="inlineStr">
        <is>
          <t>Elixir</t>
        </is>
      </c>
      <c r="B351" s="77" t="inlineStr">
        <is>
          <t>Item Ball</t>
        </is>
      </c>
      <c r="C351" s="77" t="inlineStr">
        <is>
          <t>Route 123</t>
        </is>
      </c>
      <c r="D351" s="77" t="inlineStr">
        <is>
          <t>Split 7</t>
        </is>
      </c>
      <c r="E351" s="77" t="n"/>
      <c r="F351" s="77" t="inlineStr">
        <is>
          <t>(75, 9)</t>
        </is>
      </c>
    </row>
    <row r="352">
      <c r="A352" s="32" t="inlineStr">
        <is>
          <t>PP Up</t>
        </is>
      </c>
      <c r="B352" s="32" t="inlineStr">
        <is>
          <t>Item Ball</t>
        </is>
      </c>
      <c r="C352" s="32" t="inlineStr">
        <is>
          <t>Route 123</t>
        </is>
      </c>
      <c r="D352" s="32" t="inlineStr">
        <is>
          <t>Split 7</t>
        </is>
      </c>
      <c r="E352" s="32" t="n"/>
      <c r="F352" s="32" t="inlineStr">
        <is>
          <t>(43, 15)</t>
        </is>
      </c>
    </row>
    <row r="353">
      <c r="A353" s="77" t="inlineStr">
        <is>
          <t>Revival Herb</t>
        </is>
      </c>
      <c r="B353" s="77" t="inlineStr">
        <is>
          <t>Item Ball</t>
        </is>
      </c>
      <c r="C353" s="77" t="inlineStr">
        <is>
          <t>Route 123</t>
        </is>
      </c>
      <c r="D353" s="77" t="inlineStr">
        <is>
          <t>Split 7</t>
        </is>
      </c>
      <c r="E353" s="77" t="n"/>
      <c r="F353" s="77" t="inlineStr">
        <is>
          <t>(57, 16)</t>
        </is>
      </c>
    </row>
    <row r="354">
      <c r="A354" s="32" t="inlineStr">
        <is>
          <t>Ultra Ball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(27, 18)</t>
        </is>
      </c>
    </row>
    <row r="355">
      <c r="A355" s="77" t="inlineStr">
        <is>
          <t>Hyper Potion</t>
        </is>
      </c>
      <c r="B355" s="77" t="inlineStr">
        <is>
          <t>Hidden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(91, 15)</t>
        </is>
      </c>
    </row>
    <row r="356">
      <c r="A356" s="32" t="inlineStr">
        <is>
          <t>PP Up</t>
        </is>
      </c>
      <c r="B356" s="32" t="inlineStr">
        <is>
          <t>Hidden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(139, 15)</t>
        </is>
      </c>
    </row>
    <row r="357">
      <c r="A357" s="77" t="inlineStr">
        <is>
          <t>Rare Candy</t>
        </is>
      </c>
      <c r="B357" s="77" t="inlineStr">
        <is>
          <t>Hidden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(138, 18)</t>
        </is>
      </c>
    </row>
    <row r="358">
      <c r="A358" s="32" t="inlineStr">
        <is>
          <t>Revive</t>
        </is>
      </c>
      <c r="B358" s="32" t="inlineStr">
        <is>
          <t>Hidden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(12, 1)</t>
        </is>
      </c>
    </row>
    <row r="359">
      <c r="A359" s="77" t="inlineStr">
        <is>
          <t>Super Repel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(75, 1)</t>
        </is>
      </c>
    </row>
    <row r="360">
      <c r="A360" s="32" t="inlineStr">
        <is>
          <t>Master Ball</t>
        </is>
      </c>
      <c r="B360" s="32" t="inlineStr">
        <is>
          <t>Item Ball</t>
        </is>
      </c>
      <c r="C360" s="32" t="inlineStr">
        <is>
          <t>Aqua Hideout - B1F</t>
        </is>
      </c>
      <c r="D360" s="32" t="inlineStr">
        <is>
          <t>Split 7</t>
        </is>
      </c>
      <c r="E360" s="32" t="n"/>
      <c r="F360" s="32" t="inlineStr">
        <is>
          <t>(15, 9)</t>
        </is>
      </c>
    </row>
    <row r="361">
      <c r="A361" s="77" t="inlineStr">
        <is>
          <t>Max Elixir</t>
        </is>
      </c>
      <c r="B361" s="77" t="inlineStr">
        <is>
          <t>Item Ball</t>
        </is>
      </c>
      <c r="C361" s="77" t="inlineStr">
        <is>
          <t>Aqua Hideout - B1F</t>
        </is>
      </c>
      <c r="D361" s="77" t="inlineStr">
        <is>
          <t>Split 7</t>
        </is>
      </c>
      <c r="E361" s="77" t="n"/>
      <c r="F361" s="77" t="inlineStr">
        <is>
          <t>(29, 12)</t>
        </is>
      </c>
    </row>
    <row r="362">
      <c r="A362" s="32" t="inlineStr">
        <is>
          <t>Nest Ball</t>
        </is>
      </c>
      <c r="B362" s="32" t="inlineStr">
        <is>
          <t>Item Ball</t>
        </is>
      </c>
      <c r="C362" s="32" t="inlineStr">
        <is>
          <t>Aqua Hideout - B2F</t>
        </is>
      </c>
      <c r="D362" s="32" t="inlineStr">
        <is>
          <t>Split 7</t>
        </is>
      </c>
      <c r="E362" s="32" t="n"/>
      <c r="F362" s="32" t="inlineStr">
        <is>
          <t>(3, 13)</t>
        </is>
      </c>
    </row>
    <row r="363">
      <c r="A363" s="77" t="inlineStr">
        <is>
          <t>Nugget</t>
        </is>
      </c>
      <c r="B363" s="77" t="inlineStr">
        <is>
          <t>Item Ball</t>
        </is>
      </c>
      <c r="C363" s="77" t="inlineStr">
        <is>
          <t>Aqua Hideout - B1F</t>
        </is>
      </c>
      <c r="D363" s="77" t="inlineStr">
        <is>
          <t>Split 7</t>
        </is>
      </c>
      <c r="E363" s="77" t="n"/>
      <c r="F363" s="77" t="inlineStr">
        <is>
          <t>(15, 10)</t>
        </is>
      </c>
    </row>
    <row r="364">
      <c r="A364" s="32" t="inlineStr">
        <is>
          <t>Blue Shard</t>
        </is>
      </c>
      <c r="B364" s="32" t="inlineStr">
        <is>
          <t>Item Ball</t>
        </is>
      </c>
      <c r="C364" s="32" t="inlineStr">
        <is>
          <t>Route 124</t>
        </is>
      </c>
      <c r="D364" s="32" t="inlineStr">
        <is>
          <t>Split 7</t>
        </is>
      </c>
      <c r="E364" s="32" t="n"/>
      <c r="F364" s="32" t="inlineStr">
        <is>
          <t>(31, 53)</t>
        </is>
      </c>
    </row>
    <row r="365">
      <c r="A365" s="77" t="inlineStr">
        <is>
          <t>Red Shard</t>
        </is>
      </c>
      <c r="B365" s="77" t="inlineStr">
        <is>
          <t>Item Ball</t>
        </is>
      </c>
      <c r="C365" s="77" t="inlineStr">
        <is>
          <t>Route 124</t>
        </is>
      </c>
      <c r="D365" s="77" t="inlineStr">
        <is>
          <t>Split 7</t>
        </is>
      </c>
      <c r="E365" s="77" t="n"/>
      <c r="F365" s="77" t="inlineStr">
        <is>
          <t>(28, 12)</t>
        </is>
      </c>
    </row>
    <row r="366">
      <c r="A366" s="32" t="inlineStr">
        <is>
          <t>Yellow Shard</t>
        </is>
      </c>
      <c r="B366" s="32" t="inlineStr">
        <is>
          <t>Item Ball</t>
        </is>
      </c>
      <c r="C366" s="32" t="inlineStr">
        <is>
          <t>Route 124</t>
        </is>
      </c>
      <c r="D366" s="32" t="inlineStr">
        <is>
          <t>Split 7</t>
        </is>
      </c>
      <c r="E366" s="32" t="n"/>
      <c r="F366" s="32" t="inlineStr">
        <is>
          <t>(58, 11)</t>
        </is>
      </c>
    </row>
    <row r="367">
      <c r="A367" s="77" t="inlineStr">
        <is>
          <t>Net Ball</t>
        </is>
      </c>
      <c r="B367" s="77" t="inlineStr">
        <is>
          <t>Item Ball</t>
        </is>
      </c>
      <c r="C367" s="77" t="inlineStr">
        <is>
          <t>Mossdeep City</t>
        </is>
      </c>
      <c r="D367" s="77" t="inlineStr">
        <is>
          <t>Split 7</t>
        </is>
      </c>
      <c r="E367" s="77" t="n"/>
      <c r="F367" s="77" t="inlineStr">
        <is>
          <t>(62, 35)</t>
        </is>
      </c>
    </row>
    <row r="368">
      <c r="A368" s="32" t="inlineStr">
        <is>
          <t>Dive Ball</t>
        </is>
      </c>
      <c r="B368" s="32" t="inlineStr">
        <is>
          <t>Mart</t>
        </is>
      </c>
      <c r="C368" s="32" t="inlineStr">
        <is>
          <t>Mossdeep City - Mart</t>
        </is>
      </c>
      <c r="D368" s="32" t="inlineStr">
        <is>
          <t>Split 7</t>
        </is>
      </c>
      <c r="E368" s="32" t="n"/>
      <c r="F368" s="32" t="inlineStr">
        <is>
          <t>-</t>
        </is>
      </c>
    </row>
    <row r="369">
      <c r="A369" s="77" t="inlineStr">
        <is>
          <t>Full Heal</t>
        </is>
      </c>
      <c r="B369" s="77" t="inlineStr">
        <is>
          <t>Mart</t>
        </is>
      </c>
      <c r="C369" s="77" t="inlineStr">
        <is>
          <t>Mossdeep City - Mart</t>
        </is>
      </c>
      <c r="D369" s="77" t="inlineStr">
        <is>
          <t>Split 7</t>
        </is>
      </c>
      <c r="E369" s="77" t="n"/>
      <c r="F369" s="77" t="inlineStr">
        <is>
          <t>-</t>
        </is>
      </c>
    </row>
    <row r="370">
      <c r="A370" s="32" t="inlineStr">
        <is>
          <t>Hyper Potion</t>
        </is>
      </c>
      <c r="B370" s="32" t="inlineStr">
        <is>
          <t>Mart</t>
        </is>
      </c>
      <c r="C370" s="32" t="inlineStr">
        <is>
          <t>Mossdeep City - Mart</t>
        </is>
      </c>
      <c r="D370" s="32" t="inlineStr">
        <is>
          <t>Split 7</t>
        </is>
      </c>
      <c r="E370" s="32" t="n"/>
      <c r="F370" s="32" t="inlineStr">
        <is>
          <t>-</t>
        </is>
      </c>
    </row>
    <row r="371">
      <c r="A371" s="77" t="inlineStr">
        <is>
          <t>Max Repel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Net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Rare Candy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Revive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Ultra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X Attack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X Defense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Big Pearl</t>
        </is>
      </c>
      <c r="B378" s="32" t="inlineStr">
        <is>
          <t>Item Ball</t>
        </is>
      </c>
      <c r="C378" s="32" t="inlineStr">
        <is>
          <t>Shoal Cave - Low Tide Entrance Room</t>
        </is>
      </c>
      <c r="D378" s="32" t="inlineStr">
        <is>
          <t>Split 7</t>
        </is>
      </c>
      <c r="E378" s="32" t="n"/>
      <c r="F378" s="32" t="inlineStr">
        <is>
          <t>(30, 3)</t>
        </is>
      </c>
    </row>
    <row r="379">
      <c r="A379" s="77" t="inlineStr">
        <is>
          <t>Ice Heal</t>
        </is>
      </c>
      <c r="B379" s="77" t="inlineStr">
        <is>
          <t>Item Ball</t>
        </is>
      </c>
      <c r="C379" s="77" t="inlineStr">
        <is>
          <t>Shoal Cave - Low Tide Stairs Room</t>
        </is>
      </c>
      <c r="D379" s="77" t="inlineStr">
        <is>
          <t>Split 7</t>
        </is>
      </c>
      <c r="E379" s="77" t="n"/>
      <c r="F379" s="77" t="inlineStr">
        <is>
          <t>(13, 12)</t>
        </is>
      </c>
    </row>
    <row r="380">
      <c r="A380" s="32" t="inlineStr">
        <is>
          <t>Never-Melt Ice</t>
        </is>
      </c>
      <c r="B380" s="32" t="inlineStr">
        <is>
          <t>Item Ball</t>
        </is>
      </c>
      <c r="C380" s="32" t="inlineStr">
        <is>
          <t>Shoal Cave - Low Tide Ice Room</t>
        </is>
      </c>
      <c r="D380" s="32" t="inlineStr">
        <is>
          <t>Split 7</t>
        </is>
      </c>
      <c r="E380" s="32" t="n"/>
      <c r="F380" s="32" t="inlineStr">
        <is>
          <t>(12, 21)</t>
        </is>
      </c>
    </row>
    <row r="381">
      <c r="A381" s="77" t="inlineStr">
        <is>
          <t>Rare Candy</t>
        </is>
      </c>
      <c r="B381" s="77" t="inlineStr">
        <is>
          <t>Item Ball</t>
        </is>
      </c>
      <c r="C381" s="77" t="inlineStr">
        <is>
          <t>Shoal Cave - Low Tide Inner Room</t>
        </is>
      </c>
      <c r="D381" s="77" t="inlineStr">
        <is>
          <t>Split 7</t>
        </is>
      </c>
      <c r="E381" s="77" t="n"/>
      <c r="F381" s="77" t="inlineStr">
        <is>
          <t>(26, 14)</t>
        </is>
      </c>
    </row>
    <row r="382">
      <c r="A382" s="32" t="inlineStr">
        <is>
          <t>Big Pearl</t>
        </is>
      </c>
      <c r="B382" s="32" t="inlineStr">
        <is>
          <t>Item Ball</t>
        </is>
      </c>
      <c r="C382" s="32" t="inlineStr">
        <is>
          <t>Route 125</t>
        </is>
      </c>
      <c r="D382" s="32" t="inlineStr">
        <is>
          <t>Split 8</t>
        </is>
      </c>
      <c r="E382" s="32" t="n"/>
      <c r="F382" s="32" t="inlineStr">
        <is>
          <t>(46, 17)</t>
        </is>
      </c>
    </row>
    <row r="383">
      <c r="A383" s="77" t="inlineStr">
        <is>
          <t>Green Shard</t>
        </is>
      </c>
      <c r="B383" s="77" t="inlineStr">
        <is>
          <t>Item Ball</t>
        </is>
      </c>
      <c r="C383" s="77" t="inlineStr">
        <is>
          <t>Route 126</t>
        </is>
      </c>
      <c r="D383" s="77" t="inlineStr">
        <is>
          <t>Split 8</t>
        </is>
      </c>
      <c r="E383" s="77" t="n"/>
      <c r="F383" s="77" t="inlineStr">
        <is>
          <t>(14, 1)</t>
        </is>
      </c>
    </row>
    <row r="384">
      <c r="A384" s="32" t="inlineStr">
        <is>
          <t>Carbos</t>
        </is>
      </c>
      <c r="B384" s="32" t="inlineStr">
        <is>
          <t>Item Ball</t>
        </is>
      </c>
      <c r="C384" s="32" t="inlineStr">
        <is>
          <t>Route 127</t>
        </is>
      </c>
      <c r="D384" s="32" t="inlineStr">
        <is>
          <t>Split 8</t>
        </is>
      </c>
      <c r="E384" s="32" t="n"/>
      <c r="F384" s="32" t="inlineStr">
        <is>
          <t>(64, 39)</t>
        </is>
      </c>
    </row>
    <row r="385">
      <c r="A385" s="77" t="inlineStr">
        <is>
          <t>Rare Candy</t>
        </is>
      </c>
      <c r="B385" s="77" t="inlineStr">
        <is>
          <t>Item Ball</t>
        </is>
      </c>
      <c r="C385" s="77" t="inlineStr">
        <is>
          <t>Route 127</t>
        </is>
      </c>
      <c r="D385" s="77" t="inlineStr">
        <is>
          <t>Split 8</t>
        </is>
      </c>
      <c r="E385" s="77" t="n"/>
      <c r="F385" s="77" t="inlineStr">
        <is>
          <t>(13, 20)</t>
        </is>
      </c>
    </row>
    <row r="386">
      <c r="A386" s="32" t="inlineStr">
        <is>
          <t>Zinc</t>
        </is>
      </c>
      <c r="B386" s="32" t="inlineStr">
        <is>
          <t>Item Ball</t>
        </is>
      </c>
      <c r="C386" s="32" t="inlineStr">
        <is>
          <t>Route 127</t>
        </is>
      </c>
      <c r="D386" s="32" t="inlineStr">
        <is>
          <t>Split 8</t>
        </is>
      </c>
      <c r="E386" s="32" t="n"/>
      <c r="F386" s="32" t="inlineStr">
        <is>
          <t>(14, 6)</t>
        </is>
      </c>
    </row>
    <row r="387">
      <c r="A387" s="77" t="inlineStr">
        <is>
          <t>Heart Scale</t>
        </is>
      </c>
      <c r="B387" s="77" t="inlineStr">
        <is>
          <t>Hidden</t>
        </is>
      </c>
      <c r="C387" s="77" t="inlineStr">
        <is>
          <t>Route 128</t>
        </is>
      </c>
      <c r="D387" s="77" t="inlineStr">
        <is>
          <t>Split 8</t>
        </is>
      </c>
      <c r="E387" s="77" t="n"/>
      <c r="F387" s="77" t="inlineStr">
        <is>
          <t>(49, 9)</t>
        </is>
      </c>
    </row>
    <row r="388">
      <c r="A388" s="32" t="inlineStr">
        <is>
          <t>Heart Scale</t>
        </is>
      </c>
      <c r="B388" s="32" t="inlineStr">
        <is>
          <t>Hidden</t>
        </is>
      </c>
      <c r="C388" s="32" t="inlineStr">
        <is>
          <t>Route 128</t>
        </is>
      </c>
      <c r="D388" s="32" t="inlineStr">
        <is>
          <t>Split 8</t>
        </is>
      </c>
      <c r="E388" s="32" t="n"/>
      <c r="F388" s="32" t="inlineStr">
        <is>
          <t>(57, 21)</t>
        </is>
      </c>
    </row>
    <row r="389">
      <c r="A389" s="77" t="inlineStr">
        <is>
          <t>Heart Scale</t>
        </is>
      </c>
      <c r="B389" s="77" t="inlineStr">
        <is>
          <t>Hidden</t>
        </is>
      </c>
      <c r="C389" s="77" t="inlineStr">
        <is>
          <t>Route 128</t>
        </is>
      </c>
      <c r="D389" s="77" t="inlineStr">
        <is>
          <t>Split 8</t>
        </is>
      </c>
      <c r="E389" s="77" t="n"/>
      <c r="F389" s="77" t="inlineStr">
        <is>
          <t>(31, 33)</t>
        </is>
      </c>
    </row>
    <row r="390">
      <c r="A390" s="32" t="inlineStr">
        <is>
          <t>Full Heal</t>
        </is>
      </c>
      <c r="B390" s="32" t="inlineStr">
        <is>
          <t>Mart</t>
        </is>
      </c>
      <c r="C390" s="32" t="inlineStr">
        <is>
          <t>Sootopolis City - Mart</t>
        </is>
      </c>
      <c r="D390" s="32" t="inlineStr">
        <is>
          <t>Split 8</t>
        </is>
      </c>
      <c r="E390" s="32" t="n"/>
      <c r="F390" s="32" t="inlineStr">
        <is>
          <t>-</t>
        </is>
      </c>
    </row>
    <row r="391">
      <c r="A391" s="77" t="inlineStr">
        <is>
          <t>Hyper Potion</t>
        </is>
      </c>
      <c r="B391" s="77" t="inlineStr">
        <is>
          <t>Mart</t>
        </is>
      </c>
      <c r="C391" s="77" t="inlineStr">
        <is>
          <t>Sootopolis City - Mart</t>
        </is>
      </c>
      <c r="D391" s="77" t="inlineStr">
        <is>
          <t>Split 8</t>
        </is>
      </c>
      <c r="E391" s="77" t="n"/>
      <c r="F391" s="77" t="inlineStr">
        <is>
          <t>-</t>
        </is>
      </c>
    </row>
    <row r="392">
      <c r="A392" s="32" t="inlineStr">
        <is>
          <t>Max Potion</t>
        </is>
      </c>
      <c r="B392" s="32" t="inlineStr">
        <is>
          <t>Mart</t>
        </is>
      </c>
      <c r="C392" s="32" t="inlineStr">
        <is>
          <t>Sootopolis City - Mart</t>
        </is>
      </c>
      <c r="D392" s="32" t="inlineStr">
        <is>
          <t>Split 8</t>
        </is>
      </c>
      <c r="E392" s="32" t="n"/>
      <c r="F392" s="32" t="inlineStr">
        <is>
          <t>-</t>
        </is>
      </c>
    </row>
    <row r="393">
      <c r="A393" s="77" t="inlineStr">
        <is>
          <t>Max Repel</t>
        </is>
      </c>
      <c r="B393" s="77" t="inlineStr">
        <is>
          <t>Mart</t>
        </is>
      </c>
      <c r="C393" s="77" t="inlineStr">
        <is>
          <t>Sootopolis City - Mart</t>
        </is>
      </c>
      <c r="D393" s="77" t="inlineStr">
        <is>
          <t>Split 8</t>
        </is>
      </c>
      <c r="E393" s="77" t="n"/>
      <c r="F393" s="77" t="inlineStr">
        <is>
          <t>-</t>
        </is>
      </c>
    </row>
    <row r="394">
      <c r="A394" s="32" t="inlineStr">
        <is>
          <t>Rare Candy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Revive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Shadow Mail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Ultra Ball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X Attack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X Defense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Full Heal</t>
        </is>
      </c>
      <c r="B400" s="32" t="inlineStr">
        <is>
          <t>Item Ball</t>
        </is>
      </c>
      <c r="C400" s="32" t="inlineStr">
        <is>
          <t>Victory Road - B2F</t>
        </is>
      </c>
      <c r="D400" s="32" t="inlineStr">
        <is>
          <t>Elite Four &amp; Champion</t>
        </is>
      </c>
      <c r="E400" s="32" t="n"/>
      <c r="F400" s="32" t="inlineStr">
        <is>
          <t>(13, 8)</t>
        </is>
      </c>
    </row>
    <row r="401">
      <c r="A401" s="77" t="inlineStr">
        <is>
          <t>Full Restore</t>
        </is>
      </c>
      <c r="B401" s="77" t="inlineStr">
        <is>
          <t>Item Ball</t>
        </is>
      </c>
      <c r="C401" s="77" t="inlineStr">
        <is>
          <t>Victory Road - B1F</t>
        </is>
      </c>
      <c r="D401" s="77" t="inlineStr">
        <is>
          <t>Elite Four &amp; Champion</t>
        </is>
      </c>
      <c r="E401" s="77" t="n"/>
      <c r="F401" s="77" t="inlineStr">
        <is>
          <t>(32, 3)</t>
        </is>
      </c>
    </row>
    <row r="402">
      <c r="A402" s="32" t="inlineStr">
        <is>
          <t>Max Elixir</t>
        </is>
      </c>
      <c r="B402" s="32" t="inlineStr">
        <is>
          <t>Item Ball</t>
        </is>
      </c>
      <c r="C402" s="32" t="inlineStr">
        <is>
          <t>Victory Road - 1F</t>
        </is>
      </c>
      <c r="D402" s="32" t="inlineStr">
        <is>
          <t>Elite Four &amp; Champion</t>
        </is>
      </c>
      <c r="E402" s="32" t="n"/>
      <c r="F402" s="32" t="inlineStr">
        <is>
          <t>(40, 26)</t>
        </is>
      </c>
    </row>
    <row r="403">
      <c r="A403" s="77" t="inlineStr">
        <is>
          <t>PP Up</t>
        </is>
      </c>
      <c r="B403" s="77" t="inlineStr">
        <is>
          <t>Item Ball</t>
        </is>
      </c>
      <c r="C403" s="77" t="inlineStr">
        <is>
          <t>Victory Road - 1F</t>
        </is>
      </c>
      <c r="D403" s="77" t="inlineStr">
        <is>
          <t>Elite Four &amp; Champion</t>
        </is>
      </c>
      <c r="E403" s="77" t="n"/>
      <c r="F403" s="77" t="inlineStr">
        <is>
          <t>(37, 39)</t>
        </is>
      </c>
    </row>
    <row r="404">
      <c r="A404" s="32" t="inlineStr">
        <is>
          <t>Elixir</t>
        </is>
      </c>
      <c r="B404" s="32" t="inlineStr">
        <is>
          <t>Hidden</t>
        </is>
      </c>
      <c r="C404" s="32" t="inlineStr">
        <is>
          <t>Victory Road - B2F</t>
        </is>
      </c>
      <c r="D404" s="32" t="inlineStr">
        <is>
          <t>Elite Four &amp; Champion</t>
        </is>
      </c>
      <c r="E404" s="32" t="n"/>
      <c r="F404" s="32" t="inlineStr">
        <is>
          <t>(28, 5)</t>
        </is>
      </c>
    </row>
    <row r="405">
      <c r="A405" s="77" t="inlineStr">
        <is>
          <t>Max Repel</t>
        </is>
      </c>
      <c r="B405" s="77" t="inlineStr">
        <is>
          <t>Hidden</t>
        </is>
      </c>
      <c r="C405" s="77" t="inlineStr">
        <is>
          <t>Victory Road - B2F</t>
        </is>
      </c>
      <c r="D405" s="77" t="inlineStr">
        <is>
          <t>Elite Four &amp; Champion</t>
        </is>
      </c>
      <c r="E405" s="77" t="n"/>
      <c r="F405" s="77" t="inlineStr">
        <is>
          <t>(37, 1)</t>
        </is>
      </c>
    </row>
    <row r="406">
      <c r="A406" s="32" t="inlineStr">
        <is>
          <t>Ultra Ball</t>
        </is>
      </c>
      <c r="B406" s="32" t="inlineStr">
        <is>
          <t>Hidden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(30, 39)</t>
        </is>
      </c>
    </row>
    <row r="407">
      <c r="A407" s="77" t="inlineStr">
        <is>
          <t>Full Heal</t>
        </is>
      </c>
      <c r="B407" s="77" t="inlineStr">
        <is>
          <t>Mart</t>
        </is>
      </c>
      <c r="C407" s="77" t="inlineStr">
        <is>
          <t>Ever Grande City - Pokemon League - 1F</t>
        </is>
      </c>
      <c r="D407" s="77" t="inlineStr">
        <is>
          <t>Elite Four &amp; Champion</t>
        </is>
      </c>
      <c r="E407" s="77" t="n"/>
      <c r="F407" s="77" t="inlineStr">
        <is>
          <t>-</t>
        </is>
      </c>
    </row>
    <row r="408">
      <c r="A408" s="32" t="inlineStr">
        <is>
          <t>Full Restore</t>
        </is>
      </c>
      <c r="B408" s="32" t="inlineStr">
        <is>
          <t>Mart</t>
        </is>
      </c>
      <c r="C408" s="32" t="inlineStr">
        <is>
          <t>Ever Grande City - Pokemon League - 1F</t>
        </is>
      </c>
      <c r="D408" s="32" t="inlineStr">
        <is>
          <t>Elite Four &amp; Champion</t>
        </is>
      </c>
      <c r="E408" s="32" t="n"/>
      <c r="F408" s="32" t="inlineStr">
        <is>
          <t>-</t>
        </is>
      </c>
    </row>
    <row r="409">
      <c r="A409" s="77" t="inlineStr">
        <is>
          <t>Hyper Potion</t>
        </is>
      </c>
      <c r="B409" s="77" t="inlineStr">
        <is>
          <t>Mart</t>
        </is>
      </c>
      <c r="C409" s="77" t="inlineStr">
        <is>
          <t>Ever Grande City - Pokemon League - 1F</t>
        </is>
      </c>
      <c r="D409" s="77" t="inlineStr">
        <is>
          <t>Elite Four &amp; Champion</t>
        </is>
      </c>
      <c r="E409" s="77" t="n"/>
      <c r="F409" s="77" t="inlineStr">
        <is>
          <t>-</t>
        </is>
      </c>
    </row>
    <row r="410">
      <c r="A410" s="32" t="inlineStr">
        <is>
          <t>Max Potion</t>
        </is>
      </c>
      <c r="B410" s="32" t="inlineStr">
        <is>
          <t>Mart</t>
        </is>
      </c>
      <c r="C410" s="32" t="inlineStr">
        <is>
          <t>Ever Grande City - Pokemon League - 1F</t>
        </is>
      </c>
      <c r="D410" s="32" t="inlineStr">
        <is>
          <t>Elite Four &amp; Champion</t>
        </is>
      </c>
      <c r="E410" s="32" t="n"/>
      <c r="F410" s="32" t="inlineStr">
        <is>
          <t>-</t>
        </is>
      </c>
    </row>
    <row r="411">
      <c r="A411" s="77" t="inlineStr">
        <is>
          <t>Max Repel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Revive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Ultra Ball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Big Pearl</t>
        </is>
      </c>
      <c r="B414" s="32" t="inlineStr">
        <is>
          <t>Item Ball</t>
        </is>
      </c>
      <c r="C414" s="32" t="inlineStr">
        <is>
          <t>Safari Zone - Southeast</t>
        </is>
      </c>
      <c r="D414" s="32" t="inlineStr">
        <is>
          <t>Postgame</t>
        </is>
      </c>
      <c r="E414" s="32" t="n"/>
      <c r="F414" s="32" t="inlineStr">
        <is>
          <t>(31, 15)</t>
        </is>
      </c>
    </row>
    <row r="415">
      <c r="A415" s="77" t="inlineStr">
        <is>
          <t>Calcium</t>
        </is>
      </c>
      <c r="B415" s="77" t="inlineStr">
        <is>
          <t>Item Ball</t>
        </is>
      </c>
      <c r="C415" s="77" t="inlineStr">
        <is>
          <t>Safari Zone - North</t>
        </is>
      </c>
      <c r="D415" s="77" t="inlineStr">
        <is>
          <t>Postgame</t>
        </is>
      </c>
      <c r="E415" s="77" t="n"/>
      <c r="F415" s="77" t="inlineStr">
        <is>
          <t>(7, 6)</t>
        </is>
      </c>
    </row>
    <row r="416">
      <c r="A416" s="32" t="inlineStr">
        <is>
          <t>Max Revive</t>
        </is>
      </c>
      <c r="B416" s="32" t="inlineStr">
        <is>
          <t>Item Ball</t>
        </is>
      </c>
      <c r="C416" s="32" t="inlineStr">
        <is>
          <t>Safari Zone - Southwest</t>
        </is>
      </c>
      <c r="D416" s="32" t="inlineStr">
        <is>
          <t>Postgame</t>
        </is>
      </c>
      <c r="E416" s="32" t="n"/>
      <c r="F416" s="32" t="inlineStr">
        <is>
          <t>(0, 37)</t>
        </is>
      </c>
    </row>
    <row r="417">
      <c r="A417" s="77" t="inlineStr">
        <is>
          <t>Nugget</t>
        </is>
      </c>
      <c r="B417" s="77" t="inlineStr">
        <is>
          <t>Item Ball</t>
        </is>
      </c>
      <c r="C417" s="77" t="inlineStr">
        <is>
          <t>Safari Zone - Northeast</t>
        </is>
      </c>
      <c r="D417" s="77" t="inlineStr">
        <is>
          <t>Postgame</t>
        </is>
      </c>
      <c r="E417" s="77" t="n"/>
      <c r="F417" s="77" t="inlineStr">
        <is>
          <t>(8, 17)</t>
        </is>
      </c>
    </row>
    <row r="418">
      <c r="A418" s="32" t="inlineStr">
        <is>
          <t>Full Restore</t>
        </is>
      </c>
      <c r="B418" s="32" t="inlineStr">
        <is>
          <t>Hidden</t>
        </is>
      </c>
      <c r="C418" s="32" t="inlineStr">
        <is>
          <t>Safari Zone - Southeast</t>
        </is>
      </c>
      <c r="D418" s="32" t="inlineStr">
        <is>
          <t>Postgame</t>
        </is>
      </c>
      <c r="E418" s="32" t="n"/>
      <c r="F418" s="32" t="inlineStr">
        <is>
          <t>(32, 33)</t>
        </is>
      </c>
    </row>
    <row r="419">
      <c r="A419" s="77" t="inlineStr">
        <is>
          <t>PP Up</t>
        </is>
      </c>
      <c r="B419" s="77" t="inlineStr">
        <is>
          <t>Hidden</t>
        </is>
      </c>
      <c r="C419" s="77" t="inlineStr">
        <is>
          <t>Safari Zone - Southeast</t>
        </is>
      </c>
      <c r="D419" s="77" t="inlineStr">
        <is>
          <t>Postgame</t>
        </is>
      </c>
      <c r="E419" s="77" t="n"/>
      <c r="F419" s="77" t="inlineStr">
        <is>
          <t>(19, 36)</t>
        </is>
      </c>
    </row>
    <row r="420">
      <c r="A420" s="32" t="inlineStr">
        <is>
          <t>Rare Candy</t>
        </is>
      </c>
      <c r="B420" s="32" t="inlineStr">
        <is>
          <t>Hidden</t>
        </is>
      </c>
      <c r="C420" s="32" t="inlineStr">
        <is>
          <t>Safari Zone - Northeast</t>
        </is>
      </c>
      <c r="D420" s="32" t="inlineStr">
        <is>
          <t>Postgame</t>
        </is>
      </c>
      <c r="E420" s="32" t="n"/>
      <c r="F420" s="32" t="inlineStr">
        <is>
          <t>(31, 35)</t>
        </is>
      </c>
    </row>
    <row r="421">
      <c r="A421" s="77" t="inlineStr">
        <is>
          <t>Zinc</t>
        </is>
      </c>
      <c r="B421" s="77" t="inlineStr">
        <is>
          <t>Hidden</t>
        </is>
      </c>
      <c r="C421" s="77" t="inlineStr">
        <is>
          <t>Safari Zone - Northeast</t>
        </is>
      </c>
      <c r="D421" s="77" t="inlineStr">
        <is>
          <t>Postgame</t>
        </is>
      </c>
      <c r="E421" s="77" t="n"/>
      <c r="F421" s="77" t="inlineStr">
        <is>
          <t>(21, 5)</t>
        </is>
      </c>
    </row>
    <row r="422">
      <c r="A422" s="32" t="inlineStr">
        <is>
          <t>Leftovers</t>
        </is>
      </c>
      <c r="B422" s="32" t="inlineStr">
        <is>
          <t>Hidden</t>
        </is>
      </c>
      <c r="C422" s="32" t="inlineStr">
        <is>
          <t>S.S. Tidal Lower Deck</t>
        </is>
      </c>
      <c r="D422" s="32" t="inlineStr">
        <is>
          <t>Postgame</t>
        </is>
      </c>
      <c r="E422" s="32" t="n"/>
      <c r="F422" s="32" t="inlineStr">
        <is>
          <t>(0, 2)</t>
        </is>
      </c>
    </row>
    <row r="423">
      <c r="A423" s="77" t="inlineStr">
        <is>
          <t>Full Heal</t>
        </is>
      </c>
      <c r="B423" s="77" t="inlineStr">
        <is>
          <t>Mart</t>
        </is>
      </c>
      <c r="C423" s="77" t="inlineStr">
        <is>
          <t>Battle Frontier - Mart</t>
        </is>
      </c>
      <c r="D423" s="77" t="inlineStr">
        <is>
          <t>Postgame</t>
        </is>
      </c>
      <c r="E423" s="77" t="n"/>
      <c r="F423" s="77" t="inlineStr">
        <is>
          <t>-</t>
        </is>
      </c>
    </row>
    <row r="424">
      <c r="A424" s="32" t="inlineStr">
        <is>
          <t>Full Restore</t>
        </is>
      </c>
      <c r="B424" s="32" t="inlineStr">
        <is>
          <t>Mart</t>
        </is>
      </c>
      <c r="C424" s="32" t="inlineStr">
        <is>
          <t>Battle Frontier - Mart</t>
        </is>
      </c>
      <c r="D424" s="32" t="inlineStr">
        <is>
          <t>Postgame</t>
        </is>
      </c>
      <c r="E424" s="32" t="n"/>
      <c r="F424" s="32" t="inlineStr">
        <is>
          <t>-</t>
        </is>
      </c>
    </row>
    <row r="425">
      <c r="A425" s="77" t="inlineStr">
        <is>
          <t>Hyper Potion</t>
        </is>
      </c>
      <c r="B425" s="77" t="inlineStr">
        <is>
          <t>Mart</t>
        </is>
      </c>
      <c r="C425" s="77" t="inlineStr">
        <is>
          <t>Battle Frontier - Mart</t>
        </is>
      </c>
      <c r="D425" s="77" t="inlineStr">
        <is>
          <t>Postgame</t>
        </is>
      </c>
      <c r="E425" s="77" t="n"/>
      <c r="F425" s="77" t="inlineStr">
        <is>
          <t>-</t>
        </is>
      </c>
    </row>
    <row r="426">
      <c r="A426" s="32" t="inlineStr">
        <is>
          <t>Max Potion</t>
        </is>
      </c>
      <c r="B426" s="32" t="inlineStr">
        <is>
          <t>Mart</t>
        </is>
      </c>
      <c r="C426" s="32" t="inlineStr">
        <is>
          <t>Battle Frontier - Mart</t>
        </is>
      </c>
      <c r="D426" s="32" t="inlineStr">
        <is>
          <t>Postgame</t>
        </is>
      </c>
      <c r="E426" s="32" t="n"/>
      <c r="F426" s="32" t="inlineStr">
        <is>
          <t>-</t>
        </is>
      </c>
    </row>
    <row r="427">
      <c r="A427" s="77" t="inlineStr">
        <is>
          <t>Max Repel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Revive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Ultra Ball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Antidote</t>
        </is>
      </c>
      <c r="B431" s="77" t="inlineStr">
        <is>
          <t>Mart</t>
        </is>
      </c>
      <c r="C431" s="77" t="inlineStr">
        <is>
          <t>Trainer Hill - Entrance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Awakening</t>
        </is>
      </c>
      <c r="B432" s="32" t="inlineStr">
        <is>
          <t>Mart</t>
        </is>
      </c>
      <c r="C432" s="32" t="inlineStr">
        <is>
          <t>Trainer Hill - Entrance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Dire Hit</t>
        </is>
      </c>
      <c r="B433" s="77" t="inlineStr">
        <is>
          <t>Mart</t>
        </is>
      </c>
      <c r="C433" s="77" t="inlineStr">
        <is>
          <t>Trainer Hill - Entrance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Full Heal</t>
        </is>
      </c>
      <c r="B434" s="32" t="inlineStr">
        <is>
          <t>Mart</t>
        </is>
      </c>
      <c r="C434" s="32" t="inlineStr">
        <is>
          <t>Trainer Hill - Entrance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Full Restore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Guard Spec.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Hyper Potion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Max Potion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Paralyze Heal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Revive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Super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X Accuracy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X Attack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X Defense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X Sp. Atk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Speed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Quick Claw</t>
        </is>
      </c>
      <c r="B447" s="77" t="inlineStr">
        <is>
          <t>Hidden</t>
        </is>
      </c>
      <c r="C447" s="77" t="inlineStr">
        <is>
          <t>Trainer Grove</t>
        </is>
      </c>
      <c r="D447" s="77" t="inlineStr">
        <is>
          <t>Unassigned</t>
        </is>
      </c>
      <c r="E447" s="77" t="n"/>
      <c r="F447" s="77" t="inlineStr">
        <is>
          <t>(12, 6)</t>
        </is>
      </c>
    </row>
    <row r="448">
      <c r="A448" s="32" t="inlineStr">
        <is>
          <t>Full Heal</t>
        </is>
      </c>
      <c r="B448" s="32" t="inlineStr">
        <is>
          <t>Item Ball</t>
        </is>
      </c>
      <c r="C448" s="32" t="inlineStr">
        <is>
          <t>Meteor Falls - 1F - 1R</t>
        </is>
      </c>
      <c r="D448" s="32" t="inlineStr">
        <is>
          <t>Unassigned</t>
        </is>
      </c>
      <c r="E448" s="32" t="n"/>
      <c r="F448" s="32" t="inlineStr">
        <is>
          <t>(27, 5)</t>
        </is>
      </c>
    </row>
    <row r="449">
      <c r="A449" s="77" t="inlineStr">
        <is>
          <t>Moon Stone</t>
        </is>
      </c>
      <c r="B449" s="77" t="inlineStr">
        <is>
          <t>Item Ball</t>
        </is>
      </c>
      <c r="C449" s="77" t="inlineStr">
        <is>
          <t>Meteor Falls - 1F - 1R</t>
        </is>
      </c>
      <c r="D449" s="77" t="inlineStr">
        <is>
          <t>Unassigned</t>
        </is>
      </c>
      <c r="E449" s="77" t="n"/>
      <c r="F449" s="77" t="inlineStr">
        <is>
          <t>(2, 14)</t>
        </is>
      </c>
    </row>
    <row r="450">
      <c r="A450" s="32" t="inlineStr">
        <is>
          <t>PP Up</t>
        </is>
      </c>
      <c r="B450" s="32" t="inlineStr">
        <is>
          <t>Item Ball</t>
        </is>
      </c>
      <c r="C450" s="32" t="inlineStr">
        <is>
          <t>Meteor Falls - 1F - 1R</t>
        </is>
      </c>
      <c r="D450" s="32" t="inlineStr">
        <is>
          <t>Unassigned</t>
        </is>
      </c>
      <c r="E450" s="32" t="n"/>
      <c r="F450" s="32" t="inlineStr">
        <is>
          <t>(26, 32)</t>
        </is>
      </c>
    </row>
    <row r="451">
      <c r="A451" s="77" t="inlineStr">
        <is>
          <t>Great Ball</t>
        </is>
      </c>
      <c r="B451" s="77" t="inlineStr">
        <is>
          <t>Item Ball</t>
        </is>
      </c>
      <c r="C451" s="77" t="inlineStr">
        <is>
          <t>Route 115</t>
        </is>
      </c>
      <c r="D451" s="77" t="inlineStr">
        <is>
          <t>Unassigned</t>
        </is>
      </c>
      <c r="E451" s="77" t="n"/>
      <c r="F451" s="77" t="inlineStr">
        <is>
          <t>(31, 56)</t>
        </is>
      </c>
    </row>
    <row r="452">
      <c r="A452" s="32" t="inlineStr">
        <is>
          <t>Heal Powder</t>
        </is>
      </c>
      <c r="B452" s="32" t="inlineStr">
        <is>
          <t>Item Ball</t>
        </is>
      </c>
      <c r="C452" s="32" t="inlineStr">
        <is>
          <t>Route 115</t>
        </is>
      </c>
      <c r="D452" s="32" t="inlineStr">
        <is>
          <t>Unassigned</t>
        </is>
      </c>
      <c r="E452" s="32" t="n"/>
      <c r="F452" s="32" t="inlineStr">
        <is>
          <t>(12, 14)</t>
        </is>
      </c>
    </row>
    <row r="453">
      <c r="A453" s="77" t="inlineStr">
        <is>
          <t>PP Up</t>
        </is>
      </c>
      <c r="B453" s="77" t="inlineStr">
        <is>
          <t>Item Ball</t>
        </is>
      </c>
      <c r="C453" s="77" t="inlineStr">
        <is>
          <t>Route 115</t>
        </is>
      </c>
      <c r="D453" s="77" t="inlineStr">
        <is>
          <t>Unassigned</t>
        </is>
      </c>
      <c r="E453" s="77" t="n"/>
      <c r="F453" s="77" t="inlineStr">
        <is>
          <t>(26, 67)</t>
        </is>
      </c>
    </row>
    <row r="454">
      <c r="A454" s="32" t="inlineStr">
        <is>
          <t>Soft Sand</t>
        </is>
      </c>
      <c r="B454" s="32" t="inlineStr">
        <is>
          <t>Item Ball</t>
        </is>
      </c>
      <c r="C454" s="32" t="inlineStr">
        <is>
          <t>Route 115</t>
        </is>
      </c>
      <c r="D454" s="32" t="inlineStr">
        <is>
          <t>Unassigned</t>
        </is>
      </c>
      <c r="E454" s="32" t="n"/>
      <c r="F454" s="32" t="inlineStr">
        <is>
          <t>(8, 73)</t>
        </is>
      </c>
    </row>
    <row r="455">
      <c r="A455" s="77" t="inlineStr">
        <is>
          <t>Super Potion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(20, 60)</t>
        </is>
      </c>
    </row>
    <row r="456">
      <c r="A456" s="32" t="inlineStr">
        <is>
          <t>Heart Scale</t>
        </is>
      </c>
      <c r="B456" s="32" t="inlineStr">
        <is>
          <t>Hidden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(15, 49)</t>
        </is>
      </c>
    </row>
    <row r="457">
      <c r="A457" s="77" t="inlineStr">
        <is>
          <t>Protein</t>
        </is>
      </c>
      <c r="B457" s="77" t="inlineStr">
        <is>
          <t>Item Ball</t>
        </is>
      </c>
      <c r="C457" s="77" t="inlineStr">
        <is>
          <t>Route 132</t>
        </is>
      </c>
      <c r="D457" s="77" t="inlineStr">
        <is>
          <t>Unassigned</t>
        </is>
      </c>
      <c r="E457" s="77" t="n"/>
      <c r="F457" s="77" t="inlineStr">
        <is>
          <t>(20, 27)</t>
        </is>
      </c>
    </row>
    <row r="458">
      <c r="A458" s="32" t="inlineStr">
        <is>
          <t>Rare Candy</t>
        </is>
      </c>
      <c r="B458" s="32" t="inlineStr">
        <is>
          <t>Item Ball</t>
        </is>
      </c>
      <c r="C458" s="32" t="inlineStr">
        <is>
          <t>Route 132</t>
        </is>
      </c>
      <c r="D458" s="32" t="inlineStr">
        <is>
          <t>Unassigned</t>
        </is>
      </c>
      <c r="E458" s="32" t="n"/>
      <c r="F458" s="32" t="inlineStr">
        <is>
          <t>(10, 11)</t>
        </is>
      </c>
    </row>
    <row r="459">
      <c r="A459" s="77" t="inlineStr">
        <is>
          <t>Big Pearl</t>
        </is>
      </c>
      <c r="B459" s="77" t="inlineStr">
        <is>
          <t>Item Ball</t>
        </is>
      </c>
      <c r="C459" s="77" t="inlineStr">
        <is>
          <t>Route 133</t>
        </is>
      </c>
      <c r="D459" s="77" t="inlineStr">
        <is>
          <t>Unassigned</t>
        </is>
      </c>
      <c r="E459" s="77" t="n"/>
      <c r="F459" s="77" t="inlineStr">
        <is>
          <t>(53, 12)</t>
        </is>
      </c>
    </row>
    <row r="460">
      <c r="A460" s="32" t="inlineStr">
        <is>
          <t>Max Revive</t>
        </is>
      </c>
      <c r="B460" s="32" t="inlineStr">
        <is>
          <t>Item Ball</t>
        </is>
      </c>
      <c r="C460" s="32" t="inlineStr">
        <is>
          <t>Route 133</t>
        </is>
      </c>
      <c r="D460" s="32" t="inlineStr">
        <is>
          <t>Unassigned</t>
        </is>
      </c>
      <c r="E460" s="32" t="n"/>
      <c r="F460" s="32" t="inlineStr">
        <is>
          <t>(48, 28)</t>
        </is>
      </c>
    </row>
    <row r="461">
      <c r="A461" s="77" t="inlineStr">
        <is>
          <t>Star Piece</t>
        </is>
      </c>
      <c r="B461" s="77" t="inlineStr">
        <is>
          <t>Item Ball</t>
        </is>
      </c>
      <c r="C461" s="77" t="inlineStr">
        <is>
          <t>Route 133</t>
        </is>
      </c>
      <c r="D461" s="77" t="inlineStr">
        <is>
          <t>Unassigned</t>
        </is>
      </c>
      <c r="E461" s="77" t="n"/>
      <c r="F461" s="77" t="inlineStr">
        <is>
          <t>(8, 10)</t>
        </is>
      </c>
    </row>
    <row r="462">
      <c r="A462" s="32" t="inlineStr">
        <is>
          <t>Carbos</t>
        </is>
      </c>
      <c r="B462" s="32" t="inlineStr">
        <is>
          <t>Item Ball</t>
        </is>
      </c>
      <c r="C462" s="32" t="inlineStr">
        <is>
          <t>Route 134</t>
        </is>
      </c>
      <c r="D462" s="32" t="inlineStr">
        <is>
          <t>Unassigned</t>
        </is>
      </c>
      <c r="E462" s="32" t="n"/>
      <c r="F462" s="32" t="inlineStr">
        <is>
          <t>(50, 17)</t>
        </is>
      </c>
    </row>
    <row r="463">
      <c r="A463" s="77" t="inlineStr">
        <is>
          <t>Star Piece</t>
        </is>
      </c>
      <c r="B463" s="77" t="inlineStr">
        <is>
          <t>Item Ball</t>
        </is>
      </c>
      <c r="C463" s="77" t="inlineStr">
        <is>
          <t>Route 134</t>
        </is>
      </c>
      <c r="D463" s="77" t="inlineStr">
        <is>
          <t>Unassigned</t>
        </is>
      </c>
      <c r="E463" s="77" t="n"/>
      <c r="F463" s="77" t="inlineStr">
        <is>
          <t>(22, 27)</t>
        </is>
      </c>
    </row>
    <row r="464">
      <c r="A464" s="32" t="inlineStr">
        <is>
          <t>Carbos</t>
        </is>
      </c>
      <c r="B464" s="32" t="inlineStr">
        <is>
          <t>Item Ball</t>
        </is>
      </c>
      <c r="C464" s="32" t="inlineStr">
        <is>
          <t>Artisan Cave - 1F</t>
        </is>
      </c>
      <c r="D464" s="32" t="inlineStr">
        <is>
          <t>Unassigned</t>
        </is>
      </c>
      <c r="E464" s="32" t="n"/>
      <c r="F464" s="32" t="inlineStr">
        <is>
          <t>(14, 5)</t>
        </is>
      </c>
    </row>
    <row r="465">
      <c r="A465" s="77" t="inlineStr">
        <is>
          <t>HP Up</t>
        </is>
      </c>
      <c r="B465" s="77" t="inlineStr">
        <is>
          <t>Item Ball</t>
        </is>
      </c>
      <c r="C465" s="77" t="inlineStr">
        <is>
          <t>Artisan Cave - B1F</t>
        </is>
      </c>
      <c r="D465" s="77" t="inlineStr">
        <is>
          <t>Unassigned</t>
        </is>
      </c>
      <c r="E465" s="77" t="n"/>
      <c r="F465" s="77" t="inlineStr">
        <is>
          <t>(32, 38)</t>
        </is>
      </c>
    </row>
    <row r="466">
      <c r="A466" s="32" t="inlineStr">
        <is>
          <t>Big Pearl</t>
        </is>
      </c>
      <c r="B466" s="32" t="inlineStr">
        <is>
          <t>Hidden</t>
        </is>
      </c>
      <c r="C466" s="32" t="inlineStr">
        <is>
          <t>Underwater - Route 124</t>
        </is>
      </c>
      <c r="D466" s="32" t="inlineStr">
        <is>
          <t>Unassigned</t>
        </is>
      </c>
      <c r="E466" s="32" t="n"/>
      <c r="F466" s="32" t="inlineStr">
        <is>
          <t>(64, 54)</t>
        </is>
      </c>
    </row>
    <row r="467">
      <c r="A467" s="77" t="inlineStr">
        <is>
          <t>Big Pearl</t>
        </is>
      </c>
      <c r="B467" s="77" t="inlineStr">
        <is>
          <t>Hidden</t>
        </is>
      </c>
      <c r="C467" s="77" t="inlineStr">
        <is>
          <t>Underwater - Route 126</t>
        </is>
      </c>
      <c r="D467" s="77" t="inlineStr">
        <is>
          <t>Unassigned</t>
        </is>
      </c>
      <c r="E467" s="77" t="n"/>
      <c r="F467" s="77" t="inlineStr">
        <is>
          <t>(65, 60)</t>
        </is>
      </c>
    </row>
    <row r="468">
      <c r="A468" s="32" t="inlineStr">
        <is>
          <t>Blue Shard</t>
        </is>
      </c>
      <c r="B468" s="32" t="inlineStr">
        <is>
          <t>Hidden</t>
        </is>
      </c>
      <c r="C468" s="32" t="inlineStr">
        <is>
          <t>Underwater - Route 126</t>
        </is>
      </c>
      <c r="D468" s="32" t="inlineStr">
        <is>
          <t>Unassigned</t>
        </is>
      </c>
      <c r="E468" s="32" t="n"/>
      <c r="F468" s="32" t="inlineStr">
        <is>
          <t>(9, 77)</t>
        </is>
      </c>
    </row>
    <row r="469">
      <c r="A469" s="77" t="inlineStr">
        <is>
          <t>Calcium</t>
        </is>
      </c>
      <c r="B469" s="77" t="inlineStr">
        <is>
          <t>Hidden</t>
        </is>
      </c>
      <c r="C469" s="77" t="inlineStr">
        <is>
          <t>Artisan Cave - B1F</t>
        </is>
      </c>
      <c r="D469" s="77" t="inlineStr">
        <is>
          <t>Unassigned</t>
        </is>
      </c>
      <c r="E469" s="77" t="n"/>
      <c r="F469" s="77" t="inlineStr">
        <is>
          <t>(27, 8)</t>
        </is>
      </c>
    </row>
    <row r="470">
      <c r="A470" s="32" t="inlineStr">
        <is>
          <t>Calcium</t>
        </is>
      </c>
      <c r="B470" s="32" t="inlineStr">
        <is>
          <t>Hidden</t>
        </is>
      </c>
      <c r="C470" s="32" t="inlineStr">
        <is>
          <t>Underwater - Route 124</t>
        </is>
      </c>
      <c r="D470" s="32" t="inlineStr">
        <is>
          <t>Unassigned</t>
        </is>
      </c>
      <c r="E470" s="32" t="n"/>
      <c r="F470" s="32" t="inlineStr">
        <is>
          <t>(42, 5)</t>
        </is>
      </c>
    </row>
    <row r="471">
      <c r="A471" s="77" t="inlineStr">
        <is>
          <t>Carbos</t>
        </is>
      </c>
      <c r="B471" s="77" t="inlineStr">
        <is>
          <t>Hidden</t>
        </is>
      </c>
      <c r="C471" s="77" t="inlineStr">
        <is>
          <t>Underwater - Route 124</t>
        </is>
      </c>
      <c r="D471" s="77" t="inlineStr">
        <is>
          <t>Unassigned</t>
        </is>
      </c>
      <c r="E471" s="77" t="n"/>
      <c r="F471" s="77" t="inlineStr">
        <is>
          <t>(42, 51)</t>
        </is>
      </c>
    </row>
    <row r="472">
      <c r="A472" s="32" t="inlineStr">
        <is>
          <t>Green Shard</t>
        </is>
      </c>
      <c r="B472" s="32" t="inlineStr">
        <is>
          <t>Hidden</t>
        </is>
      </c>
      <c r="C472" s="32" t="inlineStr">
        <is>
          <t>Underwater - Route 124</t>
        </is>
      </c>
      <c r="D472" s="32" t="inlineStr">
        <is>
          <t>Unassigned</t>
        </is>
      </c>
      <c r="E472" s="32" t="n"/>
      <c r="F472" s="32" t="inlineStr">
        <is>
          <t>(14, 40)</t>
        </is>
      </c>
    </row>
    <row r="473">
      <c r="A473" s="77" t="inlineStr">
        <is>
          <t>HP Up</t>
        </is>
      </c>
      <c r="B473" s="77" t="inlineStr">
        <is>
          <t>Hidden</t>
        </is>
      </c>
      <c r="C473" s="77" t="inlineStr">
        <is>
          <t>Underwater - Route 127</t>
        </is>
      </c>
      <c r="D473" s="77" t="inlineStr">
        <is>
          <t>Unassigned</t>
        </is>
      </c>
      <c r="E473" s="77" t="n"/>
      <c r="F473" s="77" t="inlineStr">
        <is>
          <t>(50, 36)</t>
        </is>
      </c>
    </row>
    <row r="474">
      <c r="A474" s="32" t="inlineStr">
        <is>
          <t>Heart Scale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(70, 64)</t>
        </is>
      </c>
    </row>
    <row r="475">
      <c r="A475" s="77" t="inlineStr">
        <is>
          <t>Heart Scale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(45, 36)</t>
        </is>
      </c>
    </row>
    <row r="476">
      <c r="A476" s="32" t="inlineStr">
        <is>
          <t>Heart Scale</t>
        </is>
      </c>
      <c r="B476" s="32" t="inlineStr">
        <is>
          <t>Hidden</t>
        </is>
      </c>
      <c r="C476" s="32" t="inlineStr">
        <is>
          <t>Underwater - Route 126</t>
        </is>
      </c>
      <c r="D476" s="32" t="inlineStr">
        <is>
          <t>Unassigned</t>
        </is>
      </c>
      <c r="E476" s="32" t="n"/>
      <c r="F476" s="32" t="inlineStr">
        <is>
          <t>(30, 17)</t>
        </is>
      </c>
    </row>
    <row r="477">
      <c r="A477" s="77" t="inlineStr">
        <is>
          <t>Heart Scale</t>
        </is>
      </c>
      <c r="B477" s="77" t="inlineStr">
        <is>
          <t>Hidden</t>
        </is>
      </c>
      <c r="C477" s="77" t="inlineStr">
        <is>
          <t>Underwater - Route 127</t>
        </is>
      </c>
      <c r="D477" s="77" t="inlineStr">
        <is>
          <t>Unassigned</t>
        </is>
      </c>
      <c r="E477" s="77" t="n"/>
      <c r="F477" s="77" t="inlineStr">
        <is>
          <t>(34, 72)</t>
        </is>
      </c>
    </row>
    <row r="478">
      <c r="A478" s="32" t="inlineStr">
        <is>
          <t>Iron</t>
        </is>
      </c>
      <c r="B478" s="32" t="inlineStr">
        <is>
          <t>Hidden</t>
        </is>
      </c>
      <c r="C478" s="32" t="inlineStr">
        <is>
          <t>Artisan Cave - B1F</t>
        </is>
      </c>
      <c r="D478" s="32" t="inlineStr">
        <is>
          <t>Unassigned</t>
        </is>
      </c>
      <c r="E478" s="32" t="n"/>
      <c r="F478" s="32" t="inlineStr">
        <is>
          <t>(19, 43)</t>
        </is>
      </c>
    </row>
    <row r="479">
      <c r="A479" s="77" t="inlineStr">
        <is>
          <t>Iron</t>
        </is>
      </c>
      <c r="B479" s="77" t="inlineStr">
        <is>
          <t>Hidden</t>
        </is>
      </c>
      <c r="C479" s="77" t="inlineStr">
        <is>
          <t>Underwater - Route 126</t>
        </is>
      </c>
      <c r="D479" s="77" t="inlineStr">
        <is>
          <t>Unassigned</t>
        </is>
      </c>
      <c r="E479" s="77" t="n"/>
      <c r="F479" s="77" t="inlineStr">
        <is>
          <t>(11, 39)</t>
        </is>
      </c>
    </row>
    <row r="480">
      <c r="A480" s="32" t="inlineStr">
        <is>
          <t>Pearl</t>
        </is>
      </c>
      <c r="B480" s="32" t="inlineStr">
        <is>
          <t>Hidden</t>
        </is>
      </c>
      <c r="C480" s="32" t="inlineStr">
        <is>
          <t>Underwater - Route 124</t>
        </is>
      </c>
      <c r="D480" s="32" t="inlineStr">
        <is>
          <t>Unassigned</t>
        </is>
      </c>
      <c r="E480" s="32" t="n"/>
      <c r="F480" s="32" t="inlineStr">
        <is>
          <t>(66, 34)</t>
        </is>
      </c>
    </row>
    <row r="481">
      <c r="A481" s="77" t="inlineStr">
        <is>
          <t>Pearl</t>
        </is>
      </c>
      <c r="B481" s="77" t="inlineStr">
        <is>
          <t>Hidden</t>
        </is>
      </c>
      <c r="C481" s="77" t="inlineStr">
        <is>
          <t>Underwater - Route 126</t>
        </is>
      </c>
      <c r="D481" s="77" t="inlineStr">
        <is>
          <t>Unassigned</t>
        </is>
      </c>
      <c r="E481" s="77" t="n"/>
      <c r="F481" s="77" t="inlineStr">
        <is>
          <t>(10, 36)</t>
        </is>
      </c>
    </row>
    <row r="482">
      <c r="A482" s="32" t="inlineStr">
        <is>
          <t>Pearl</t>
        </is>
      </c>
      <c r="B482" s="32" t="inlineStr">
        <is>
          <t>Hidden</t>
        </is>
      </c>
      <c r="C482" s="32" t="inlineStr">
        <is>
          <t>Underwater - Route 128</t>
        </is>
      </c>
      <c r="D482" s="32" t="inlineStr">
        <is>
          <t>Unassigned</t>
        </is>
      </c>
      <c r="E482" s="32" t="n"/>
      <c r="F482" s="32" t="inlineStr">
        <is>
          <t>(69, 18)</t>
        </is>
      </c>
    </row>
    <row r="483">
      <c r="A483" s="77" t="inlineStr">
        <is>
          <t>Protein</t>
        </is>
      </c>
      <c r="B483" s="77" t="inlineStr">
        <is>
          <t>Hidden</t>
        </is>
      </c>
      <c r="C483" s="77" t="inlineStr">
        <is>
          <t>Artisan Cave - B1F</t>
        </is>
      </c>
      <c r="D483" s="77" t="inlineStr">
        <is>
          <t>Unassigned</t>
        </is>
      </c>
      <c r="E483" s="77" t="n"/>
      <c r="F483" s="77" t="inlineStr">
        <is>
          <t>(7, 5)</t>
        </is>
      </c>
    </row>
    <row r="484">
      <c r="A484" s="32" t="inlineStr">
        <is>
          <t>Protein</t>
        </is>
      </c>
      <c r="B484" s="32" t="inlineStr">
        <is>
          <t>Hidden</t>
        </is>
      </c>
      <c r="C484" s="32" t="inlineStr">
        <is>
          <t>Underwater - Route 128</t>
        </is>
      </c>
      <c r="D484" s="32" t="inlineStr">
        <is>
          <t>Unassigned</t>
        </is>
      </c>
      <c r="E484" s="32" t="n"/>
      <c r="F484" s="32" t="inlineStr">
        <is>
          <t>(38, 19)</t>
        </is>
      </c>
    </row>
    <row r="485">
      <c r="A485" s="77" t="inlineStr">
        <is>
          <t>Red Shard</t>
        </is>
      </c>
      <c r="B485" s="77" t="inlineStr">
        <is>
          <t>Hidden</t>
        </is>
      </c>
      <c r="C485" s="77" t="inlineStr">
        <is>
          <t>Underwater - Route 127</t>
        </is>
      </c>
      <c r="D485" s="77" t="inlineStr">
        <is>
          <t>Unassigned</t>
        </is>
      </c>
      <c r="E485" s="77" t="n"/>
      <c r="F485" s="77" t="inlineStr">
        <is>
          <t>(72, 20)</t>
        </is>
      </c>
    </row>
    <row r="486">
      <c r="A486" s="32" t="inlineStr">
        <is>
          <t>Sacred Ash</t>
        </is>
      </c>
      <c r="B486" s="32" t="inlineStr">
        <is>
          <t>Hidden</t>
        </is>
      </c>
      <c r="C486" s="32" t="inlineStr">
        <is>
          <t>Navel Rock - Top</t>
        </is>
      </c>
      <c r="D486" s="32" t="inlineStr">
        <is>
          <t>Unassigned</t>
        </is>
      </c>
      <c r="E486" s="32" t="n"/>
      <c r="F486" s="32" t="inlineStr">
        <is>
          <t>(12, 9)</t>
        </is>
      </c>
    </row>
    <row r="487">
      <c r="A487" s="77" t="inlineStr">
        <is>
          <t>Star Piece</t>
        </is>
      </c>
      <c r="B487" s="77" t="inlineStr">
        <is>
          <t>Hidden</t>
        </is>
      </c>
      <c r="C487" s="77" t="inlineStr">
        <is>
          <t>Underwater - Route 127</t>
        </is>
      </c>
      <c r="D487" s="77" t="inlineStr">
        <is>
          <t>Unassigned</t>
        </is>
      </c>
      <c r="E487" s="77" t="n"/>
      <c r="F487" s="77" t="inlineStr">
        <is>
          <t>(12, 42)</t>
        </is>
      </c>
    </row>
    <row r="488">
      <c r="A488" s="32" t="inlineStr">
        <is>
          <t>Stardust</t>
        </is>
      </c>
      <c r="B488" s="32" t="inlineStr">
        <is>
          <t>Hidden</t>
        </is>
      </c>
      <c r="C488" s="32" t="inlineStr">
        <is>
          <t>Underwater - Route 126</t>
        </is>
      </c>
      <c r="D488" s="32" t="inlineStr">
        <is>
          <t>Unassigned</t>
        </is>
      </c>
      <c r="E488" s="32" t="n"/>
      <c r="F488" s="32" t="inlineStr">
        <is>
          <t>(63, 19)</t>
        </is>
      </c>
    </row>
    <row r="489">
      <c r="A489" s="77" t="inlineStr">
        <is>
          <t>Ultra Ball</t>
        </is>
      </c>
      <c r="B489" s="77" t="inlineStr">
        <is>
          <t>Hidden</t>
        </is>
      </c>
      <c r="C489" s="77" t="inlineStr">
        <is>
          <t>Underwater - Route 126</t>
        </is>
      </c>
      <c r="D489" s="77" t="inlineStr">
        <is>
          <t>Unassigned</t>
        </is>
      </c>
      <c r="E489" s="77" t="n"/>
      <c r="F489" s="77" t="inlineStr">
        <is>
          <t>(41, 19)</t>
        </is>
      </c>
    </row>
    <row r="490">
      <c r="A490" s="32" t="inlineStr">
        <is>
          <t>Yellow Shard</t>
        </is>
      </c>
      <c r="B490" s="32" t="inlineStr">
        <is>
          <t>Hidden</t>
        </is>
      </c>
      <c r="C490" s="32" t="inlineStr">
        <is>
          <t>Underwater - Route 126</t>
        </is>
      </c>
      <c r="D490" s="32" t="inlineStr">
        <is>
          <t>Unassigned</t>
        </is>
      </c>
      <c r="E490" s="32" t="n"/>
      <c r="F490" s="32" t="inlineStr">
        <is>
          <t>(12, 35)</t>
        </is>
      </c>
    </row>
    <row r="491">
      <c r="A491" s="77" t="inlineStr">
        <is>
          <t>Zinc</t>
        </is>
      </c>
      <c r="B491" s="77" t="inlineStr">
        <is>
          <t>Hidden</t>
        </is>
      </c>
      <c r="C491" s="77" t="inlineStr">
        <is>
          <t>Artisan Cave - B1F</t>
        </is>
      </c>
      <c r="D491" s="77" t="inlineStr">
        <is>
          <t>Unassigned</t>
        </is>
      </c>
      <c r="E491" s="77" t="n"/>
      <c r="F491" s="77" t="inlineStr">
        <is>
          <t>(32, 29)</t>
        </is>
      </c>
    </row>
  </sheetData>
  <autoFilter ref="A1:F49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6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  <row r="6178">
      <c r="A6178" s="32" t="inlineStr">
        <is>
          <t>2026-10-04</t>
        </is>
      </c>
      <c r="B6178" s="32" t="inlineStr">
        <is>
          <t>Evolutions</t>
        </is>
      </c>
      <c r="C6178" s="32" t="inlineStr">
        <is>
          <t>Binacle evolution</t>
        </is>
      </c>
      <c r="D6178" s="32" t="inlineStr">
        <is>
          <t>Lv 39 -&gt; Barbaracle</t>
        </is>
      </c>
      <c r="E6178" s="32" t="inlineStr">
        <is>
          <t>Lv 33 -&gt; Barbaracle</t>
        </is>
      </c>
      <c r="F6178" s="32" t="inlineStr">
        <is>
          <t>Differs from upstream baseline</t>
        </is>
      </c>
      <c r="G6178" s="32" t="inlineStr">
        <is>
          <t>species_info/gen_*_families.h</t>
        </is>
      </c>
    </row>
    <row r="6179">
      <c r="A6179" s="77" t="inlineStr">
        <is>
          <t>2026-10-04</t>
        </is>
      </c>
      <c r="B6179" s="77" t="inlineStr">
        <is>
          <t>Abilities</t>
        </is>
      </c>
      <c r="C6179" s="77" t="inlineStr">
        <is>
          <t>Cinccino abilities</t>
        </is>
      </c>
      <c r="D6179" s="77" t="inlineStr">
        <is>
          <t>Cute Charm / Technician / Skill Link</t>
        </is>
      </c>
      <c r="E6179" s="77" t="inlineStr">
        <is>
          <t>Skill Link / Technician / Cute Charm</t>
        </is>
      </c>
      <c r="F6179" s="77" t="inlineStr">
        <is>
          <t>Differs from upstream baseline</t>
        </is>
      </c>
      <c r="G6179" s="77" t="inlineStr">
        <is>
          <t>species_info/gen_*_families.h</t>
        </is>
      </c>
    </row>
    <row r="6180">
      <c r="A6180" s="32" t="inlineStr">
        <is>
          <t>2026-10-04</t>
        </is>
      </c>
      <c r="B6180" s="32" t="inlineStr">
        <is>
          <t>Evolutions</t>
        </is>
      </c>
      <c r="C6180" s="32" t="inlineStr">
        <is>
          <t>Deerling evolution</t>
        </is>
      </c>
      <c r="D6180" s="32" t="inlineStr">
        <is>
          <t>Lv 34 -&gt; Sawsbuck Autumn</t>
        </is>
      </c>
      <c r="E6180" s="32" t="inlineStr">
        <is>
          <t>Lv 28 -&gt; Sawsbuck Autumn</t>
        </is>
      </c>
      <c r="F6180" s="32" t="inlineStr">
        <is>
          <t>Differs from upstream baseline</t>
        </is>
      </c>
      <c r="G6180" s="32" t="inlineStr">
        <is>
          <t>species_info/gen_*_families.h</t>
        </is>
      </c>
    </row>
    <row r="6181">
      <c r="A6181" s="77" t="inlineStr">
        <is>
          <t>2026-10-04</t>
        </is>
      </c>
      <c r="B6181" s="77" t="inlineStr">
        <is>
          <t>Evolutions</t>
        </is>
      </c>
      <c r="C6181" s="77" t="inlineStr">
        <is>
          <t>Deerling evolution</t>
        </is>
      </c>
      <c r="D6181" s="77" t="inlineStr">
        <is>
          <t>Lv 34 -&gt; Sawsbuck Spring</t>
        </is>
      </c>
      <c r="E6181" s="77" t="inlineStr">
        <is>
          <t>Lv 28 -&gt; Sawsbuck Spring</t>
        </is>
      </c>
      <c r="F6181" s="77" t="inlineStr">
        <is>
          <t>Differs from upstream baseline</t>
        </is>
      </c>
      <c r="G6181" s="77" t="inlineStr">
        <is>
          <t>species_info/gen_*_families.h</t>
        </is>
      </c>
    </row>
    <row r="6182">
      <c r="A6182" s="32" t="inlineStr">
        <is>
          <t>2026-10-04</t>
        </is>
      </c>
      <c r="B6182" s="32" t="inlineStr">
        <is>
          <t>Evolutions</t>
        </is>
      </c>
      <c r="C6182" s="32" t="inlineStr">
        <is>
          <t>Deerling evolution</t>
        </is>
      </c>
      <c r="D6182" s="32" t="inlineStr">
        <is>
          <t>Lv 34 -&gt; Sawsbuck Summer</t>
        </is>
      </c>
      <c r="E6182" s="32" t="inlineStr">
        <is>
          <t>Lv 28 -&gt; Sawsbuck Summer</t>
        </is>
      </c>
      <c r="F6182" s="32" t="inlineStr">
        <is>
          <t>Differs from upstream baseline</t>
        </is>
      </c>
      <c r="G6182" s="32" t="inlineStr">
        <is>
          <t>species_info/gen_*_families.h</t>
        </is>
      </c>
    </row>
    <row r="6183">
      <c r="A6183" s="77" t="inlineStr">
        <is>
          <t>2026-10-04</t>
        </is>
      </c>
      <c r="B6183" s="77" t="inlineStr">
        <is>
          <t>Evolutions</t>
        </is>
      </c>
      <c r="C6183" s="77" t="inlineStr">
        <is>
          <t>Deerling evolution</t>
        </is>
      </c>
      <c r="D6183" s="77" t="inlineStr">
        <is>
          <t>Lv 34 -&gt; Sawsbuck Winter</t>
        </is>
      </c>
      <c r="E6183" s="77" t="inlineStr">
        <is>
          <t>Lv 28 -&gt; Sawsbuck Winter</t>
        </is>
      </c>
      <c r="F6183" s="77" t="inlineStr">
        <is>
          <t>Differs from upstream baseline</t>
        </is>
      </c>
      <c r="G6183" s="77" t="inlineStr">
        <is>
          <t>species_info/gen_*_families.h</t>
        </is>
      </c>
    </row>
    <row r="6184">
      <c r="A6184" s="32" t="inlineStr">
        <is>
          <t>2026-10-04</t>
        </is>
      </c>
      <c r="B6184" s="32" t="inlineStr">
        <is>
          <t>Evolutions</t>
        </is>
      </c>
      <c r="C6184" s="32" t="inlineStr">
        <is>
          <t>Mienfoo evolution</t>
        </is>
      </c>
      <c r="D6184" s="32" t="inlineStr">
        <is>
          <t>Lv 50 -&gt; Mienshao</t>
        </is>
      </c>
      <c r="E6184" s="32" t="inlineStr">
        <is>
          <t>Lv 34 -&gt; Mienshao</t>
        </is>
      </c>
      <c r="F6184" s="32" t="inlineStr">
        <is>
          <t>Differs from upstream baseline</t>
        </is>
      </c>
      <c r="G6184" s="32" t="inlineStr">
        <is>
          <t>species_info/gen_*_families.h</t>
        </is>
      </c>
    </row>
    <row r="6185">
      <c r="A6185" s="77" t="inlineStr">
        <is>
          <t>2026-10-04</t>
        </is>
      </c>
      <c r="B6185" s="77" t="inlineStr">
        <is>
          <t>Evolutions</t>
        </is>
      </c>
      <c r="C6185" s="77" t="inlineStr">
        <is>
          <t>Patrat evolution</t>
        </is>
      </c>
      <c r="D6185" s="77" t="inlineStr">
        <is>
          <t>Lv 20 -&gt; Watchog</t>
        </is>
      </c>
      <c r="E6185" s="77" t="inlineStr">
        <is>
          <t>Lv 17 -&gt; Watchog</t>
        </is>
      </c>
      <c r="F6185" s="77" t="inlineStr">
        <is>
          <t>Differs from upstream baseline</t>
        </is>
      </c>
      <c r="G6185" s="77" t="inlineStr">
        <is>
          <t>species_info/gen_*_families.h</t>
        </is>
      </c>
    </row>
    <row r="6186">
      <c r="A6186" s="32" t="inlineStr">
        <is>
          <t>2026-10-04</t>
        </is>
      </c>
      <c r="B6186" s="32" t="inlineStr">
        <is>
          <t>Evolutions</t>
        </is>
      </c>
      <c r="C6186" s="32" t="inlineStr">
        <is>
          <t>Roggenrola evolution</t>
        </is>
      </c>
      <c r="D6186" s="32" t="inlineStr">
        <is>
          <t>Lv 25 -&gt; Boldore</t>
        </is>
      </c>
      <c r="E6186" s="32" t="inlineStr">
        <is>
          <t>Lv 22 -&gt; Boldore</t>
        </is>
      </c>
      <c r="F6186" s="32" t="inlineStr">
        <is>
          <t>Differs from upstream baseline</t>
        </is>
      </c>
      <c r="G6186" s="32" t="inlineStr">
        <is>
          <t>species_info/gen_*_families.h</t>
        </is>
      </c>
    </row>
    <row r="6187">
      <c r="A6187" s="77" t="inlineStr">
        <is>
          <t>2026-10-04</t>
        </is>
      </c>
      <c r="B6187" s="77" t="inlineStr">
        <is>
          <t>Evolutions</t>
        </is>
      </c>
      <c r="C6187" s="77" t="inlineStr">
        <is>
          <t>Sewaddle evolution</t>
        </is>
      </c>
      <c r="D6187" s="77" t="inlineStr">
        <is>
          <t>Lv 20 -&gt; Swadloon</t>
        </is>
      </c>
      <c r="E6187" s="77" t="inlineStr">
        <is>
          <t>Lv 16 -&gt; Swadloon</t>
        </is>
      </c>
      <c r="F6187" s="77" t="inlineStr">
        <is>
          <t>Differs from upstream baseline</t>
        </is>
      </c>
      <c r="G6187" s="77" t="inlineStr">
        <is>
          <t>species_info/gen_*_families.h</t>
        </is>
      </c>
    </row>
    <row r="6188">
      <c r="A6188" s="32" t="inlineStr">
        <is>
          <t>2026-10-04</t>
        </is>
      </c>
      <c r="B6188" s="32" t="inlineStr">
        <is>
          <t>Evolutions</t>
        </is>
      </c>
      <c r="C6188" s="32" t="inlineStr">
        <is>
          <t>Skiddo evolution</t>
        </is>
      </c>
      <c r="D6188" s="32" t="inlineStr">
        <is>
          <t>Lv 32 -&gt; Gogoat</t>
        </is>
      </c>
      <c r="E6188" s="32" t="inlineStr">
        <is>
          <t>Lv 28 -&gt; Gogoat</t>
        </is>
      </c>
      <c r="F6188" s="32" t="inlineStr">
        <is>
          <t>Differs from upstream baseline</t>
        </is>
      </c>
      <c r="G6188" s="32" t="inlineStr">
        <is>
          <t>species_info/gen_*_families.h</t>
        </is>
      </c>
    </row>
    <row r="6189">
      <c r="A6189" s="77" t="inlineStr">
        <is>
          <t>2026-10-04</t>
        </is>
      </c>
      <c r="B6189" s="77" t="inlineStr">
        <is>
          <t>Evolutions</t>
        </is>
      </c>
      <c r="C6189" s="77" t="inlineStr">
        <is>
          <t>Swadloon evolution</t>
        </is>
      </c>
      <c r="D6189" s="77" t="inlineStr">
        <is>
          <t>Friendship -&gt; Leavanny</t>
        </is>
      </c>
      <c r="E6189" s="77" t="inlineStr">
        <is>
          <t>Lv 23 -&gt; Leavanny</t>
        </is>
      </c>
      <c r="F6189" s="77" t="inlineStr">
        <is>
          <t>Differs from upstream baseline</t>
        </is>
      </c>
      <c r="G6189" s="77" t="inlineStr">
        <is>
          <t>species_info/gen_*_families.h</t>
        </is>
      </c>
    </row>
    <row r="6190">
      <c r="A6190" s="32" t="inlineStr">
        <is>
          <t>2026-10-04</t>
        </is>
      </c>
      <c r="B6190" s="32" t="inlineStr">
        <is>
          <t>Evolutions</t>
        </is>
      </c>
      <c r="C6190" s="32" t="inlineStr">
        <is>
          <t>Chingling evolution</t>
        </is>
      </c>
      <c r="D6190" s="32" t="inlineStr">
        <is>
          <t>Friendship Night -&gt; Chimecho</t>
        </is>
      </c>
      <c r="E6190" s="32" t="inlineStr">
        <is>
          <t>Lv 18 -&gt; Chimecho</t>
        </is>
      </c>
      <c r="F6190" s="32" t="inlineStr">
        <is>
          <t>Differs from upstream baseline</t>
        </is>
      </c>
      <c r="G6190" s="32" t="inlineStr">
        <is>
          <t>species_info/gen_*_families.h</t>
        </is>
      </c>
    </row>
    <row r="6191">
      <c r="A6191" s="77" t="inlineStr">
        <is>
          <t>2026-10-04</t>
        </is>
      </c>
      <c r="B6191" s="77" t="inlineStr">
        <is>
          <t>Evolutions</t>
        </is>
      </c>
      <c r="C6191" s="77" t="inlineStr">
        <is>
          <t>Woobat evolution</t>
        </is>
      </c>
      <c r="D6191" s="77" t="inlineStr">
        <is>
          <t>Friendship -&gt; Swoobat</t>
        </is>
      </c>
      <c r="E6191" s="77" t="inlineStr">
        <is>
          <t>Lv 22 -&gt; Swoobat</t>
        </is>
      </c>
      <c r="F6191" s="77" t="inlineStr">
        <is>
          <t>Differs from upstream baseline</t>
        </is>
      </c>
      <c r="G6191" s="77" t="inlineStr">
        <is>
          <t>species_info/gen_*_families.h</t>
        </is>
      </c>
    </row>
  </sheetData>
  <autoFilter ref="A1:G61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2026-10-05T02:27:03Z</dcterms:created>
  <dcterms:modified xmlns:dcterms="http://purl.org/dc/terms/" xmlns:xsi="http://www.w3.org/2001/XMLSchema-instance" xsi:type="dcterms:W3CDTF">2026-10-05T02:28:22Z</dcterms:modified>
</cp:coreProperties>
</file>