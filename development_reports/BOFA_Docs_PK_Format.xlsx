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1 Plan Check" sheetId="24" state="visible" r:id="rId24"/>
    <sheet xmlns:r="http://schemas.openxmlformats.org/officeDocument/2006/relationships" name="Pokemon Availability" sheetId="25" state="visible" r:id="rId25"/>
    <sheet xmlns:r="http://schemas.openxmlformats.org/officeDocument/2006/relationships" name="Gifts &amp; Trades" sheetId="26" state="visible" r:id="rId26"/>
    <sheet xmlns:r="http://schemas.openxmlformats.org/officeDocument/2006/relationships" name="TM &amp; HM Locations" sheetId="27" state="visible" r:id="rId27"/>
    <sheet xmlns:r="http://schemas.openxmlformats.org/officeDocument/2006/relationships" name="Items" sheetId="28" state="visible" r:id="rId28"/>
    <sheet xmlns:r="http://schemas.openxmlformats.org/officeDocument/2006/relationships" name="Item Locations" sheetId="29" state="visible" r:id="rId29"/>
    <sheet xmlns:r="http://schemas.openxmlformats.org/officeDocument/2006/relationships" name="Balance Issues" sheetId="30" state="visible" r:id="rId30"/>
    <sheet xmlns:r="http://schemas.openxmlformats.org/officeDocument/2006/relationships" name="Change Log" sheetId="31" state="visible" r:id="rId31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Progression'!$A$1:$F$7</definedName>
    <definedName name="_xlnm._FilterDatabase" localSheetId="24" hidden="1">'Pokemon Availability'!$A$1:$H$158</definedName>
    <definedName name="_xlnm._FilterDatabase" localSheetId="25" hidden="1">'Gifts &amp; Trades'!$A$1:$K$17</definedName>
    <definedName name="_xlnm._FilterDatabase" localSheetId="26" hidden="1">'TM &amp; HM Locations'!$A$1:$G$41</definedName>
    <definedName name="_xlnm._FilterDatabase" localSheetId="27" hidden="1">'Items'!$A$1:$F$585</definedName>
    <definedName name="_xlnm._FilterDatabase" localSheetId="28" hidden="1">'Item Locations'!$A$1:$F$468</definedName>
    <definedName name="_xlnm._FilterDatabase" localSheetId="29" hidden="1">'Balance Issues'!$A$1:$I$3</definedName>
    <definedName name="_xlnm._FilterDatabase" localSheetId="30" hidden="1">'Change Log'!$A$1:$G$4114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1 Plan Check'!A1" TargetMode="External" Id="rId23"/><Relationship Type="http://schemas.openxmlformats.org/officeDocument/2006/relationships/hyperlink" Target="#'Pokemon Availability'!A1" TargetMode="External" Id="rId24"/><Relationship Type="http://schemas.openxmlformats.org/officeDocument/2006/relationships/hyperlink" Target="#'Gifts &amp; Trades'!A1" TargetMode="External" Id="rId25"/><Relationship Type="http://schemas.openxmlformats.org/officeDocument/2006/relationships/hyperlink" Target="#'TM &amp; HM Locations'!A1" TargetMode="External" Id="rId26"/><Relationship Type="http://schemas.openxmlformats.org/officeDocument/2006/relationships/hyperlink" Target="#'Items'!A1" TargetMode="External" Id="rId27"/><Relationship Type="http://schemas.openxmlformats.org/officeDocument/2006/relationships/hyperlink" Target="#'Item Locations'!A1" TargetMode="External" Id="rId28"/><Relationship Type="http://schemas.openxmlformats.org/officeDocument/2006/relationships/hyperlink" Target="#'Balance Issues'!A1" TargetMode="External" Id="rId29"/><Relationship Type="http://schemas.openxmlformats.org/officeDocument/2006/relationships/hyperlink" Target="#'Change Log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1 Plan Check</t>
        </is>
      </c>
      <c r="C26" s="4" t="inlineStr">
        <is>
          <t>Trainer counts per area and every open decision (read this first)</t>
        </is>
      </c>
    </row>
    <row r="27">
      <c r="B27" s="3" t="inlineStr">
        <is>
          <t>Pokemon Availability</t>
        </is>
      </c>
      <c r="C27" s="4" t="inlineStr"/>
    </row>
    <row r="28">
      <c r="B28" s="3" t="inlineStr">
        <is>
          <t>Gifts &amp; Trades</t>
        </is>
      </c>
      <c r="C28" s="4" t="inlineStr"/>
    </row>
    <row r="29">
      <c r="B29" s="3" t="inlineStr">
        <is>
          <t>TM &amp; HM Locations</t>
        </is>
      </c>
      <c r="C29" s="4" t="inlineStr"/>
    </row>
    <row r="30">
      <c r="B30" s="3" t="inlineStr">
        <is>
          <t>Items</t>
        </is>
      </c>
      <c r="C30" s="4" t="inlineStr">
        <is>
          <t>Every Gen 1-6 item: pocket, price, fling power, description and where to find it</t>
        </is>
      </c>
    </row>
    <row r="31">
      <c r="B31" s="3" t="inlineStr">
        <is>
          <t>Item Locations</t>
        </is>
      </c>
      <c r="C31" s="4" t="inlineStr"/>
    </row>
    <row r="32">
      <c r="B32" s="3" t="inlineStr">
        <is>
          <t>Balance Issues</t>
        </is>
      </c>
      <c r="C32" s="4" t="inlineStr"/>
    </row>
    <row r="33">
      <c r="B33" s="3" t="inlineStr">
        <is>
          <t>Change Log</t>
        </is>
      </c>
      <c r="C33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6" t="n">
        <v>55</v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305 (+50)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6" t="inlineStr">
        <is>
          <t>Cute Charm</t>
        </is>
      </c>
      <c r="M649" s="6" t="inlineStr">
        <is>
          <t>Technician</t>
        </is>
      </c>
      <c r="N649" s="6" t="inlineStr">
        <is>
          <t>Skill Link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SWANNA</t>
        </is>
      </c>
      <c r="B396" s="6" t="inlineStr">
        <is>
          <t>Keen Eye</t>
        </is>
      </c>
      <c r="C396" s="10" t="inlineStr">
        <is>
          <t>Hydration</t>
        </is>
      </c>
      <c r="D396" s="10" t="inlineStr">
        <is>
          <t>Competitive</t>
        </is>
      </c>
      <c r="E396" s="27" t="inlineStr">
        <is>
          <t>Keen Eye / Big Pecks / Hydration</t>
        </is>
      </c>
    </row>
    <row r="397">
      <c r="A397" s="7" t="inlineStr">
        <is>
          <t>VANILLUXE</t>
        </is>
      </c>
      <c r="B397" s="6" t="inlineStr">
        <is>
          <t>Ice Body</t>
        </is>
      </c>
      <c r="C397" s="10" t="inlineStr">
        <is>
          <t>Ice Body</t>
        </is>
      </c>
      <c r="D397" s="10" t="inlineStr">
        <is>
          <t>Slush Rush</t>
        </is>
      </c>
      <c r="E397" s="27" t="inlineStr">
        <is>
          <t>Ice Body / Snow Warning / Weak Armor</t>
        </is>
      </c>
    </row>
    <row r="398">
      <c r="A398" s="7" t="inlineStr">
        <is>
          <t>EMOLGA</t>
        </is>
      </c>
      <c r="B398" s="6" t="inlineStr">
        <is>
          <t>Static</t>
        </is>
      </c>
      <c r="C398" s="10" t="inlineStr">
        <is>
          <t>Motor Drive</t>
        </is>
      </c>
      <c r="D398" s="10" t="inlineStr">
        <is>
          <t>Lightning Rod</t>
        </is>
      </c>
      <c r="E398" s="27" t="inlineStr">
        <is>
          <t>Static / - / Motor Drive</t>
        </is>
      </c>
    </row>
    <row r="399">
      <c r="A399" s="7" t="inlineStr">
        <is>
          <t>EELEKTROSS</t>
        </is>
      </c>
      <c r="B399" s="6" t="inlineStr">
        <is>
          <t>Levitate</t>
        </is>
      </c>
      <c r="C399" s="10" t="inlineStr">
        <is>
          <t>Levitate</t>
        </is>
      </c>
      <c r="D399" s="10" t="inlineStr">
        <is>
          <t>Levitate</t>
        </is>
      </c>
      <c r="E399" s="27" t="inlineStr">
        <is>
          <t>Levitate / - / -</t>
        </is>
      </c>
    </row>
    <row r="400">
      <c r="A400" s="7" t="inlineStr">
        <is>
          <t>BEHEEYEM</t>
        </is>
      </c>
      <c r="B400" s="6" t="inlineStr">
        <is>
          <t>Telepathy</t>
        </is>
      </c>
      <c r="C400" s="10" t="inlineStr">
        <is>
          <t>Analytic</t>
        </is>
      </c>
      <c r="D400" s="10" t="inlineStr">
        <is>
          <t>Trace</t>
        </is>
      </c>
      <c r="E400" s="27" t="inlineStr">
        <is>
          <t>Telepathy / Synchronize / Analytic</t>
        </is>
      </c>
    </row>
    <row r="401">
      <c r="A401" s="7" t="inlineStr">
        <is>
          <t>CRYOGONAL</t>
        </is>
      </c>
      <c r="B401" s="6" t="inlineStr">
        <is>
          <t>Levitate</t>
        </is>
      </c>
      <c r="C401" s="10" t="inlineStr">
        <is>
          <t>Ice Body</t>
        </is>
      </c>
      <c r="D401" s="10" t="inlineStr">
        <is>
          <t>Levitate</t>
        </is>
      </c>
      <c r="E401" s="27" t="inlineStr">
        <is>
          <t>Levitate / - / -</t>
        </is>
      </c>
    </row>
    <row r="402">
      <c r="A402" s="7" t="inlineStr">
        <is>
          <t>STUNFISK</t>
        </is>
      </c>
      <c r="B402" s="6" t="inlineStr">
        <is>
          <t>Static</t>
        </is>
      </c>
      <c r="C402" s="6" t="inlineStr">
        <is>
          <t>Limber</t>
        </is>
      </c>
      <c r="D402" s="10" t="inlineStr">
        <is>
          <t>Water Absorb</t>
        </is>
      </c>
      <c r="E402" s="27" t="inlineStr">
        <is>
          <t>Static / Limber / Sand Veil</t>
        </is>
      </c>
    </row>
    <row r="403">
      <c r="A403" s="7" t="inlineStr">
        <is>
          <t>CHESNAUGHT</t>
        </is>
      </c>
      <c r="B403" s="6" t="inlineStr">
        <is>
          <t>Overgrow</t>
        </is>
      </c>
      <c r="C403" s="10" t="inlineStr">
        <is>
          <t>Bulletproof</t>
        </is>
      </c>
      <c r="D403" s="10" t="inlineStr">
        <is>
          <t>Iron Barbs</t>
        </is>
      </c>
      <c r="E403" s="27" t="inlineStr">
        <is>
          <t>Overgrow / - / Bulletproof</t>
        </is>
      </c>
    </row>
    <row r="404">
      <c r="A404" s="7" t="inlineStr">
        <is>
          <t>DELPHOX</t>
        </is>
      </c>
      <c r="B404" s="6" t="inlineStr">
        <is>
          <t>Blaze</t>
        </is>
      </c>
      <c r="C404" s="10" t="inlineStr">
        <is>
          <t>Magician</t>
        </is>
      </c>
      <c r="D404" s="10" t="inlineStr">
        <is>
          <t>Magic Guard</t>
        </is>
      </c>
      <c r="E404" s="27" t="inlineStr">
        <is>
          <t>Blaze / - / Magician</t>
        </is>
      </c>
    </row>
    <row r="405">
      <c r="A405" s="7" t="inlineStr">
        <is>
          <t>PYROAR</t>
        </is>
      </c>
      <c r="B405" s="6" t="inlineStr">
        <is>
          <t>Rivalry</t>
        </is>
      </c>
      <c r="C405" s="6" t="inlineStr">
        <is>
          <t>Unnerve</t>
        </is>
      </c>
      <c r="D405" s="10" t="inlineStr">
        <is>
          <t>Competitive</t>
        </is>
      </c>
      <c r="E405" s="27" t="inlineStr">
        <is>
          <t>Rivalry / Unnerve / Moxie</t>
        </is>
      </c>
    </row>
    <row r="406">
      <c r="A406" s="7" t="inlineStr">
        <is>
          <t>GOGOAT</t>
        </is>
      </c>
      <c r="B406" s="6" t="inlineStr">
        <is>
          <t>Sap Sipper</t>
        </is>
      </c>
      <c r="C406" s="10" t="inlineStr">
        <is>
          <t>Grass Pelt</t>
        </is>
      </c>
      <c r="D406" s="10" t="inlineStr">
        <is>
          <t>Regenerator</t>
        </is>
      </c>
      <c r="E406" s="27" t="inlineStr">
        <is>
          <t>Sap Sipper / - / Grass Pelt</t>
        </is>
      </c>
    </row>
    <row r="407">
      <c r="A407" s="7" t="inlineStr">
        <is>
          <t>AROMATISSE</t>
        </is>
      </c>
      <c r="B407" s="6" t="inlineStr">
        <is>
          <t>Healer</t>
        </is>
      </c>
      <c r="C407" s="10" t="inlineStr">
        <is>
          <t>Aroma Veil</t>
        </is>
      </c>
      <c r="D407" s="10" t="inlineStr">
        <is>
          <t>Regenerator</t>
        </is>
      </c>
      <c r="E407" s="27" t="inlineStr">
        <is>
          <t>Healer / - / Aroma Veil</t>
        </is>
      </c>
    </row>
    <row r="408">
      <c r="A408" s="7" t="inlineStr">
        <is>
          <t>SLURPUFF</t>
        </is>
      </c>
      <c r="B408" s="6" t="inlineStr">
        <is>
          <t>Sweet Veil</t>
        </is>
      </c>
      <c r="C408" s="10" t="inlineStr">
        <is>
          <t>Unburden</t>
        </is>
      </c>
      <c r="D408" s="10" t="inlineStr">
        <is>
          <t>Aroma Veil</t>
        </is>
      </c>
      <c r="E408" s="27" t="inlineStr">
        <is>
          <t>Sweet Veil / - / Unburden</t>
        </is>
      </c>
    </row>
    <row r="409">
      <c r="A409" s="7" t="inlineStr">
        <is>
          <t>CLAWITZER</t>
        </is>
      </c>
      <c r="B409" s="6" t="inlineStr">
        <is>
          <t>Mega Launcher</t>
        </is>
      </c>
      <c r="C409" s="10" t="inlineStr">
        <is>
          <t>Mega Launcher</t>
        </is>
      </c>
      <c r="D409" s="10" t="inlineStr">
        <is>
          <t>Mega Launcher</t>
        </is>
      </c>
      <c r="E409" s="27" t="inlineStr">
        <is>
          <t>Mega Launcher / - / -</t>
        </is>
      </c>
    </row>
    <row r="410">
      <c r="A410" s="7" t="inlineStr">
        <is>
          <t>TYRANTRUM</t>
        </is>
      </c>
      <c r="B410" s="6" t="inlineStr">
        <is>
          <t>Strong Jaw</t>
        </is>
      </c>
      <c r="C410" s="10" t="inlineStr">
        <is>
          <t>Rock Head</t>
        </is>
      </c>
      <c r="D410" s="10" t="inlineStr">
        <is>
          <t>Intimidate</t>
        </is>
      </c>
      <c r="E410" s="27" t="inlineStr">
        <is>
          <t>Strong Jaw / - / Rock Head</t>
        </is>
      </c>
    </row>
    <row r="411">
      <c r="A411" s="7" t="inlineStr">
        <is>
          <t>AMAURA</t>
        </is>
      </c>
      <c r="B411" s="6" t="inlineStr">
        <is>
          <t>Refrigerate</t>
        </is>
      </c>
      <c r="C411" s="6" t="inlineStr">
        <is>
          <t>-</t>
        </is>
      </c>
      <c r="D411" s="10" t="inlineStr">
        <is>
          <t>Thick Fat</t>
        </is>
      </c>
      <c r="E411" s="27" t="inlineStr">
        <is>
          <t>Refrigerate / - / Snow Warning</t>
        </is>
      </c>
    </row>
    <row r="412">
      <c r="A412" s="7" t="inlineStr">
        <is>
          <t>AURORUS</t>
        </is>
      </c>
      <c r="B412" s="6" t="inlineStr">
        <is>
          <t>Refrigerate</t>
        </is>
      </c>
      <c r="C412" s="10" t="inlineStr">
        <is>
          <t>Refrigerate</t>
        </is>
      </c>
      <c r="D412" s="10" t="inlineStr">
        <is>
          <t>Filter</t>
        </is>
      </c>
      <c r="E412" s="27" t="inlineStr">
        <is>
          <t>Refrigerate / - / Snow Warning</t>
        </is>
      </c>
    </row>
    <row r="413">
      <c r="A413" s="7" t="inlineStr">
        <is>
          <t>DEDENNE</t>
        </is>
      </c>
      <c r="B413" s="6" t="inlineStr">
        <is>
          <t>Cheek Pouch</t>
        </is>
      </c>
      <c r="C413" s="6" t="inlineStr">
        <is>
          <t>Pickup</t>
        </is>
      </c>
      <c r="D413" s="10" t="inlineStr">
        <is>
          <t>Pixilate</t>
        </is>
      </c>
      <c r="E413" s="27" t="inlineStr">
        <is>
          <t>Cheek Pouch / Pickup / Plus</t>
        </is>
      </c>
    </row>
    <row r="414">
      <c r="A414" s="7" t="inlineStr">
        <is>
          <t>CARBINK</t>
        </is>
      </c>
      <c r="B414" s="6" t="inlineStr">
        <is>
          <t>Clear Body</t>
        </is>
      </c>
      <c r="C414" s="10" t="inlineStr">
        <is>
          <t>Sturdy</t>
        </is>
      </c>
      <c r="D414" s="10" t="inlineStr">
        <is>
          <t>Magic Bounce</t>
        </is>
      </c>
      <c r="E414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21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7" t="inlineStr">
        <is>
          <t>PATRAT</t>
        </is>
      </c>
      <c r="B245" s="6" t="inlineStr">
        <is>
          <t>Level Up</t>
        </is>
      </c>
      <c r="C245" s="6" t="n">
        <v>20</v>
      </c>
      <c r="D245" s="6" t="inlineStr">
        <is>
          <t>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7" t="inlineStr">
        <is>
          <t>ROGGENROLA</t>
        </is>
      </c>
      <c r="B256" s="6" t="inlineStr">
        <is>
          <t>Level Up</t>
        </is>
      </c>
      <c r="C256" s="6" t="n">
        <v>25</v>
      </c>
      <c r="D256" s="6" t="inlineStr">
        <is>
          <t>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30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7" t="inlineStr">
        <is>
          <t>SEWADDLE</t>
        </is>
      </c>
      <c r="B264" s="6" t="inlineStr">
        <is>
          <t>Level Up</t>
        </is>
      </c>
      <c r="C264" s="6" t="n">
        <v>20</v>
      </c>
      <c r="D264" s="6" t="inlineStr">
        <is>
          <t>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30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7" t="inlineStr">
        <is>
          <t>DEERLING (AUTUMN)</t>
        </is>
      </c>
      <c r="B288" s="6" t="inlineStr">
        <is>
          <t>Level Up</t>
        </is>
      </c>
      <c r="C288" s="6" t="n">
        <v>34</v>
      </c>
      <c r="D288" s="6" t="inlineStr">
        <is>
          <t>SAWSBUCK AUTUMN</t>
        </is>
      </c>
    </row>
    <row r="289">
      <c r="A289" s="7" t="inlineStr">
        <is>
          <t>DEERLING (SPRING)</t>
        </is>
      </c>
      <c r="B289" s="6" t="inlineStr">
        <is>
          <t>Level Up</t>
        </is>
      </c>
      <c r="C289" s="6" t="n">
        <v>34</v>
      </c>
      <c r="D289" s="6" t="inlineStr">
        <is>
          <t>SAWSBUCK SPRING</t>
        </is>
      </c>
    </row>
    <row r="290">
      <c r="A290" s="7" t="inlineStr">
        <is>
          <t>DEERLING (SUMMER)</t>
        </is>
      </c>
      <c r="B290" s="6" t="inlineStr">
        <is>
          <t>Level Up</t>
        </is>
      </c>
      <c r="C290" s="6" t="n">
        <v>34</v>
      </c>
      <c r="D290" s="6" t="inlineStr">
        <is>
          <t>SAWSBUCK SUMMER</t>
        </is>
      </c>
    </row>
    <row r="291">
      <c r="A291" s="7" t="inlineStr">
        <is>
          <t>DEERLING (WINTER)</t>
        </is>
      </c>
      <c r="B291" s="6" t="inlineStr">
        <is>
          <t>Level Up</t>
        </is>
      </c>
      <c r="C291" s="6" t="n">
        <v>34</v>
      </c>
      <c r="D291" s="6" t="inlineStr">
        <is>
          <t>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46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7" t="inlineStr">
        <is>
          <t>SKIDDO</t>
        </is>
      </c>
      <c r="B327" s="6" t="inlineStr">
        <is>
          <t>Level Up</t>
        </is>
      </c>
      <c r="C327" s="6" t="n">
        <v>32</v>
      </c>
      <c r="D327" s="6" t="inlineStr">
        <is>
          <t>GOGOAT</t>
        </is>
      </c>
    </row>
    <row r="328">
      <c r="A328" s="28" t="inlineStr">
        <is>
          <t>PANCHAM</t>
        </is>
      </c>
      <c r="B328" s="29" t="inlineStr">
        <is>
          <t>Level Up</t>
        </is>
      </c>
      <c r="C328" s="29" t="n">
        <v>32</v>
      </c>
      <c r="D328" s="29" t="inlineStr">
        <is>
          <t>PANGORO</t>
        </is>
      </c>
      <c r="AF328" s="27" t="inlineStr">
        <is>
          <t>Level Dark Type Mon In Party 32 -&gt; 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7" t="inlineStr">
        <is>
          <t>BINACLE</t>
        </is>
      </c>
      <c r="B335" s="6" t="inlineStr">
        <is>
          <t>Level Up</t>
        </is>
      </c>
      <c r="C335" s="6" t="n">
        <v>39</v>
      </c>
      <c r="D335" s="6" t="inlineStr">
        <is>
          <t>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Absorb</t>
        </is>
      </c>
      <c r="G499" s="30" t="n">
        <v>5</v>
      </c>
      <c r="H499" s="6" t="inlineStr">
        <is>
          <t>Vine Whip</t>
        </is>
      </c>
      <c r="I499" s="30" t="n">
        <v>8</v>
      </c>
      <c r="J499" s="6" t="inlineStr">
        <is>
          <t>Leech Seed</t>
        </is>
      </c>
      <c r="K499" s="30" t="n">
        <v>12</v>
      </c>
      <c r="L499" s="6" t="inlineStr">
        <is>
          <t>Razor Leaf</t>
        </is>
      </c>
      <c r="M499" s="30" t="n">
        <v>16</v>
      </c>
      <c r="N499" s="6" t="inlineStr">
        <is>
          <t>Mega Drain</t>
        </is>
      </c>
      <c r="O499" s="30" t="n">
        <v>20</v>
      </c>
      <c r="P499" s="6" t="inlineStr">
        <is>
          <t>Synthesis</t>
        </is>
      </c>
      <c r="Q499" s="30" t="n">
        <v>24</v>
      </c>
      <c r="R499" s="6" t="inlineStr">
        <is>
          <t>Seed Bomb</t>
        </is>
      </c>
      <c r="S499" s="30" t="n">
        <v>28</v>
      </c>
      <c r="T499" s="6" t="inlineStr">
        <is>
          <t>Giga Drain</t>
        </is>
      </c>
      <c r="U499" s="30" t="n">
        <v>32</v>
      </c>
      <c r="V499" s="6" t="inlineStr">
        <is>
          <t>Energy Ball</t>
        </is>
      </c>
      <c r="W499" s="30" t="n">
        <v>36</v>
      </c>
      <c r="X499" s="6" t="inlineStr">
        <is>
          <t>Leaf Blade</t>
        </is>
      </c>
      <c r="Y499" s="30" t="n">
        <v>40</v>
      </c>
      <c r="Z499" s="6" t="inlineStr">
        <is>
          <t>Petal Blizzard</t>
        </is>
      </c>
      <c r="AA499" s="30" t="n">
        <v>44</v>
      </c>
      <c r="AB499" s="6" t="inlineStr">
        <is>
          <t>Power Whip</t>
        </is>
      </c>
      <c r="AC499" s="30" t="n">
        <v>48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Absorb</t>
        </is>
      </c>
      <c r="G500" s="30" t="n">
        <v>5</v>
      </c>
      <c r="H500" s="6" t="inlineStr">
        <is>
          <t>Vine Whip</t>
        </is>
      </c>
      <c r="I500" s="30" t="n">
        <v>8</v>
      </c>
      <c r="J500" s="6" t="inlineStr">
        <is>
          <t>Leech Seed</t>
        </is>
      </c>
      <c r="K500" s="30" t="n">
        <v>12</v>
      </c>
      <c r="L500" s="6" t="inlineStr">
        <is>
          <t>Razor Leaf</t>
        </is>
      </c>
      <c r="M500" s="30" t="n">
        <v>16</v>
      </c>
      <c r="N500" s="6" t="inlineStr">
        <is>
          <t>Mega Drain</t>
        </is>
      </c>
      <c r="O500" s="30" t="n">
        <v>20</v>
      </c>
      <c r="P500" s="6" t="inlineStr">
        <is>
          <t>Synthesis</t>
        </is>
      </c>
      <c r="Q500" s="30" t="n">
        <v>24</v>
      </c>
      <c r="R500" s="6" t="inlineStr">
        <is>
          <t>Seed Bomb</t>
        </is>
      </c>
      <c r="S500" s="30" t="n">
        <v>28</v>
      </c>
      <c r="T500" s="6" t="inlineStr">
        <is>
          <t>Giga Drain</t>
        </is>
      </c>
      <c r="U500" s="30" t="n">
        <v>32</v>
      </c>
      <c r="V500" s="6" t="inlineStr">
        <is>
          <t>Energy Ball</t>
        </is>
      </c>
      <c r="W500" s="30" t="n">
        <v>36</v>
      </c>
      <c r="X500" s="6" t="inlineStr">
        <is>
          <t>Glare</t>
        </is>
      </c>
      <c r="Y500" s="30" t="n">
        <v>38</v>
      </c>
      <c r="Z500" s="6" t="inlineStr">
        <is>
          <t>Leaf Blade</t>
        </is>
      </c>
      <c r="AA500" s="30" t="n">
        <v>40</v>
      </c>
      <c r="AB500" s="6" t="inlineStr">
        <is>
          <t>Petal Blizzard</t>
        </is>
      </c>
      <c r="AC500" s="30" t="n">
        <v>44</v>
      </c>
      <c r="AD500" s="6" t="inlineStr">
        <is>
          <t>Power Whip</t>
        </is>
      </c>
      <c r="AE500" s="30" t="n">
        <v>48</v>
      </c>
      <c r="AR500" s="31" t="n"/>
    </row>
    <row r="501">
      <c r="A501" s="7" t="inlineStr">
        <is>
          <t>SERPERIOR</t>
        </is>
      </c>
      <c r="B501" s="6" t="inlineStr">
        <is>
          <t>Tackle</t>
        </is>
      </c>
      <c r="C501" s="30" t="n">
        <v>1</v>
      </c>
      <c r="D501" s="6" t="inlineStr">
        <is>
          <t>Leer</t>
        </is>
      </c>
      <c r="E501" s="30" t="n">
        <v>1</v>
      </c>
      <c r="F501" s="6" t="inlineStr">
        <is>
          <t>Vine Whip</t>
        </is>
      </c>
      <c r="G501" s="30" t="n">
        <v>5</v>
      </c>
      <c r="H501" s="6" t="inlineStr">
        <is>
          <t>Wrap</t>
        </is>
      </c>
      <c r="I501" s="30" t="n">
        <v>8</v>
      </c>
      <c r="J501" s="6" t="inlineStr">
        <is>
          <t>Leech Seed</t>
        </is>
      </c>
      <c r="K501" s="30" t="n">
        <v>12</v>
      </c>
      <c r="L501" s="6" t="inlineStr">
        <is>
          <t>Magical Leaf</t>
        </is>
      </c>
      <c r="M501" s="30" t="n">
        <v>16</v>
      </c>
      <c r="N501" s="6" t="inlineStr">
        <is>
          <t>Glare</t>
        </is>
      </c>
      <c r="O501" s="30" t="n">
        <v>20</v>
      </c>
      <c r="P501" s="6" t="inlineStr">
        <is>
          <t>Giga Drain</t>
        </is>
      </c>
      <c r="Q501" s="30" t="n">
        <v>28</v>
      </c>
      <c r="R501" s="6" t="inlineStr">
        <is>
          <t>Coil</t>
        </is>
      </c>
      <c r="S501" s="30" t="n">
        <v>32</v>
      </c>
      <c r="T501" s="6" t="inlineStr">
        <is>
          <t>Leaf Storm</t>
        </is>
      </c>
      <c r="U501" s="30" t="n">
        <v>36</v>
      </c>
      <c r="V501" s="6" t="inlineStr">
        <is>
          <t>Synthesis</t>
        </is>
      </c>
      <c r="W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12</v>
      </c>
      <c r="L502" s="6" t="inlineStr">
        <is>
          <t>Fire Spin</t>
        </is>
      </c>
      <c r="M502" s="30" t="n">
        <v>16</v>
      </c>
      <c r="N502" s="6" t="inlineStr">
        <is>
          <t>Fire Fang</t>
        </is>
      </c>
      <c r="O502" s="30" t="n">
        <v>20</v>
      </c>
      <c r="P502" s="6" t="inlineStr">
        <is>
          <t>Will O Wisp</t>
        </is>
      </c>
      <c r="Q502" s="30" t="n">
        <v>24</v>
      </c>
      <c r="R502" s="6" t="inlineStr">
        <is>
          <t>Flame Burst</t>
        </is>
      </c>
      <c r="S502" s="30" t="n">
        <v>28</v>
      </c>
      <c r="T502" s="6" t="inlineStr">
        <is>
          <t>Flamethrower</t>
        </is>
      </c>
      <c r="U502" s="30" t="n">
        <v>32</v>
      </c>
      <c r="V502" s="6" t="inlineStr">
        <is>
          <t>Head Smash</t>
        </is>
      </c>
      <c r="W502" s="30" t="n">
        <v>36</v>
      </c>
      <c r="X502" s="6" t="inlineStr">
        <is>
          <t>Heat Wave</t>
        </is>
      </c>
      <c r="Y502" s="30" t="n">
        <v>40</v>
      </c>
      <c r="Z502" s="6" t="inlineStr">
        <is>
          <t>Fire Blast</t>
        </is>
      </c>
      <c r="AA502" s="30" t="n">
        <v>44</v>
      </c>
      <c r="AB502" s="6" t="inlineStr">
        <is>
          <t>Flare Blitz</t>
        </is>
      </c>
      <c r="AC502" s="30" t="n">
        <v>48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12</v>
      </c>
      <c r="L503" s="6" t="inlineStr">
        <is>
          <t>Fire Spin</t>
        </is>
      </c>
      <c r="M503" s="30" t="n">
        <v>16</v>
      </c>
      <c r="N503" s="6" t="inlineStr">
        <is>
          <t>Fire Fang</t>
        </is>
      </c>
      <c r="O503" s="30" t="n">
        <v>20</v>
      </c>
      <c r="P503" s="6" t="inlineStr">
        <is>
          <t>Will O Wisp</t>
        </is>
      </c>
      <c r="Q503" s="30" t="n">
        <v>24</v>
      </c>
      <c r="R503" s="6" t="inlineStr">
        <is>
          <t>Flame Burst</t>
        </is>
      </c>
      <c r="S503" s="30" t="n">
        <v>28</v>
      </c>
      <c r="T503" s="6" t="inlineStr">
        <is>
          <t>Flamethrower</t>
        </is>
      </c>
      <c r="U503" s="30" t="n">
        <v>32</v>
      </c>
      <c r="V503" s="6" t="inlineStr">
        <is>
          <t>Assurance</t>
        </is>
      </c>
      <c r="W503" s="30" t="n">
        <v>36</v>
      </c>
      <c r="X503" s="6" t="inlineStr">
        <is>
          <t>Drain Punch</t>
        </is>
      </c>
      <c r="Y503" s="30" t="n">
        <v>38</v>
      </c>
      <c r="Z503" s="6" t="inlineStr">
        <is>
          <t>Heat Wave</t>
        </is>
      </c>
      <c r="AA503" s="30" t="n">
        <v>40</v>
      </c>
      <c r="AB503" s="6" t="inlineStr">
        <is>
          <t>Fire Blast</t>
        </is>
      </c>
      <c r="AC503" s="30" t="n">
        <v>44</v>
      </c>
      <c r="AD503" s="6" t="inlineStr">
        <is>
          <t>Flare Blitz</t>
        </is>
      </c>
      <c r="AE503" s="30" t="n">
        <v>48</v>
      </c>
      <c r="AR503" s="31" t="n"/>
    </row>
    <row r="504">
      <c r="A504" s="7" t="inlineStr">
        <is>
          <t>EMBOAR</t>
        </is>
      </c>
      <c r="B504" s="6" t="inlineStr">
        <is>
          <t>Tackle</t>
        </is>
      </c>
      <c r="C504" s="30" t="n">
        <v>1</v>
      </c>
      <c r="D504" s="6" t="inlineStr">
        <is>
          <t>Tail Whip</t>
        </is>
      </c>
      <c r="E504" s="30" t="n">
        <v>1</v>
      </c>
      <c r="F504" s="6" t="inlineStr">
        <is>
          <t>Ember</t>
        </is>
      </c>
      <c r="G504" s="30" t="n">
        <v>5</v>
      </c>
      <c r="H504" s="6" t="inlineStr">
        <is>
          <t>Arm Thrust</t>
        </is>
      </c>
      <c r="I504" s="30" t="n">
        <v>8</v>
      </c>
      <c r="J504" s="6" t="inlineStr">
        <is>
          <t>Flame Charge</t>
        </is>
      </c>
      <c r="K504" s="30" t="n">
        <v>12</v>
      </c>
      <c r="L504" s="6" t="inlineStr">
        <is>
          <t>Rollout</t>
        </is>
      </c>
      <c r="M504" s="30" t="n">
        <v>16</v>
      </c>
      <c r="N504" s="6" t="inlineStr">
        <is>
          <t>Brick Break</t>
        </is>
      </c>
      <c r="O504" s="30" t="n">
        <v>20</v>
      </c>
      <c r="P504" s="6" t="inlineStr">
        <is>
          <t>Heat Crash</t>
        </is>
      </c>
      <c r="Q504" s="30" t="n">
        <v>24</v>
      </c>
      <c r="R504" s="6" t="inlineStr">
        <is>
          <t>Wild Charge</t>
        </is>
      </c>
      <c r="S504" s="30" t="n">
        <v>28</v>
      </c>
      <c r="T504" s="6" t="inlineStr">
        <is>
          <t>Drain Punch</t>
        </is>
      </c>
      <c r="U504" s="30" t="n">
        <v>32</v>
      </c>
      <c r="V504" s="6" t="inlineStr">
        <is>
          <t>Flare Blitz</t>
        </is>
      </c>
      <c r="W504" s="30" t="n">
        <v>36</v>
      </c>
      <c r="X504" s="6" t="inlineStr">
        <is>
          <t>Close Combat</t>
        </is>
      </c>
      <c r="Y504" s="30" t="n">
        <v>44</v>
      </c>
      <c r="Z504" s="6" t="inlineStr">
        <is>
          <t>Head Smash</t>
        </is>
      </c>
      <c r="AA504" s="30" t="n">
        <v>45</v>
      </c>
      <c r="AB504" s="6" t="inlineStr">
        <is>
          <t>Overheat</t>
        </is>
      </c>
      <c r="AC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Water Pulse</t>
        </is>
      </c>
      <c r="K505" s="30" t="n">
        <v>12</v>
      </c>
      <c r="L505" s="6" t="inlineStr">
        <is>
          <t>Water Sport</t>
        </is>
      </c>
      <c r="M505" s="30" t="n">
        <v>16</v>
      </c>
      <c r="N505" s="6" t="inlineStr">
        <is>
          <t>Bubble Beam</t>
        </is>
      </c>
      <c r="O505" s="30" t="n">
        <v>20</v>
      </c>
      <c r="P505" s="6" t="inlineStr">
        <is>
          <t>Aqua Ring</t>
        </is>
      </c>
      <c r="Q505" s="30" t="n">
        <v>24</v>
      </c>
      <c r="R505" s="6" t="inlineStr">
        <is>
          <t>Brine</t>
        </is>
      </c>
      <c r="S505" s="30" t="n">
        <v>28</v>
      </c>
      <c r="T505" s="6" t="inlineStr">
        <is>
          <t>Aqua Tail</t>
        </is>
      </c>
      <c r="U505" s="30" t="n">
        <v>32</v>
      </c>
      <c r="V505" s="6" t="inlineStr">
        <is>
          <t>Surf</t>
        </is>
      </c>
      <c r="W505" s="30" t="n">
        <v>36</v>
      </c>
      <c r="X505" s="6" t="inlineStr">
        <is>
          <t>Swords Dance</t>
        </is>
      </c>
      <c r="Y505" s="30" t="n">
        <v>40</v>
      </c>
      <c r="Z505" s="6" t="inlineStr">
        <is>
          <t>Hydro Pump</t>
        </is>
      </c>
      <c r="AA505" s="30" t="n">
        <v>44</v>
      </c>
      <c r="AB505" s="6" t="inlineStr">
        <is>
          <t>Retaliate</t>
        </is>
      </c>
      <c r="AC505" s="30" t="n">
        <v>48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Water Pulse</t>
        </is>
      </c>
      <c r="K506" s="30" t="n">
        <v>12</v>
      </c>
      <c r="L506" s="6" t="inlineStr">
        <is>
          <t>Water Sport</t>
        </is>
      </c>
      <c r="M506" s="30" t="n">
        <v>16</v>
      </c>
      <c r="N506" s="6" t="inlineStr">
        <is>
          <t>Bubble Beam</t>
        </is>
      </c>
      <c r="O506" s="30" t="n">
        <v>20</v>
      </c>
      <c r="P506" s="6" t="inlineStr">
        <is>
          <t>Aqua Ring</t>
        </is>
      </c>
      <c r="Q506" s="30" t="n">
        <v>24</v>
      </c>
      <c r="R506" s="6" t="inlineStr">
        <is>
          <t>Brine</t>
        </is>
      </c>
      <c r="S506" s="30" t="n">
        <v>28</v>
      </c>
      <c r="T506" s="6" t="inlineStr">
        <is>
          <t>Aqua Tail</t>
        </is>
      </c>
      <c r="U506" s="30" t="n">
        <v>32</v>
      </c>
      <c r="V506" s="6" t="inlineStr">
        <is>
          <t>Surf</t>
        </is>
      </c>
      <c r="W506" s="30" t="n">
        <v>36</v>
      </c>
      <c r="X506" s="6" t="inlineStr">
        <is>
          <t>Sacred Sword</t>
        </is>
      </c>
      <c r="Y506" s="30" t="n">
        <v>38</v>
      </c>
      <c r="Z506" s="6" t="inlineStr">
        <is>
          <t>Encore</t>
        </is>
      </c>
      <c r="AA506" s="30" t="n">
        <v>40</v>
      </c>
      <c r="AB506" s="6" t="inlineStr">
        <is>
          <t>Hydro Pump</t>
        </is>
      </c>
      <c r="AC506" s="30" t="n">
        <v>44</v>
      </c>
      <c r="AD506" s="6" t="inlineStr">
        <is>
          <t>Swords Dance</t>
        </is>
      </c>
      <c r="AE506" s="30" t="n">
        <v>48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Focus Energy</t>
        </is>
      </c>
      <c r="I507" s="30" t="n">
        <v>8</v>
      </c>
      <c r="J507" s="6" t="inlineStr">
        <is>
          <t>Razor Shell</t>
        </is>
      </c>
      <c r="K507" s="30" t="n">
        <v>12</v>
      </c>
      <c r="L507" s="6" t="inlineStr">
        <is>
          <t>Slash</t>
        </is>
      </c>
      <c r="M507" s="30" t="n">
        <v>20</v>
      </c>
      <c r="N507" s="6" t="inlineStr">
        <is>
          <t>Sacred Sword</t>
        </is>
      </c>
      <c r="O507" s="30" t="n">
        <v>24</v>
      </c>
      <c r="P507" s="6" t="inlineStr">
        <is>
          <t>Aqua Tail</t>
        </is>
      </c>
      <c r="Q507" s="30" t="n">
        <v>28</v>
      </c>
      <c r="R507" s="6" t="inlineStr">
        <is>
          <t>Swords Dance</t>
        </is>
      </c>
      <c r="S507" s="30" t="n">
        <v>32</v>
      </c>
      <c r="T507" s="6" t="inlineStr">
        <is>
          <t>Encore</t>
        </is>
      </c>
      <c r="U507" s="30" t="n">
        <v>40</v>
      </c>
      <c r="V507" s="6" t="inlineStr">
        <is>
          <t>Aqua Jet</t>
        </is>
      </c>
      <c r="W507" s="30" t="n">
        <v>40</v>
      </c>
      <c r="X507" s="6" t="inlineStr">
        <is>
          <t>Megahorn</t>
        </is>
      </c>
      <c r="Y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Quick Attack</t>
        </is>
      </c>
      <c r="E508" s="30" t="n">
        <v>1</v>
      </c>
      <c r="F508" s="6" t="inlineStr">
        <is>
          <t>Leer</t>
        </is>
      </c>
      <c r="G508" s="30" t="n">
        <v>5</v>
      </c>
      <c r="H508" s="6" t="inlineStr">
        <is>
          <t>Headbutt</t>
        </is>
      </c>
      <c r="I508" s="30" t="n">
        <v>8</v>
      </c>
      <c r="J508" s="6" t="inlineStr">
        <is>
          <t>Work Up</t>
        </is>
      </c>
      <c r="K508" s="30" t="n">
        <v>12</v>
      </c>
      <c r="L508" s="6" t="inlineStr">
        <is>
          <t>Take Down</t>
        </is>
      </c>
      <c r="M508" s="30" t="n">
        <v>16</v>
      </c>
      <c r="N508" s="6" t="inlineStr">
        <is>
          <t>Facade</t>
        </is>
      </c>
      <c r="O508" s="30" t="n">
        <v>20</v>
      </c>
      <c r="P508" s="6" t="inlineStr">
        <is>
          <t>Super Fang</t>
        </is>
      </c>
      <c r="Q508" s="30" t="n">
        <v>23</v>
      </c>
      <c r="R508" s="6" t="inlineStr">
        <is>
          <t>Helping Hand</t>
        </is>
      </c>
      <c r="S508" s="30" t="n">
        <v>24</v>
      </c>
      <c r="T508" s="6" t="inlineStr">
        <is>
          <t>Body Slam</t>
        </is>
      </c>
      <c r="U508" s="30" t="n">
        <v>28</v>
      </c>
      <c r="V508" s="6" t="inlineStr">
        <is>
          <t>Crunch</t>
        </is>
      </c>
      <c r="W508" s="30" t="n">
        <v>32</v>
      </c>
      <c r="X508" s="6" t="inlineStr">
        <is>
          <t>Retaliate</t>
        </is>
      </c>
      <c r="Y508" s="30" t="n">
        <v>36</v>
      </c>
      <c r="Z508" s="6" t="inlineStr">
        <is>
          <t>Hyper Voice</t>
        </is>
      </c>
      <c r="AA508" s="30" t="n">
        <v>40</v>
      </c>
      <c r="AB508" s="6" t="inlineStr">
        <is>
          <t>Double Edge</t>
        </is>
      </c>
      <c r="AC508" s="30" t="n">
        <v>44</v>
      </c>
      <c r="AD508" s="6" t="inlineStr">
        <is>
          <t>Giga Impact</t>
        </is>
      </c>
      <c r="AE508" s="30" t="n">
        <v>48</v>
      </c>
      <c r="AR508" s="31" t="n"/>
    </row>
    <row r="509">
      <c r="A509" s="7" t="inlineStr">
        <is>
          <t>WATCHOG</t>
        </is>
      </c>
      <c r="B509" s="6" t="inlineStr">
        <is>
          <t>Tackle</t>
        </is>
      </c>
      <c r="C509" s="30" t="n">
        <v>1</v>
      </c>
      <c r="D509" s="6" t="inlineStr">
        <is>
          <t>Leer</t>
        </is>
      </c>
      <c r="E509" s="30" t="n">
        <v>1</v>
      </c>
      <c r="F509" s="6" t="inlineStr">
        <is>
          <t>Bide</t>
        </is>
      </c>
      <c r="G509" s="30" t="n">
        <v>5</v>
      </c>
      <c r="H509" s="6" t="inlineStr">
        <is>
          <t>Bite</t>
        </is>
      </c>
      <c r="I509" s="30" t="n">
        <v>8</v>
      </c>
      <c r="J509" s="6" t="inlineStr">
        <is>
          <t>Hypnosis</t>
        </is>
      </c>
      <c r="K509" s="30" t="n">
        <v>12</v>
      </c>
      <c r="L509" s="6" t="inlineStr">
        <is>
          <t>Detect</t>
        </is>
      </c>
      <c r="M509" s="30" t="n">
        <v>16</v>
      </c>
      <c r="N509" s="6" t="inlineStr">
        <is>
          <t>Super Fang</t>
        </is>
      </c>
      <c r="O509" s="30" t="n">
        <v>20</v>
      </c>
      <c r="P509" s="6" t="inlineStr">
        <is>
          <t>Crunch</t>
        </is>
      </c>
      <c r="Q509" s="30" t="n">
        <v>24</v>
      </c>
      <c r="R509" s="6" t="inlineStr">
        <is>
          <t>Confuse Ray</t>
        </is>
      </c>
      <c r="S509" s="30" t="n">
        <v>28</v>
      </c>
      <c r="T509" s="6" t="inlineStr">
        <is>
          <t>Hyper Fang</t>
        </is>
      </c>
      <c r="U509" s="30" t="n">
        <v>32</v>
      </c>
      <c r="V509" s="6" t="inlineStr">
        <is>
          <t>Mean Look</t>
        </is>
      </c>
      <c r="W509" s="30" t="n">
        <v>36</v>
      </c>
      <c r="X509" s="6" t="inlineStr">
        <is>
          <t>Parting Shot</t>
        </is>
      </c>
      <c r="Y509" s="30" t="n">
        <v>42</v>
      </c>
      <c r="Z509" s="6" t="inlineStr">
        <is>
          <t>Sucker Punch</t>
        </is>
      </c>
      <c r="AA509" s="30" t="n">
        <v>44</v>
      </c>
      <c r="AB509" s="6" t="inlineStr">
        <is>
          <t>Superpower</t>
        </is>
      </c>
      <c r="AC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Rock Polish</t>
        </is>
      </c>
      <c r="I528" s="30" t="n">
        <v>8</v>
      </c>
      <c r="J528" s="6" t="inlineStr">
        <is>
          <t>Smack Down</t>
        </is>
      </c>
      <c r="K528" s="30" t="n">
        <v>12</v>
      </c>
      <c r="L528" s="6" t="inlineStr">
        <is>
          <t>Rock Tomb</t>
        </is>
      </c>
      <c r="M528" s="30" t="n">
        <v>16</v>
      </c>
      <c r="N528" s="6" t="inlineStr">
        <is>
          <t>Stealth Rock</t>
        </is>
      </c>
      <c r="O528" s="30" t="n">
        <v>20</v>
      </c>
      <c r="P528" s="6" t="inlineStr">
        <is>
          <t>Rock Slide</t>
        </is>
      </c>
      <c r="Q528" s="30" t="n">
        <v>24</v>
      </c>
      <c r="R528" s="6" t="inlineStr">
        <is>
          <t>Ancient Power</t>
        </is>
      </c>
      <c r="S528" s="30" t="n">
        <v>28</v>
      </c>
      <c r="T528" s="6" t="inlineStr">
        <is>
          <t>Rock Blast</t>
        </is>
      </c>
      <c r="U528" s="30" t="n">
        <v>32</v>
      </c>
      <c r="V528" s="6" t="inlineStr">
        <is>
          <t>Stone Edge</t>
        </is>
      </c>
      <c r="W528" s="30" t="n">
        <v>36</v>
      </c>
      <c r="X528" s="6" t="inlineStr">
        <is>
          <t>Head Smash</t>
        </is>
      </c>
      <c r="Y528" s="30" t="n">
        <v>40</v>
      </c>
      <c r="Z528" s="6" t="inlineStr">
        <is>
          <t>Wide Guard</t>
        </is>
      </c>
      <c r="AA528" s="30" t="n">
        <v>44</v>
      </c>
      <c r="AB528" s="6" t="inlineStr">
        <is>
          <t>Rock Wrecker</t>
        </is>
      </c>
      <c r="AC528" s="30" t="n">
        <v>48</v>
      </c>
      <c r="AR528" s="31" t="n"/>
    </row>
    <row r="529">
      <c r="A529" s="7" t="inlineStr">
        <is>
          <t>BOLDORE</t>
        </is>
      </c>
      <c r="B529" s="6" t="inlineStr">
        <is>
          <t>Tackle</t>
        </is>
      </c>
      <c r="C529" s="30" t="n">
        <v>1</v>
      </c>
      <c r="D529" s="6" t="inlineStr">
        <is>
          <t>Harden</t>
        </is>
      </c>
      <c r="E529" s="30" t="n">
        <v>1</v>
      </c>
      <c r="F529" s="6" t="inlineStr">
        <is>
          <t>Rock Throw</t>
        </is>
      </c>
      <c r="G529" s="30" t="n">
        <v>5</v>
      </c>
      <c r="H529" s="6" t="inlineStr">
        <is>
          <t>Rock Polish</t>
        </is>
      </c>
      <c r="I529" s="30" t="n">
        <v>8</v>
      </c>
      <c r="J529" s="6" t="inlineStr">
        <is>
          <t>Smack Down</t>
        </is>
      </c>
      <c r="K529" s="30" t="n">
        <v>12</v>
      </c>
      <c r="L529" s="6" t="inlineStr">
        <is>
          <t>Rock Tomb</t>
        </is>
      </c>
      <c r="M529" s="30" t="n">
        <v>16</v>
      </c>
      <c r="N529" s="6" t="inlineStr">
        <is>
          <t>Stealth Rock</t>
        </is>
      </c>
      <c r="O529" s="30" t="n">
        <v>20</v>
      </c>
      <c r="P529" s="6" t="inlineStr">
        <is>
          <t>Rock Slide</t>
        </is>
      </c>
      <c r="Q529" s="30" t="n">
        <v>24</v>
      </c>
      <c r="R529" s="6" t="inlineStr">
        <is>
          <t>Ancient Power</t>
        </is>
      </c>
      <c r="S529" s="30" t="n">
        <v>28</v>
      </c>
      <c r="T529" s="6" t="inlineStr">
        <is>
          <t>Stone Edge</t>
        </is>
      </c>
      <c r="U529" s="30" t="n">
        <v>36</v>
      </c>
      <c r="V529" s="6" t="inlineStr">
        <is>
          <t>Head Smash</t>
        </is>
      </c>
      <c r="W529" s="30" t="n">
        <v>40</v>
      </c>
      <c r="X529" s="6" t="inlineStr">
        <is>
          <t>Rock Blast</t>
        </is>
      </c>
      <c r="Y529" s="30" t="n">
        <v>41</v>
      </c>
      <c r="Z529" s="6" t="inlineStr">
        <is>
          <t>Wide Guard</t>
        </is>
      </c>
      <c r="AA529" s="30" t="n">
        <v>44</v>
      </c>
      <c r="AB529" s="6" t="inlineStr">
        <is>
          <t>Rock Wrecker</t>
        </is>
      </c>
      <c r="AC529" s="30" t="n">
        <v>48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Struggle Bug</t>
        </is>
      </c>
      <c r="I544" s="30" t="n">
        <v>8</v>
      </c>
      <c r="J544" s="6" t="inlineStr">
        <is>
          <t>Fury Cutter</t>
        </is>
      </c>
      <c r="K544" s="30" t="n">
        <v>12</v>
      </c>
      <c r="L544" s="6" t="inlineStr">
        <is>
          <t>Pin Missile</t>
        </is>
      </c>
      <c r="M544" s="30" t="n">
        <v>16</v>
      </c>
      <c r="N544" s="6" t="inlineStr">
        <is>
          <t>Protect</t>
        </is>
      </c>
      <c r="O544" s="30" t="n">
        <v>20</v>
      </c>
      <c r="P544" s="6" t="inlineStr">
        <is>
          <t>X Scissor</t>
        </is>
      </c>
      <c r="Q544" s="30" t="n">
        <v>24</v>
      </c>
      <c r="R544" s="6" t="inlineStr">
        <is>
          <t>Leech Life</t>
        </is>
      </c>
      <c r="S544" s="30" t="n">
        <v>28</v>
      </c>
      <c r="T544" s="6" t="inlineStr">
        <is>
          <t>Bug Buzz</t>
        </is>
      </c>
      <c r="U544" s="30" t="n">
        <v>32</v>
      </c>
      <c r="V544" s="6" t="inlineStr">
        <is>
          <t>Endure</t>
        </is>
      </c>
      <c r="W544" s="30" t="n">
        <v>36</v>
      </c>
      <c r="X544" s="6" t="inlineStr">
        <is>
          <t>Megahorn</t>
        </is>
      </c>
      <c r="Y544" s="30" t="n">
        <v>40</v>
      </c>
      <c r="Z544" s="6" t="inlineStr">
        <is>
          <t>Quiver Dance</t>
        </is>
      </c>
      <c r="AA544" s="30" t="n">
        <v>44</v>
      </c>
      <c r="AB544" s="6" t="inlineStr">
        <is>
          <t>Sticky Web</t>
        </is>
      </c>
      <c r="AC544" s="30" t="n">
        <v>48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Struggle Bug</t>
        </is>
      </c>
      <c r="I545" s="30" t="n">
        <v>8</v>
      </c>
      <c r="J545" s="6" t="inlineStr">
        <is>
          <t>Fury Cutter</t>
        </is>
      </c>
      <c r="K545" s="30" t="n">
        <v>12</v>
      </c>
      <c r="L545" s="6" t="inlineStr">
        <is>
          <t>Pin Missile</t>
        </is>
      </c>
      <c r="M545" s="30" t="n">
        <v>16</v>
      </c>
      <c r="N545" s="6" t="inlineStr">
        <is>
          <t>Protect</t>
        </is>
      </c>
      <c r="O545" s="30" t="n">
        <v>20</v>
      </c>
      <c r="P545" s="6" t="inlineStr">
        <is>
          <t>X Scissor</t>
        </is>
      </c>
      <c r="Q545" s="30" t="n">
        <v>24</v>
      </c>
      <c r="R545" s="6" t="inlineStr">
        <is>
          <t>Leech Life</t>
        </is>
      </c>
      <c r="S545" s="30" t="n">
        <v>28</v>
      </c>
      <c r="T545" s="6" t="inlineStr">
        <is>
          <t>Bug Buzz</t>
        </is>
      </c>
      <c r="U545" s="30" t="n">
        <v>32</v>
      </c>
      <c r="V545" s="6" t="inlineStr">
        <is>
          <t>Sticky Web</t>
        </is>
      </c>
      <c r="W545" s="30" t="n">
        <v>32</v>
      </c>
      <c r="X545" s="6" t="inlineStr">
        <is>
          <t>Grass Whistle</t>
        </is>
      </c>
      <c r="Y545" s="30" t="n">
        <v>36</v>
      </c>
      <c r="Z545" s="6" t="inlineStr">
        <is>
          <t>Megahorn</t>
        </is>
      </c>
      <c r="AA545" s="30" t="n">
        <v>40</v>
      </c>
      <c r="AB545" s="6" t="inlineStr">
        <is>
          <t>Quiver Dance</t>
        </is>
      </c>
      <c r="AC545" s="30" t="n">
        <v>44</v>
      </c>
      <c r="AR545" s="31" t="n"/>
    </row>
    <row r="546">
      <c r="A546" s="7" t="inlineStr">
        <is>
          <t>LEAVANNY</t>
        </is>
      </c>
      <c r="B546" s="6" t="inlineStr">
        <is>
          <t>Tackle</t>
        </is>
      </c>
      <c r="C546" s="30" t="n">
        <v>1</v>
      </c>
      <c r="D546" s="6" t="inlineStr">
        <is>
          <t>String Shot</t>
        </is>
      </c>
      <c r="E546" s="30" t="n">
        <v>1</v>
      </c>
      <c r="F546" s="6" t="inlineStr">
        <is>
          <t>Bug Bite</t>
        </is>
      </c>
      <c r="G546" s="30" t="n">
        <v>5</v>
      </c>
      <c r="H546" s="6" t="inlineStr">
        <is>
          <t>Struggle Bug</t>
        </is>
      </c>
      <c r="I546" s="30" t="n">
        <v>8</v>
      </c>
      <c r="J546" s="6" t="inlineStr">
        <is>
          <t>Fury Cutter</t>
        </is>
      </c>
      <c r="K546" s="30" t="n">
        <v>12</v>
      </c>
      <c r="L546" s="6" t="inlineStr">
        <is>
          <t>Pin Missile</t>
        </is>
      </c>
      <c r="M546" s="30" t="n">
        <v>16</v>
      </c>
      <c r="N546" s="6" t="inlineStr">
        <is>
          <t>Protect</t>
        </is>
      </c>
      <c r="O546" s="30" t="n">
        <v>20</v>
      </c>
      <c r="P546" s="6" t="inlineStr">
        <is>
          <t>X Scissor</t>
        </is>
      </c>
      <c r="Q546" s="30" t="n">
        <v>24</v>
      </c>
      <c r="R546" s="6" t="inlineStr">
        <is>
          <t>Leech Life</t>
        </is>
      </c>
      <c r="S546" s="30" t="n">
        <v>28</v>
      </c>
      <c r="T546" s="6" t="inlineStr">
        <is>
          <t>Bug Buzz</t>
        </is>
      </c>
      <c r="U546" s="30" t="n">
        <v>32</v>
      </c>
      <c r="V546" s="6" t="inlineStr">
        <is>
          <t>Leaf Blade</t>
        </is>
      </c>
      <c r="W546" s="30" t="n">
        <v>36</v>
      </c>
      <c r="X546" s="6" t="inlineStr">
        <is>
          <t>Megahorn</t>
        </is>
      </c>
      <c r="Y546" s="30" t="n">
        <v>40</v>
      </c>
      <c r="Z546" s="6" t="inlineStr">
        <is>
          <t>Quiver Dance</t>
        </is>
      </c>
      <c r="AA546" s="30" t="n">
        <v>44</v>
      </c>
      <c r="AB546" s="6" t="inlineStr">
        <is>
          <t>Sticky Web</t>
        </is>
      </c>
      <c r="AC546" s="30" t="n">
        <v>48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Tackle</t>
        </is>
      </c>
      <c r="C552" s="30" t="n">
        <v>1</v>
      </c>
      <c r="D552" s="6" t="inlineStr">
        <is>
          <t>Leer</t>
        </is>
      </c>
      <c r="E552" s="30" t="n">
        <v>1</v>
      </c>
      <c r="F552" s="6" t="inlineStr">
        <is>
          <t>Absorb</t>
        </is>
      </c>
      <c r="G552" s="30" t="n">
        <v>5</v>
      </c>
      <c r="H552" s="6" t="inlineStr">
        <is>
          <t>Vine Whip</t>
        </is>
      </c>
      <c r="I552" s="30" t="n">
        <v>8</v>
      </c>
      <c r="J552" s="6" t="inlineStr">
        <is>
          <t>Leech Seed</t>
        </is>
      </c>
      <c r="K552" s="30" t="n">
        <v>12</v>
      </c>
      <c r="L552" s="6" t="inlineStr">
        <is>
          <t>Razor Leaf</t>
        </is>
      </c>
      <c r="M552" s="30" t="n">
        <v>16</v>
      </c>
      <c r="N552" s="6" t="inlineStr">
        <is>
          <t>Mega Drain</t>
        </is>
      </c>
      <c r="O552" s="30" t="n">
        <v>20</v>
      </c>
      <c r="P552" s="6" t="inlineStr">
        <is>
          <t>Synthesis</t>
        </is>
      </c>
      <c r="Q552" s="30" t="n">
        <v>24</v>
      </c>
      <c r="R552" s="6" t="inlineStr">
        <is>
          <t>Seed Bomb</t>
        </is>
      </c>
      <c r="S552" s="30" t="n">
        <v>28</v>
      </c>
      <c r="T552" s="6" t="inlineStr">
        <is>
          <t>Sleep Powder</t>
        </is>
      </c>
      <c r="U552" s="30" t="n">
        <v>30</v>
      </c>
      <c r="V552" s="6" t="inlineStr">
        <is>
          <t>Giga Drain</t>
        </is>
      </c>
      <c r="W552" s="30" t="n">
        <v>32</v>
      </c>
      <c r="X552" s="6" t="inlineStr">
        <is>
          <t>Energy Ball</t>
        </is>
      </c>
      <c r="Y552" s="30" t="n">
        <v>36</v>
      </c>
      <c r="Z552" s="6" t="inlineStr">
        <is>
          <t>Leaf Blade</t>
        </is>
      </c>
      <c r="AA552" s="30" t="n">
        <v>40</v>
      </c>
      <c r="AB552" s="6" t="inlineStr">
        <is>
          <t>Quiver Dance</t>
        </is>
      </c>
      <c r="AC552" s="30" t="n">
        <v>40</v>
      </c>
      <c r="AD552" s="6" t="inlineStr">
        <is>
          <t>Petal Blizzard</t>
        </is>
      </c>
      <c r="AE552" s="30" t="n">
        <v>44</v>
      </c>
      <c r="AF552" s="6" t="inlineStr">
        <is>
          <t>Power Whip</t>
        </is>
      </c>
      <c r="AG552" s="30" t="n">
        <v>48</v>
      </c>
      <c r="AR552" s="31" t="n"/>
    </row>
    <row r="553">
      <c r="A553" s="7" t="inlineStr">
        <is>
          <t>LILLIGANT</t>
        </is>
      </c>
      <c r="B553" s="6" t="inlineStr">
        <is>
          <t>Tackle</t>
        </is>
      </c>
      <c r="C553" s="30" t="n">
        <v>1</v>
      </c>
      <c r="D553" s="6" t="inlineStr">
        <is>
          <t>Leer</t>
        </is>
      </c>
      <c r="E553" s="30" t="n">
        <v>1</v>
      </c>
      <c r="F553" s="6" t="inlineStr">
        <is>
          <t>Absorb</t>
        </is>
      </c>
      <c r="G553" s="30" t="n">
        <v>1</v>
      </c>
      <c r="H553" s="6" t="inlineStr">
        <is>
          <t>Vine Whip</t>
        </is>
      </c>
      <c r="I553" s="30" t="n">
        <v>1</v>
      </c>
      <c r="J553" s="6" t="inlineStr">
        <is>
          <t>Razor Leaf</t>
        </is>
      </c>
      <c r="K553" s="30" t="n">
        <v>25</v>
      </c>
      <c r="L553" s="6" t="inlineStr">
        <is>
          <t>Seed Bomb</t>
        </is>
      </c>
      <c r="M553" s="30" t="n">
        <v>32</v>
      </c>
      <c r="N553" s="6" t="inlineStr">
        <is>
          <t>Energy Ball</t>
        </is>
      </c>
      <c r="O553" s="30" t="n">
        <v>40</v>
      </c>
      <c r="P553" s="6" t="inlineStr">
        <is>
          <t>Petal Blizzard</t>
        </is>
      </c>
      <c r="Q553" s="30" t="n">
        <v>48</v>
      </c>
      <c r="R553" s="6" t="inlineStr">
        <is>
          <t>Power Whip</t>
        </is>
      </c>
      <c r="S553" s="30" t="n">
        <v>62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Tackle</t>
        </is>
      </c>
      <c r="C555" s="30" t="n">
        <v>1</v>
      </c>
      <c r="D555" s="6" t="inlineStr">
        <is>
          <t>Mud Slap</t>
        </is>
      </c>
      <c r="E555" s="30" t="n">
        <v>1</v>
      </c>
      <c r="F555" s="6" t="inlineStr">
        <is>
          <t>Sand Attack</t>
        </is>
      </c>
      <c r="G555" s="30" t="n">
        <v>5</v>
      </c>
      <c r="H555" s="6" t="inlineStr">
        <is>
          <t>Mud Shot</t>
        </is>
      </c>
      <c r="I555" s="30" t="n">
        <v>8</v>
      </c>
      <c r="J555" s="6" t="inlineStr">
        <is>
          <t>Bulldoze</t>
        </is>
      </c>
      <c r="K555" s="30" t="n">
        <v>12</v>
      </c>
      <c r="L555" s="6" t="inlineStr">
        <is>
          <t>Dig</t>
        </is>
      </c>
      <c r="M555" s="30" t="n">
        <v>16</v>
      </c>
      <c r="N555" s="6" t="inlineStr">
        <is>
          <t>Sand Tomb</t>
        </is>
      </c>
      <c r="O555" s="30" t="n">
        <v>20</v>
      </c>
      <c r="P555" s="6" t="inlineStr">
        <is>
          <t>Magnitude</t>
        </is>
      </c>
      <c r="Q555" s="30" t="n">
        <v>24</v>
      </c>
      <c r="R555" s="6" t="inlineStr">
        <is>
          <t>Stealth Rock</t>
        </is>
      </c>
      <c r="S555" s="30" t="n">
        <v>28</v>
      </c>
      <c r="T555" s="6" t="inlineStr">
        <is>
          <t>Earth Power</t>
        </is>
      </c>
      <c r="U555" s="30" t="n">
        <v>32</v>
      </c>
      <c r="V555" s="6" t="inlineStr">
        <is>
          <t>Foul Play</t>
        </is>
      </c>
      <c r="W555" s="30" t="n">
        <v>36</v>
      </c>
      <c r="X555" s="6" t="inlineStr">
        <is>
          <t>Earthquake</t>
        </is>
      </c>
      <c r="Y555" s="30" t="n">
        <v>40</v>
      </c>
      <c r="Z555" s="6" t="inlineStr">
        <is>
          <t>Fissure</t>
        </is>
      </c>
      <c r="AA555" s="30" t="n">
        <v>44</v>
      </c>
      <c r="AB555" s="6" t="inlineStr">
        <is>
          <t>Thrash</t>
        </is>
      </c>
      <c r="AC555" s="30" t="n">
        <v>48</v>
      </c>
      <c r="AR555" s="31" t="n"/>
    </row>
    <row r="556">
      <c r="A556" s="7" t="inlineStr">
        <is>
          <t>KROKOROK</t>
        </is>
      </c>
      <c r="B556" s="6" t="inlineStr">
        <is>
          <t>Tackle</t>
        </is>
      </c>
      <c r="C556" s="30" t="n">
        <v>1</v>
      </c>
      <c r="D556" s="6" t="inlineStr">
        <is>
          <t>Mud Slap</t>
        </is>
      </c>
      <c r="E556" s="30" t="n">
        <v>1</v>
      </c>
      <c r="F556" s="6" t="inlineStr">
        <is>
          <t>Sand Attack</t>
        </is>
      </c>
      <c r="G556" s="30" t="n">
        <v>5</v>
      </c>
      <c r="H556" s="6" t="inlineStr">
        <is>
          <t>Mud Shot</t>
        </is>
      </c>
      <c r="I556" s="30" t="n">
        <v>8</v>
      </c>
      <c r="J556" s="6" t="inlineStr">
        <is>
          <t>Bulldoze</t>
        </is>
      </c>
      <c r="K556" s="30" t="n">
        <v>12</v>
      </c>
      <c r="L556" s="6" t="inlineStr">
        <is>
          <t>Dig</t>
        </is>
      </c>
      <c r="M556" s="30" t="n">
        <v>16</v>
      </c>
      <c r="N556" s="6" t="inlineStr">
        <is>
          <t>Sand Tomb</t>
        </is>
      </c>
      <c r="O556" s="30" t="n">
        <v>20</v>
      </c>
      <c r="P556" s="6" t="inlineStr">
        <is>
          <t>Magnitude</t>
        </is>
      </c>
      <c r="Q556" s="30" t="n">
        <v>24</v>
      </c>
      <c r="R556" s="6" t="inlineStr">
        <is>
          <t>Stealth Rock</t>
        </is>
      </c>
      <c r="S556" s="30" t="n">
        <v>28</v>
      </c>
      <c r="T556" s="6" t="inlineStr">
        <is>
          <t>Earth Power</t>
        </is>
      </c>
      <c r="U556" s="30" t="n">
        <v>32</v>
      </c>
      <c r="V556" s="6" t="inlineStr">
        <is>
          <t>Scary Face</t>
        </is>
      </c>
      <c r="W556" s="30" t="n">
        <v>36</v>
      </c>
      <c r="X556" s="6" t="inlineStr">
        <is>
          <t>Earthquake</t>
        </is>
      </c>
      <c r="Y556" s="30" t="n">
        <v>40</v>
      </c>
      <c r="Z556" s="6" t="inlineStr">
        <is>
          <t>Knock Off</t>
        </is>
      </c>
      <c r="AA556" s="30" t="n">
        <v>42</v>
      </c>
      <c r="AB556" s="6" t="inlineStr">
        <is>
          <t>Fissure</t>
        </is>
      </c>
      <c r="AC556" s="30" t="n">
        <v>44</v>
      </c>
      <c r="AD556" s="6" t="inlineStr">
        <is>
          <t>Thrash</t>
        </is>
      </c>
      <c r="AE556" s="30" t="n">
        <v>48</v>
      </c>
      <c r="AR556" s="31" t="n"/>
    </row>
    <row r="557">
      <c r="A557" s="7" t="inlineStr">
        <is>
          <t>KROOKODILE</t>
        </is>
      </c>
      <c r="B557" s="6" t="inlineStr">
        <is>
          <t>Tackle</t>
        </is>
      </c>
      <c r="C557" s="30" t="n">
        <v>1</v>
      </c>
      <c r="D557" s="6" t="inlineStr">
        <is>
          <t>Mud Slap</t>
        </is>
      </c>
      <c r="E557" s="30" t="n">
        <v>1</v>
      </c>
      <c r="F557" s="6" t="inlineStr">
        <is>
          <t>Sand Attack</t>
        </is>
      </c>
      <c r="G557" s="30" t="n">
        <v>5</v>
      </c>
      <c r="H557" s="6" t="inlineStr">
        <is>
          <t>Mud Shot</t>
        </is>
      </c>
      <c r="I557" s="30" t="n">
        <v>8</v>
      </c>
      <c r="J557" s="6" t="inlineStr">
        <is>
          <t>Bulldoze</t>
        </is>
      </c>
      <c r="K557" s="30" t="n">
        <v>12</v>
      </c>
      <c r="L557" s="6" t="inlineStr">
        <is>
          <t>Dig</t>
        </is>
      </c>
      <c r="M557" s="30" t="n">
        <v>16</v>
      </c>
      <c r="N557" s="6" t="inlineStr">
        <is>
          <t>Sand Tomb</t>
        </is>
      </c>
      <c r="O557" s="30" t="n">
        <v>20</v>
      </c>
      <c r="P557" s="6" t="inlineStr">
        <is>
          <t>Magnitude</t>
        </is>
      </c>
      <c r="Q557" s="30" t="n">
        <v>24</v>
      </c>
      <c r="R557" s="6" t="inlineStr">
        <is>
          <t>Stealth Rock</t>
        </is>
      </c>
      <c r="S557" s="30" t="n">
        <v>28</v>
      </c>
      <c r="T557" s="6" t="inlineStr">
        <is>
          <t>Earth Power</t>
        </is>
      </c>
      <c r="U557" s="30" t="n">
        <v>32</v>
      </c>
      <c r="V557" s="6" t="inlineStr">
        <is>
          <t>Scary Face</t>
        </is>
      </c>
      <c r="W557" s="30" t="n">
        <v>36</v>
      </c>
      <c r="X557" s="6" t="inlineStr">
        <is>
          <t>Earthquake</t>
        </is>
      </c>
      <c r="Y557" s="30" t="n">
        <v>40</v>
      </c>
      <c r="Z557" s="6" t="inlineStr">
        <is>
          <t>Fissure</t>
        </is>
      </c>
      <c r="AA557" s="30" t="n">
        <v>44</v>
      </c>
      <c r="AB557" s="6" t="inlineStr">
        <is>
          <t>Foul Play</t>
        </is>
      </c>
      <c r="AC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Assurance</t>
        </is>
      </c>
      <c r="K574" s="30" t="n">
        <v>12</v>
      </c>
      <c r="L574" s="6" t="inlineStr">
        <is>
          <t>Feint Attack</t>
        </is>
      </c>
      <c r="M574" s="30" t="n">
        <v>16</v>
      </c>
      <c r="N574" s="6" t="inlineStr">
        <is>
          <t>Taunt</t>
        </is>
      </c>
      <c r="O574" s="30" t="n">
        <v>20</v>
      </c>
      <c r="P574" s="6" t="inlineStr">
        <is>
          <t>Bite</t>
        </is>
      </c>
      <c r="Q574" s="30" t="n">
        <v>24</v>
      </c>
      <c r="R574" s="6" t="inlineStr">
        <is>
          <t>Knock Off</t>
        </is>
      </c>
      <c r="S574" s="30" t="n">
        <v>28</v>
      </c>
      <c r="T574" s="6" t="inlineStr">
        <is>
          <t>Night Slash</t>
        </is>
      </c>
      <c r="U574" s="30" t="n">
        <v>32</v>
      </c>
      <c r="V574" s="6" t="inlineStr">
        <is>
          <t>Nasty Plot</t>
        </is>
      </c>
      <c r="W574" s="30" t="n">
        <v>32</v>
      </c>
      <c r="X574" s="6" t="inlineStr">
        <is>
          <t>Crunch</t>
        </is>
      </c>
      <c r="Y574" s="30" t="n">
        <v>36</v>
      </c>
      <c r="Z574" s="6" t="inlineStr">
        <is>
          <t>Dark Pulse</t>
        </is>
      </c>
      <c r="AA574" s="30" t="n">
        <v>40</v>
      </c>
      <c r="AB574" s="6" t="inlineStr">
        <is>
          <t>Sucker Punch</t>
        </is>
      </c>
      <c r="AC574" s="30" t="n">
        <v>44</v>
      </c>
      <c r="AD574" s="6" t="inlineStr">
        <is>
          <t>Foul Play</t>
        </is>
      </c>
      <c r="AE574" s="30" t="n">
        <v>48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Fake Tears</t>
        </is>
      </c>
      <c r="I575" s="30" t="n">
        <v>8</v>
      </c>
      <c r="J575" s="6" t="inlineStr">
        <is>
          <t>Feint Attack</t>
        </is>
      </c>
      <c r="K575" s="30" t="n">
        <v>12</v>
      </c>
      <c r="L575" s="6" t="inlineStr">
        <is>
          <t>Taunt</t>
        </is>
      </c>
      <c r="M575" s="30" t="n">
        <v>16</v>
      </c>
      <c r="N575" s="6" t="inlineStr">
        <is>
          <t>Snarl</t>
        </is>
      </c>
      <c r="O575" s="30" t="n">
        <v>20</v>
      </c>
      <c r="P575" s="6" t="inlineStr">
        <is>
          <t>Knock Off</t>
        </is>
      </c>
      <c r="Q575" s="30" t="n">
        <v>24</v>
      </c>
      <c r="R575" s="6" t="inlineStr">
        <is>
          <t>Night Slash</t>
        </is>
      </c>
      <c r="S575" s="30" t="n">
        <v>28</v>
      </c>
      <c r="T575" s="6" t="inlineStr">
        <is>
          <t>Nasty Plot</t>
        </is>
      </c>
      <c r="U575" s="30" t="n">
        <v>32</v>
      </c>
      <c r="V575" s="6" t="inlineStr">
        <is>
          <t>Dark Pulse</t>
        </is>
      </c>
      <c r="W575" s="30" t="n">
        <v>36</v>
      </c>
      <c r="X575" s="6" t="inlineStr">
        <is>
          <t>Flamethrower</t>
        </is>
      </c>
      <c r="Y575" s="30" t="n">
        <v>40</v>
      </c>
      <c r="Z575" s="6" t="inlineStr">
        <is>
          <t>Sludge Bomb</t>
        </is>
      </c>
      <c r="AA575" s="30" t="n">
        <v>44</v>
      </c>
      <c r="AB575" s="6" t="inlineStr">
        <is>
          <t>Night Daze</t>
        </is>
      </c>
      <c r="AC575" s="30" t="n">
        <v>48</v>
      </c>
      <c r="AR575" s="31" t="n"/>
    </row>
    <row r="576">
      <c r="A576" s="7" t="inlineStr">
        <is>
          <t>MINCCINO</t>
        </is>
      </c>
      <c r="B576" s="6" t="inlineStr">
        <is>
          <t>Tackle</t>
        </is>
      </c>
      <c r="C576" s="30" t="n">
        <v>1</v>
      </c>
      <c r="D576" s="6" t="inlineStr">
        <is>
          <t>Quick Attack</t>
        </is>
      </c>
      <c r="E576" s="30" t="n">
        <v>1</v>
      </c>
      <c r="F576" s="6" t="inlineStr">
        <is>
          <t>Leer</t>
        </is>
      </c>
      <c r="G576" s="30" t="n">
        <v>5</v>
      </c>
      <c r="H576" s="6" t="inlineStr">
        <is>
          <t>Headbutt</t>
        </is>
      </c>
      <c r="I576" s="30" t="n">
        <v>8</v>
      </c>
      <c r="J576" s="6" t="inlineStr">
        <is>
          <t>Work Up</t>
        </is>
      </c>
      <c r="K576" s="30" t="n">
        <v>12</v>
      </c>
      <c r="L576" s="6" t="inlineStr">
        <is>
          <t>Take Down</t>
        </is>
      </c>
      <c r="M576" s="30" t="n">
        <v>16</v>
      </c>
      <c r="N576" s="6" t="inlineStr">
        <is>
          <t>Facade</t>
        </is>
      </c>
      <c r="O576" s="30" t="n">
        <v>20</v>
      </c>
      <c r="P576" s="6" t="inlineStr">
        <is>
          <t>Helping Hand</t>
        </is>
      </c>
      <c r="Q576" s="30" t="n">
        <v>24</v>
      </c>
      <c r="R576" s="6" t="inlineStr">
        <is>
          <t>Body Slam</t>
        </is>
      </c>
      <c r="S576" s="30" t="n">
        <v>28</v>
      </c>
      <c r="T576" s="6" t="inlineStr">
        <is>
          <t>Tail Slap</t>
        </is>
      </c>
      <c r="U576" s="30" t="n">
        <v>30</v>
      </c>
      <c r="V576" s="6" t="inlineStr">
        <is>
          <t>Crunch</t>
        </is>
      </c>
      <c r="W576" s="30" t="n">
        <v>32</v>
      </c>
      <c r="X576" s="6" t="inlineStr">
        <is>
          <t>Retaliate</t>
        </is>
      </c>
      <c r="Y576" s="30" t="n">
        <v>36</v>
      </c>
      <c r="Z576" s="6" t="inlineStr">
        <is>
          <t>Rock Blast</t>
        </is>
      </c>
      <c r="AA576" s="30" t="n">
        <v>36</v>
      </c>
      <c r="AB576" s="6" t="inlineStr">
        <is>
          <t>Hyper Voice</t>
        </is>
      </c>
      <c r="AC576" s="30" t="n">
        <v>40</v>
      </c>
      <c r="AD576" s="6" t="inlineStr">
        <is>
          <t>Double Edge</t>
        </is>
      </c>
      <c r="AE576" s="30" t="n">
        <v>44</v>
      </c>
      <c r="AF576" s="6" t="inlineStr">
        <is>
          <t>Giga Impact</t>
        </is>
      </c>
      <c r="AG576" s="30" t="n">
        <v>48</v>
      </c>
      <c r="AR576" s="31" t="n"/>
    </row>
    <row r="577">
      <c r="A577" s="7" t="inlineStr">
        <is>
          <t>CINCCINO</t>
        </is>
      </c>
      <c r="B577" s="6" t="inlineStr">
        <is>
          <t>Tackle</t>
        </is>
      </c>
      <c r="C577" s="30" t="n">
        <v>1</v>
      </c>
      <c r="D577" s="6" t="inlineStr">
        <is>
          <t>Quick Attack</t>
        </is>
      </c>
      <c r="E577" s="30" t="n">
        <v>1</v>
      </c>
      <c r="F577" s="6" t="inlineStr">
        <is>
          <t>Leer</t>
        </is>
      </c>
      <c r="G577" s="30" t="n">
        <v>1</v>
      </c>
      <c r="H577" s="6" t="inlineStr">
        <is>
          <t>Headbutt</t>
        </is>
      </c>
      <c r="I577" s="30" t="n">
        <v>1</v>
      </c>
      <c r="J577" s="6" t="inlineStr">
        <is>
          <t>Take Down</t>
        </is>
      </c>
      <c r="K577" s="30" t="n">
        <v>25</v>
      </c>
      <c r="L577" s="6" t="inlineStr">
        <is>
          <t>Body Slam</t>
        </is>
      </c>
      <c r="M577" s="30" t="n">
        <v>32</v>
      </c>
      <c r="N577" s="6" t="inlineStr">
        <is>
          <t>Retaliate</t>
        </is>
      </c>
      <c r="O577" s="30" t="n">
        <v>40</v>
      </c>
      <c r="P577" s="6" t="inlineStr">
        <is>
          <t>Double Edge</t>
        </is>
      </c>
      <c r="Q577" s="30" t="n">
        <v>48</v>
      </c>
      <c r="R577" s="6" t="inlineStr">
        <is>
          <t>Giga Impact</t>
        </is>
      </c>
      <c r="S577" s="30" t="n">
        <v>62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Quick Attack</t>
        </is>
      </c>
      <c r="E589" s="30" t="n">
        <v>1</v>
      </c>
      <c r="F589" s="6" t="inlineStr">
        <is>
          <t>Leer</t>
        </is>
      </c>
      <c r="G589" s="30" t="n">
        <v>5</v>
      </c>
      <c r="H589" s="6" t="inlineStr">
        <is>
          <t>Headbutt</t>
        </is>
      </c>
      <c r="I589" s="30" t="n">
        <v>8</v>
      </c>
      <c r="J589" s="6" t="inlineStr">
        <is>
          <t>Work Up</t>
        </is>
      </c>
      <c r="K589" s="30" t="n">
        <v>12</v>
      </c>
      <c r="L589" s="6" t="inlineStr">
        <is>
          <t>Take Down</t>
        </is>
      </c>
      <c r="M589" s="30" t="n">
        <v>16</v>
      </c>
      <c r="N589" s="6" t="inlineStr">
        <is>
          <t>Facade</t>
        </is>
      </c>
      <c r="O589" s="30" t="n">
        <v>20</v>
      </c>
      <c r="P589" s="6" t="inlineStr">
        <is>
          <t>Helping Hand</t>
        </is>
      </c>
      <c r="Q589" s="30" t="n">
        <v>24</v>
      </c>
      <c r="R589" s="6" t="inlineStr">
        <is>
          <t>Body Slam</t>
        </is>
      </c>
      <c r="S589" s="30" t="n">
        <v>28</v>
      </c>
      <c r="T589" s="6" t="inlineStr">
        <is>
          <t>Crunch</t>
        </is>
      </c>
      <c r="U589" s="30" t="n">
        <v>32</v>
      </c>
      <c r="V589" s="6" t="inlineStr">
        <is>
          <t>Retaliate</t>
        </is>
      </c>
      <c r="W589" s="30" t="n">
        <v>36</v>
      </c>
      <c r="X589" s="6" t="inlineStr">
        <is>
          <t>Horn Leech</t>
        </is>
      </c>
      <c r="Y589" s="30" t="n">
        <v>36</v>
      </c>
      <c r="Z589" s="6" t="inlineStr">
        <is>
          <t>Hyper Voice</t>
        </is>
      </c>
      <c r="AA589" s="30" t="n">
        <v>40</v>
      </c>
      <c r="AB589" s="6" t="inlineStr">
        <is>
          <t>Double Edge</t>
        </is>
      </c>
      <c r="AC589" s="30" t="n">
        <v>44</v>
      </c>
      <c r="AD589" s="6" t="inlineStr">
        <is>
          <t>Giga Impact</t>
        </is>
      </c>
      <c r="AE589" s="30" t="n">
        <v>48</v>
      </c>
      <c r="AR589" s="31" t="n"/>
    </row>
    <row r="590">
      <c r="A590" s="7" t="inlineStr">
        <is>
          <t>SAWSBUCK (AUTUMN)</t>
        </is>
      </c>
      <c r="B590" s="6" t="inlineStr">
        <is>
          <t>Tackle</t>
        </is>
      </c>
      <c r="C590" s="30" t="n">
        <v>1</v>
      </c>
      <c r="D590" s="6" t="inlineStr">
        <is>
          <t>Quick Attack</t>
        </is>
      </c>
      <c r="E590" s="30" t="n">
        <v>1</v>
      </c>
      <c r="F590" s="6" t="inlineStr">
        <is>
          <t>Leer</t>
        </is>
      </c>
      <c r="G590" s="30" t="n">
        <v>5</v>
      </c>
      <c r="H590" s="6" t="inlineStr">
        <is>
          <t>Headbutt</t>
        </is>
      </c>
      <c r="I590" s="30" t="n">
        <v>8</v>
      </c>
      <c r="J590" s="6" t="inlineStr">
        <is>
          <t>Work Up</t>
        </is>
      </c>
      <c r="K590" s="30" t="n">
        <v>12</v>
      </c>
      <c r="L590" s="6" t="inlineStr">
        <is>
          <t>Take Down</t>
        </is>
      </c>
      <c r="M590" s="30" t="n">
        <v>16</v>
      </c>
      <c r="N590" s="6" t="inlineStr">
        <is>
          <t>Facade</t>
        </is>
      </c>
      <c r="O590" s="30" t="n">
        <v>20</v>
      </c>
      <c r="P590" s="6" t="inlineStr">
        <is>
          <t>Helping Hand</t>
        </is>
      </c>
      <c r="Q590" s="30" t="n">
        <v>24</v>
      </c>
      <c r="R590" s="6" t="inlineStr">
        <is>
          <t>Body Slam</t>
        </is>
      </c>
      <c r="S590" s="30" t="n">
        <v>28</v>
      </c>
      <c r="T590" s="6" t="inlineStr">
        <is>
          <t>Crunch</t>
        </is>
      </c>
      <c r="U590" s="30" t="n">
        <v>32</v>
      </c>
      <c r="V590" s="6" t="inlineStr">
        <is>
          <t>Retaliate</t>
        </is>
      </c>
      <c r="W590" s="30" t="n">
        <v>36</v>
      </c>
      <c r="X590" s="6" t="inlineStr">
        <is>
          <t>Hyper Voice</t>
        </is>
      </c>
      <c r="Y590" s="30" t="n">
        <v>40</v>
      </c>
      <c r="Z590" s="6" t="inlineStr">
        <is>
          <t>Jump Kick</t>
        </is>
      </c>
      <c r="AA590" s="30" t="n">
        <v>40</v>
      </c>
      <c r="AB590" s="6" t="inlineStr">
        <is>
          <t>Double Edge</t>
        </is>
      </c>
      <c r="AC590" s="30" t="n">
        <v>44</v>
      </c>
      <c r="AD590" s="6" t="inlineStr">
        <is>
          <t>Giga Impact</t>
        </is>
      </c>
      <c r="AE590" s="30" t="n">
        <v>48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Tackle</t>
        </is>
      </c>
      <c r="C622" s="30" t="n">
        <v>1</v>
      </c>
      <c r="D622" s="6" t="inlineStr">
        <is>
          <t>Mud Slap</t>
        </is>
      </c>
      <c r="E622" s="30" t="n">
        <v>1</v>
      </c>
      <c r="F622" s="6" t="inlineStr">
        <is>
          <t>Sand Attack</t>
        </is>
      </c>
      <c r="G622" s="30" t="n">
        <v>5</v>
      </c>
      <c r="H622" s="6" t="inlineStr">
        <is>
          <t>Mud Shot</t>
        </is>
      </c>
      <c r="I622" s="30" t="n">
        <v>8</v>
      </c>
      <c r="J622" s="6" t="inlineStr">
        <is>
          <t>Bulldoze</t>
        </is>
      </c>
      <c r="K622" s="30" t="n">
        <v>12</v>
      </c>
      <c r="L622" s="6" t="inlineStr">
        <is>
          <t>Dig</t>
        </is>
      </c>
      <c r="M622" s="30" t="n">
        <v>16</v>
      </c>
      <c r="N622" s="6" t="inlineStr">
        <is>
          <t>Sand Tomb</t>
        </is>
      </c>
      <c r="O622" s="30" t="n">
        <v>20</v>
      </c>
      <c r="P622" s="6" t="inlineStr">
        <is>
          <t>Scald</t>
        </is>
      </c>
      <c r="Q622" s="30" t="n">
        <v>24</v>
      </c>
      <c r="R622" s="6" t="inlineStr">
        <is>
          <t>Stealth Rock</t>
        </is>
      </c>
      <c r="S622" s="30" t="n">
        <v>28</v>
      </c>
      <c r="T622" s="6" t="inlineStr">
        <is>
          <t>Earth Power</t>
        </is>
      </c>
      <c r="U622" s="30" t="n">
        <v>32</v>
      </c>
      <c r="V622" s="6" t="inlineStr">
        <is>
          <t>Earthquake</t>
        </is>
      </c>
      <c r="W622" s="30" t="n">
        <v>40</v>
      </c>
      <c r="X622" s="6" t="inlineStr">
        <is>
          <t>Fissure</t>
        </is>
      </c>
      <c r="Y622" s="30" t="n">
        <v>44</v>
      </c>
      <c r="Z622" s="6" t="inlineStr">
        <is>
          <t>Slack Off</t>
        </is>
      </c>
      <c r="AA622" s="30" t="n">
        <v>48</v>
      </c>
      <c r="AR622" s="31" t="n"/>
    </row>
    <row r="623">
      <c r="A623" s="7" t="inlineStr">
        <is>
          <t>MIENFOO</t>
        </is>
      </c>
      <c r="B623" s="6" t="inlineStr">
        <is>
          <t>Tackle</t>
        </is>
      </c>
      <c r="C623" s="30" t="n">
        <v>1</v>
      </c>
      <c r="D623" s="6" t="inlineStr">
        <is>
          <t>Leer</t>
        </is>
      </c>
      <c r="E623" s="30" t="n">
        <v>1</v>
      </c>
      <c r="F623" s="6" t="inlineStr">
        <is>
          <t>Low Kick</t>
        </is>
      </c>
      <c r="G623" s="30" t="n">
        <v>5</v>
      </c>
      <c r="H623" s="6" t="inlineStr">
        <is>
          <t>Focus Energy</t>
        </is>
      </c>
      <c r="I623" s="30" t="n">
        <v>8</v>
      </c>
      <c r="J623" s="6" t="inlineStr">
        <is>
          <t>Arm Thrust</t>
        </is>
      </c>
      <c r="K623" s="30" t="n">
        <v>12</v>
      </c>
      <c r="L623" s="6" t="inlineStr">
        <is>
          <t>Rock Smash</t>
        </is>
      </c>
      <c r="M623" s="30" t="n">
        <v>16</v>
      </c>
      <c r="N623" s="6" t="inlineStr">
        <is>
          <t>Force Palm</t>
        </is>
      </c>
      <c r="O623" s="30" t="n">
        <v>20</v>
      </c>
      <c r="P623" s="6" t="inlineStr">
        <is>
          <t>Detect</t>
        </is>
      </c>
      <c r="Q623" s="30" t="n">
        <v>24</v>
      </c>
      <c r="R623" s="6" t="inlineStr">
        <is>
          <t>Brick Break</t>
        </is>
      </c>
      <c r="S623" s="30" t="n">
        <v>28</v>
      </c>
      <c r="T623" s="6" t="inlineStr">
        <is>
          <t>Bulk Up</t>
        </is>
      </c>
      <c r="U623" s="30" t="n">
        <v>32</v>
      </c>
      <c r="V623" s="6" t="inlineStr">
        <is>
          <t>Drain Punch</t>
        </is>
      </c>
      <c r="W623" s="30" t="n">
        <v>36</v>
      </c>
      <c r="X623" s="6" t="inlineStr">
        <is>
          <t>Close Combat</t>
        </is>
      </c>
      <c r="Y623" s="30" t="n">
        <v>40</v>
      </c>
      <c r="Z623" s="6" t="inlineStr">
        <is>
          <t>Superpower</t>
        </is>
      </c>
      <c r="AA623" s="30" t="n">
        <v>44</v>
      </c>
      <c r="AB623" s="6" t="inlineStr">
        <is>
          <t>Reversal</t>
        </is>
      </c>
      <c r="AC623" s="30" t="n">
        <v>48</v>
      </c>
      <c r="AD623" s="6" t="inlineStr">
        <is>
          <t>U Turn</t>
        </is>
      </c>
      <c r="AE623" s="30" t="n">
        <v>49</v>
      </c>
      <c r="AR623" s="31" t="n"/>
    </row>
    <row r="624">
      <c r="A624" s="7" t="inlineStr">
        <is>
          <t>MIENSHAO</t>
        </is>
      </c>
      <c r="B624" s="6" t="inlineStr">
        <is>
          <t>Tackle</t>
        </is>
      </c>
      <c r="C624" s="30" t="n">
        <v>1</v>
      </c>
      <c r="D624" s="6" t="inlineStr">
        <is>
          <t>Leer</t>
        </is>
      </c>
      <c r="E624" s="30" t="n">
        <v>1</v>
      </c>
      <c r="F624" s="6" t="inlineStr">
        <is>
          <t>Low Kick</t>
        </is>
      </c>
      <c r="G624" s="30" t="n">
        <v>5</v>
      </c>
      <c r="H624" s="6" t="inlineStr">
        <is>
          <t>Focus Energy</t>
        </is>
      </c>
      <c r="I624" s="30" t="n">
        <v>8</v>
      </c>
      <c r="J624" s="6" t="inlineStr">
        <is>
          <t>Arm Thrust</t>
        </is>
      </c>
      <c r="K624" s="30" t="n">
        <v>12</v>
      </c>
      <c r="L624" s="6" t="inlineStr">
        <is>
          <t>Rock Smash</t>
        </is>
      </c>
      <c r="M624" s="30" t="n">
        <v>16</v>
      </c>
      <c r="N624" s="6" t="inlineStr">
        <is>
          <t>Force Palm</t>
        </is>
      </c>
      <c r="O624" s="30" t="n">
        <v>20</v>
      </c>
      <c r="P624" s="6" t="inlineStr">
        <is>
          <t>Detect</t>
        </is>
      </c>
      <c r="Q624" s="30" t="n">
        <v>24</v>
      </c>
      <c r="R624" s="6" t="inlineStr">
        <is>
          <t>Brick Break</t>
        </is>
      </c>
      <c r="S624" s="30" t="n">
        <v>28</v>
      </c>
      <c r="T624" s="6" t="inlineStr">
        <is>
          <t>Bulk Up</t>
        </is>
      </c>
      <c r="U624" s="30" t="n">
        <v>32</v>
      </c>
      <c r="V624" s="6" t="inlineStr">
        <is>
          <t>Drain Punch</t>
        </is>
      </c>
      <c r="W624" s="30" t="n">
        <v>36</v>
      </c>
      <c r="X624" s="6" t="inlineStr">
        <is>
          <t>Close Combat</t>
        </is>
      </c>
      <c r="Y624" s="30" t="n">
        <v>40</v>
      </c>
      <c r="Z624" s="6" t="inlineStr">
        <is>
          <t>Superpower</t>
        </is>
      </c>
      <c r="AA624" s="30" t="n">
        <v>44</v>
      </c>
      <c r="AB624" s="6" t="inlineStr">
        <is>
          <t>Reversal</t>
        </is>
      </c>
      <c r="AC624" s="30" t="n">
        <v>48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Tackle</t>
        </is>
      </c>
      <c r="C661" s="30" t="n">
        <v>1</v>
      </c>
      <c r="D661" s="6" t="inlineStr">
        <is>
          <t>Tail Whip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Aqua Jet</t>
        </is>
      </c>
      <c r="I661" s="30" t="n">
        <v>8</v>
      </c>
      <c r="J661" s="6" t="inlineStr">
        <is>
          <t>Water Pulse</t>
        </is>
      </c>
      <c r="K661" s="30" t="n">
        <v>12</v>
      </c>
      <c r="L661" s="6" t="inlineStr">
        <is>
          <t>Water Sport</t>
        </is>
      </c>
      <c r="M661" s="30" t="n">
        <v>16</v>
      </c>
      <c r="N661" s="6" t="inlineStr">
        <is>
          <t>Bubble Beam</t>
        </is>
      </c>
      <c r="O661" s="30" t="n">
        <v>20</v>
      </c>
      <c r="P661" s="6" t="inlineStr">
        <is>
          <t>Aqua Ring</t>
        </is>
      </c>
      <c r="Q661" s="30" t="n">
        <v>24</v>
      </c>
      <c r="R661" s="6" t="inlineStr">
        <is>
          <t>Brine</t>
        </is>
      </c>
      <c r="S661" s="30" t="n">
        <v>28</v>
      </c>
      <c r="T661" s="6" t="inlineStr">
        <is>
          <t>Aqua Tail</t>
        </is>
      </c>
      <c r="U661" s="30" t="n">
        <v>32</v>
      </c>
      <c r="V661" s="6" t="inlineStr">
        <is>
          <t>Surf</t>
        </is>
      </c>
      <c r="W661" s="30" t="n">
        <v>36</v>
      </c>
      <c r="X661" s="6" t="inlineStr">
        <is>
          <t>Bounce</t>
        </is>
      </c>
      <c r="Y661" s="30" t="n">
        <v>40</v>
      </c>
      <c r="Z661" s="6" t="inlineStr">
        <is>
          <t>Hydro Pump</t>
        </is>
      </c>
      <c r="AA661" s="30" t="n">
        <v>44</v>
      </c>
      <c r="AB661" s="6" t="inlineStr">
        <is>
          <t>Double Team</t>
        </is>
      </c>
      <c r="AC661" s="30" t="n">
        <v>48</v>
      </c>
      <c r="AR661" s="31" t="n"/>
    </row>
    <row r="662">
      <c r="A662" s="7" t="inlineStr">
        <is>
          <t>FROGADIER</t>
        </is>
      </c>
      <c r="B662" s="6" t="inlineStr">
        <is>
          <t>Tackle</t>
        </is>
      </c>
      <c r="C662" s="30" t="n">
        <v>1</v>
      </c>
      <c r="D662" s="6" t="inlineStr">
        <is>
          <t>Tail Whip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Aqua Jet</t>
        </is>
      </c>
      <c r="I662" s="30" t="n">
        <v>8</v>
      </c>
      <c r="J662" s="6" t="inlineStr">
        <is>
          <t>Water Pulse</t>
        </is>
      </c>
      <c r="K662" s="30" t="n">
        <v>12</v>
      </c>
      <c r="L662" s="6" t="inlineStr">
        <is>
          <t>Water Sport</t>
        </is>
      </c>
      <c r="M662" s="30" t="n">
        <v>16</v>
      </c>
      <c r="N662" s="6" t="inlineStr">
        <is>
          <t>Bubble Beam</t>
        </is>
      </c>
      <c r="O662" s="30" t="n">
        <v>20</v>
      </c>
      <c r="P662" s="6" t="inlineStr">
        <is>
          <t>Aqua Ring</t>
        </is>
      </c>
      <c r="Q662" s="30" t="n">
        <v>24</v>
      </c>
      <c r="R662" s="6" t="inlineStr">
        <is>
          <t>Brine</t>
        </is>
      </c>
      <c r="S662" s="30" t="n">
        <v>28</v>
      </c>
      <c r="T662" s="6" t="inlineStr">
        <is>
          <t>Aqua Tail</t>
        </is>
      </c>
      <c r="U662" s="30" t="n">
        <v>32</v>
      </c>
      <c r="V662" s="6" t="inlineStr">
        <is>
          <t>Surf</t>
        </is>
      </c>
      <c r="W662" s="30" t="n">
        <v>36</v>
      </c>
      <c r="X662" s="6" t="inlineStr">
        <is>
          <t>U Turn</t>
        </is>
      </c>
      <c r="Y662" s="30" t="n">
        <v>37</v>
      </c>
      <c r="Z662" s="6" t="inlineStr">
        <is>
          <t>Substitute</t>
        </is>
      </c>
      <c r="AA662" s="30" t="n">
        <v>40</v>
      </c>
      <c r="AB662" s="6" t="inlineStr">
        <is>
          <t>Hydro Pump</t>
        </is>
      </c>
      <c r="AC662" s="30" t="n">
        <v>44</v>
      </c>
      <c r="AD662" s="6" t="inlineStr">
        <is>
          <t>Double Team</t>
        </is>
      </c>
      <c r="AE662" s="30" t="n">
        <v>48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Bubble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12</v>
      </c>
      <c r="L663" s="6" t="inlineStr">
        <is>
          <t>Water Pulse</t>
        </is>
      </c>
      <c r="M663" s="30" t="n">
        <v>16</v>
      </c>
      <c r="N663" s="6" t="inlineStr">
        <is>
          <t>Smokescreen</t>
        </is>
      </c>
      <c r="O663" s="30" t="n">
        <v>20</v>
      </c>
      <c r="P663" s="6" t="inlineStr">
        <is>
          <t>Water Shuriken</t>
        </is>
      </c>
      <c r="Q663" s="30" t="n">
        <v>24</v>
      </c>
      <c r="R663" s="6" t="inlineStr">
        <is>
          <t>Spikes</t>
        </is>
      </c>
      <c r="S663" s="30" t="n">
        <v>28</v>
      </c>
      <c r="T663" s="6" t="inlineStr">
        <is>
          <t>Extrasensory</t>
        </is>
      </c>
      <c r="U663" s="30" t="n">
        <v>32</v>
      </c>
      <c r="V663" s="6" t="inlineStr">
        <is>
          <t>Dark Pulse</t>
        </is>
      </c>
      <c r="W663" s="30" t="n">
        <v>36</v>
      </c>
      <c r="X663" s="6" t="inlineStr">
        <is>
          <t>Surf</t>
        </is>
      </c>
      <c r="Y663" s="30" t="n">
        <v>40</v>
      </c>
      <c r="Z663" s="6" t="inlineStr">
        <is>
          <t>Ice Beam</t>
        </is>
      </c>
      <c r="AA663" s="30" t="n">
        <v>44</v>
      </c>
      <c r="AB663" s="6" t="inlineStr">
        <is>
          <t>Hydro Pump</t>
        </is>
      </c>
      <c r="AC663" s="30" t="n">
        <v>48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Tailwind</t>
        </is>
      </c>
      <c r="S666" s="30" t="n">
        <v>28</v>
      </c>
      <c r="T666" s="6" t="inlineStr">
        <is>
          <t>Air Slash</t>
        </is>
      </c>
      <c r="U666" s="30" t="n">
        <v>32</v>
      </c>
      <c r="V666" s="6" t="inlineStr">
        <is>
          <t>Acrobatics</t>
        </is>
      </c>
      <c r="W666" s="30" t="n">
        <v>36</v>
      </c>
      <c r="X666" s="6" t="inlineStr">
        <is>
          <t>Brave Bird</t>
        </is>
      </c>
      <c r="Y666" s="30" t="n">
        <v>40</v>
      </c>
      <c r="Z666" s="6" t="inlineStr">
        <is>
          <t>Hurricane</t>
        </is>
      </c>
      <c r="AA666" s="30" t="n">
        <v>44</v>
      </c>
      <c r="AB666" s="6" t="inlineStr">
        <is>
          <t>Sky Attack</t>
        </is>
      </c>
      <c r="AC666" s="30" t="n">
        <v>48</v>
      </c>
      <c r="AR666" s="31" t="n"/>
    </row>
    <row r="667">
      <c r="A667" s="7" t="inlineStr">
        <is>
          <t>FLETCHINDER</t>
        </is>
      </c>
      <c r="B667" s="6" t="inlineStr">
        <is>
          <t>Tackle</t>
        </is>
      </c>
      <c r="C667" s="30" t="n">
        <v>1</v>
      </c>
      <c r="D667" s="6" t="inlineStr">
        <is>
          <t>Growl</t>
        </is>
      </c>
      <c r="E667" s="30" t="n">
        <v>1</v>
      </c>
      <c r="F667" s="6" t="inlineStr">
        <is>
          <t>Ember</t>
        </is>
      </c>
      <c r="G667" s="30" t="n">
        <v>5</v>
      </c>
      <c r="H667" s="6" t="inlineStr">
        <is>
          <t>Quick Attack</t>
        </is>
      </c>
      <c r="I667" s="30" t="n">
        <v>8</v>
      </c>
      <c r="J667" s="6" t="inlineStr">
        <is>
          <t>Flame Charge</t>
        </is>
      </c>
      <c r="K667" s="30" t="n">
        <v>12</v>
      </c>
      <c r="L667" s="6" t="inlineStr">
        <is>
          <t>Fire Spin</t>
        </is>
      </c>
      <c r="M667" s="30" t="n">
        <v>16</v>
      </c>
      <c r="N667" s="6" t="inlineStr">
        <is>
          <t>Fire Fang</t>
        </is>
      </c>
      <c r="O667" s="30" t="n">
        <v>20</v>
      </c>
      <c r="P667" s="6" t="inlineStr">
        <is>
          <t>Will O Wisp</t>
        </is>
      </c>
      <c r="Q667" s="30" t="n">
        <v>24</v>
      </c>
      <c r="R667" s="6" t="inlineStr">
        <is>
          <t>Flame Burst</t>
        </is>
      </c>
      <c r="S667" s="30" t="n">
        <v>28</v>
      </c>
      <c r="T667" s="6" t="inlineStr">
        <is>
          <t>Flamethrower</t>
        </is>
      </c>
      <c r="U667" s="30" t="n">
        <v>32</v>
      </c>
      <c r="V667" s="6" t="inlineStr">
        <is>
          <t>Natural Gift</t>
        </is>
      </c>
      <c r="W667" s="30" t="n">
        <v>36</v>
      </c>
      <c r="X667" s="6" t="inlineStr">
        <is>
          <t>Roost</t>
        </is>
      </c>
      <c r="Y667" s="30" t="n">
        <v>36</v>
      </c>
      <c r="Z667" s="6" t="inlineStr">
        <is>
          <t>Heat Wave</t>
        </is>
      </c>
      <c r="AA667" s="30" t="n">
        <v>40</v>
      </c>
      <c r="AB667" s="6" t="inlineStr">
        <is>
          <t>Fire Blast</t>
        </is>
      </c>
      <c r="AC667" s="30" t="n">
        <v>44</v>
      </c>
      <c r="AD667" s="6" t="inlineStr">
        <is>
          <t>Flare Blitz</t>
        </is>
      </c>
      <c r="AE667" s="30" t="n">
        <v>48</v>
      </c>
      <c r="AR667" s="31" t="n"/>
    </row>
    <row r="668">
      <c r="A668" s="7" t="inlineStr">
        <is>
          <t>TALONFLAME</t>
        </is>
      </c>
      <c r="B668" s="6" t="inlineStr">
        <is>
          <t>Tackle</t>
        </is>
      </c>
      <c r="C668" s="30" t="n">
        <v>1</v>
      </c>
      <c r="D668" s="6" t="inlineStr">
        <is>
          <t>Growl</t>
        </is>
      </c>
      <c r="E668" s="30" t="n">
        <v>1</v>
      </c>
      <c r="F668" s="6" t="inlineStr">
        <is>
          <t>Ember</t>
        </is>
      </c>
      <c r="G668" s="30" t="n">
        <v>5</v>
      </c>
      <c r="H668" s="6" t="inlineStr">
        <is>
          <t>Quick Attack</t>
        </is>
      </c>
      <c r="I668" s="30" t="n">
        <v>8</v>
      </c>
      <c r="J668" s="6" t="inlineStr">
        <is>
          <t>Flame Charge</t>
        </is>
      </c>
      <c r="K668" s="30" t="n">
        <v>12</v>
      </c>
      <c r="L668" s="6" t="inlineStr">
        <is>
          <t>Fire Spin</t>
        </is>
      </c>
      <c r="M668" s="30" t="n">
        <v>16</v>
      </c>
      <c r="N668" s="6" t="inlineStr">
        <is>
          <t>Fire Fang</t>
        </is>
      </c>
      <c r="O668" s="30" t="n">
        <v>20</v>
      </c>
      <c r="P668" s="6" t="inlineStr">
        <is>
          <t>Will O Wisp</t>
        </is>
      </c>
      <c r="Q668" s="30" t="n">
        <v>24</v>
      </c>
      <c r="R668" s="6" t="inlineStr">
        <is>
          <t>Flame Burst</t>
        </is>
      </c>
      <c r="S668" s="30" t="n">
        <v>28</v>
      </c>
      <c r="T668" s="6" t="inlineStr">
        <is>
          <t>Flamethrower</t>
        </is>
      </c>
      <c r="U668" s="30" t="n">
        <v>32</v>
      </c>
      <c r="V668" s="6" t="inlineStr">
        <is>
          <t>Natural Gift</t>
        </is>
      </c>
      <c r="W668" s="30" t="n">
        <v>36</v>
      </c>
      <c r="X668" s="6" t="inlineStr">
        <is>
          <t>Heat Wave</t>
        </is>
      </c>
      <c r="Y668" s="30" t="n">
        <v>40</v>
      </c>
      <c r="Z668" s="6" t="inlineStr">
        <is>
          <t>Acrobatics</t>
        </is>
      </c>
      <c r="AA668" s="30" t="n">
        <v>42</v>
      </c>
      <c r="AB668" s="6" t="inlineStr">
        <is>
          <t>Fire Blast</t>
        </is>
      </c>
      <c r="AC668" s="30" t="n">
        <v>44</v>
      </c>
      <c r="AD668" s="6" t="inlineStr">
        <is>
          <t>Flare Blitz</t>
        </is>
      </c>
      <c r="AE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Leer</t>
        </is>
      </c>
      <c r="E671" s="30" t="n">
        <v>1</v>
      </c>
      <c r="F671" s="6" t="inlineStr">
        <is>
          <t>Absorb</t>
        </is>
      </c>
      <c r="G671" s="30" t="n">
        <v>5</v>
      </c>
      <c r="H671" s="6" t="inlineStr">
        <is>
          <t>Vine Whip</t>
        </is>
      </c>
      <c r="I671" s="30" t="n">
        <v>8</v>
      </c>
      <c r="J671" s="6" t="inlineStr">
        <is>
          <t>Leech Seed</t>
        </is>
      </c>
      <c r="K671" s="30" t="n">
        <v>12</v>
      </c>
      <c r="L671" s="6" t="inlineStr">
        <is>
          <t>Razor Leaf</t>
        </is>
      </c>
      <c r="M671" s="30" t="n">
        <v>16</v>
      </c>
      <c r="N671" s="6" t="inlineStr">
        <is>
          <t>Mega Drain</t>
        </is>
      </c>
      <c r="O671" s="30" t="n">
        <v>20</v>
      </c>
      <c r="P671" s="6" t="inlineStr">
        <is>
          <t>Synthesis</t>
        </is>
      </c>
      <c r="Q671" s="30" t="n">
        <v>24</v>
      </c>
      <c r="R671" s="6" t="inlineStr">
        <is>
          <t>Seed Bomb</t>
        </is>
      </c>
      <c r="S671" s="30" t="n">
        <v>28</v>
      </c>
      <c r="T671" s="6" t="inlineStr">
        <is>
          <t>Giga Drain</t>
        </is>
      </c>
      <c r="U671" s="30" t="n">
        <v>32</v>
      </c>
      <c r="V671" s="6" t="inlineStr">
        <is>
          <t>Horn Leech</t>
        </is>
      </c>
      <c r="W671" s="30" t="n">
        <v>34</v>
      </c>
      <c r="X671" s="6" t="inlineStr">
        <is>
          <t>Energy Ball</t>
        </is>
      </c>
      <c r="Y671" s="30" t="n">
        <v>36</v>
      </c>
      <c r="Z671" s="6" t="inlineStr">
        <is>
          <t>Leaf Blade</t>
        </is>
      </c>
      <c r="AA671" s="30" t="n">
        <v>40</v>
      </c>
      <c r="AB671" s="6" t="inlineStr">
        <is>
          <t>Petal Blizzard</t>
        </is>
      </c>
      <c r="AC671" s="30" t="n">
        <v>44</v>
      </c>
      <c r="AD671" s="6" t="inlineStr">
        <is>
          <t>Power Whip</t>
        </is>
      </c>
      <c r="AE671" s="30" t="n">
        <v>48</v>
      </c>
      <c r="AR671" s="31" t="n"/>
    </row>
    <row r="672">
      <c r="A672" s="7" t="inlineStr">
        <is>
          <t>GOGOAT</t>
        </is>
      </c>
      <c r="B672" s="6" t="inlineStr">
        <is>
          <t>Tackle</t>
        </is>
      </c>
      <c r="C672" s="30" t="n">
        <v>1</v>
      </c>
      <c r="D672" s="6" t="inlineStr">
        <is>
          <t>Leer</t>
        </is>
      </c>
      <c r="E672" s="30" t="n">
        <v>1</v>
      </c>
      <c r="F672" s="6" t="inlineStr">
        <is>
          <t>Absorb</t>
        </is>
      </c>
      <c r="G672" s="30" t="n">
        <v>5</v>
      </c>
      <c r="H672" s="6" t="inlineStr">
        <is>
          <t>Vine Whip</t>
        </is>
      </c>
      <c r="I672" s="30" t="n">
        <v>8</v>
      </c>
      <c r="J672" s="6" t="inlineStr">
        <is>
          <t>Leech Seed</t>
        </is>
      </c>
      <c r="K672" s="30" t="n">
        <v>12</v>
      </c>
      <c r="L672" s="6" t="inlineStr">
        <is>
          <t>Razor Leaf</t>
        </is>
      </c>
      <c r="M672" s="30" t="n">
        <v>16</v>
      </c>
      <c r="N672" s="6" t="inlineStr">
        <is>
          <t>Mega Drain</t>
        </is>
      </c>
      <c r="O672" s="30" t="n">
        <v>20</v>
      </c>
      <c r="P672" s="6" t="inlineStr">
        <is>
          <t>Horn Leech</t>
        </is>
      </c>
      <c r="Q672" s="30" t="n">
        <v>24</v>
      </c>
      <c r="R672" s="6" t="inlineStr">
        <is>
          <t>Seed Bomb</t>
        </is>
      </c>
      <c r="S672" s="30" t="n">
        <v>28</v>
      </c>
      <c r="T672" s="6" t="inlineStr">
        <is>
          <t>Giga Drain</t>
        </is>
      </c>
      <c r="U672" s="30" t="n">
        <v>32</v>
      </c>
      <c r="V672" s="6" t="inlineStr">
        <is>
          <t>Bulk Up</t>
        </is>
      </c>
      <c r="W672" s="30" t="n">
        <v>36</v>
      </c>
      <c r="X672" s="6" t="inlineStr">
        <is>
          <t>Leaf Blade</t>
        </is>
      </c>
      <c r="Y672" s="30" t="n">
        <v>40</v>
      </c>
      <c r="Z672" s="6" t="inlineStr">
        <is>
          <t>Double Edge</t>
        </is>
      </c>
      <c r="AA672" s="30" t="n">
        <v>41</v>
      </c>
      <c r="AB672" s="6" t="inlineStr">
        <is>
          <t>Petal Blizzard</t>
        </is>
      </c>
      <c r="AC672" s="30" t="n">
        <v>44</v>
      </c>
      <c r="AD672" s="6" t="inlineStr">
        <is>
          <t>Earthquake</t>
        </is>
      </c>
      <c r="AE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Low Kick</t>
        </is>
      </c>
      <c r="G673" s="30" t="n">
        <v>5</v>
      </c>
      <c r="H673" s="6" t="inlineStr">
        <is>
          <t>Focus Energy</t>
        </is>
      </c>
      <c r="I673" s="30" t="n">
        <v>8</v>
      </c>
      <c r="J673" s="6" t="inlineStr">
        <is>
          <t>Arm Thrust</t>
        </is>
      </c>
      <c r="K673" s="30" t="n">
        <v>12</v>
      </c>
      <c r="L673" s="6" t="inlineStr">
        <is>
          <t>Rock Smash</t>
        </is>
      </c>
      <c r="M673" s="30" t="n">
        <v>16</v>
      </c>
      <c r="N673" s="6" t="inlineStr">
        <is>
          <t>Force Palm</t>
        </is>
      </c>
      <c r="O673" s="30" t="n">
        <v>20</v>
      </c>
      <c r="P673" s="6" t="inlineStr">
        <is>
          <t>Detect</t>
        </is>
      </c>
      <c r="Q673" s="30" t="n">
        <v>24</v>
      </c>
      <c r="R673" s="6" t="inlineStr">
        <is>
          <t>Brick Break</t>
        </is>
      </c>
      <c r="S673" s="30" t="n">
        <v>28</v>
      </c>
      <c r="T673" s="6" t="inlineStr">
        <is>
          <t>Bulk Up</t>
        </is>
      </c>
      <c r="U673" s="30" t="n">
        <v>32</v>
      </c>
      <c r="V673" s="6" t="inlineStr">
        <is>
          <t>Drain Punch</t>
        </is>
      </c>
      <c r="W673" s="30" t="n">
        <v>36</v>
      </c>
      <c r="X673" s="6" t="inlineStr">
        <is>
          <t>Parting Shot</t>
        </is>
      </c>
      <c r="Y673" s="30" t="n">
        <v>36</v>
      </c>
      <c r="Z673" s="6" t="inlineStr">
        <is>
          <t>Close Combat</t>
        </is>
      </c>
      <c r="AA673" s="30" t="n">
        <v>40</v>
      </c>
      <c r="AB673" s="6" t="inlineStr">
        <is>
          <t>Superpower</t>
        </is>
      </c>
      <c r="AC673" s="30" t="n">
        <v>44</v>
      </c>
      <c r="AD673" s="6" t="inlineStr">
        <is>
          <t>Reversal</t>
        </is>
      </c>
      <c r="AE673" s="30" t="n">
        <v>48</v>
      </c>
      <c r="AR673" s="31" t="n"/>
    </row>
    <row r="674">
      <c r="A674" s="7" t="inlineStr">
        <is>
          <t>PANGORO</t>
        </is>
      </c>
      <c r="B674" s="6" t="inlineStr">
        <is>
          <t>Tackle</t>
        </is>
      </c>
      <c r="C674" s="30" t="n">
        <v>1</v>
      </c>
      <c r="D674" s="6" t="inlineStr">
        <is>
          <t>Leer</t>
        </is>
      </c>
      <c r="E674" s="30" t="n">
        <v>1</v>
      </c>
      <c r="F674" s="6" t="inlineStr">
        <is>
          <t>Low Kick</t>
        </is>
      </c>
      <c r="G674" s="30" t="n">
        <v>5</v>
      </c>
      <c r="H674" s="6" t="inlineStr">
        <is>
          <t>Focus Energy</t>
        </is>
      </c>
      <c r="I674" s="30" t="n">
        <v>8</v>
      </c>
      <c r="J674" s="6" t="inlineStr">
        <is>
          <t>Arm Thrust</t>
        </is>
      </c>
      <c r="K674" s="30" t="n">
        <v>12</v>
      </c>
      <c r="L674" s="6" t="inlineStr">
        <is>
          <t>Rock Smash</t>
        </is>
      </c>
      <c r="M674" s="30" t="n">
        <v>16</v>
      </c>
      <c r="N674" s="6" t="inlineStr">
        <is>
          <t>Force Palm</t>
        </is>
      </c>
      <c r="O674" s="30" t="n">
        <v>20</v>
      </c>
      <c r="P674" s="6" t="inlineStr">
        <is>
          <t>Parting Shot</t>
        </is>
      </c>
      <c r="Q674" s="30" t="n">
        <v>24</v>
      </c>
      <c r="R674" s="6" t="inlineStr">
        <is>
          <t>Brick Break</t>
        </is>
      </c>
      <c r="S674" s="30" t="n">
        <v>28</v>
      </c>
      <c r="T674" s="6" t="inlineStr">
        <is>
          <t>Bulk Up</t>
        </is>
      </c>
      <c r="U674" s="30" t="n">
        <v>32</v>
      </c>
      <c r="V674" s="6" t="inlineStr">
        <is>
          <t>Drain Punch</t>
        </is>
      </c>
      <c r="W674" s="30" t="n">
        <v>36</v>
      </c>
      <c r="X674" s="6" t="inlineStr">
        <is>
          <t>Close Combat</t>
        </is>
      </c>
      <c r="Y674" s="30" t="n">
        <v>40</v>
      </c>
      <c r="Z674" s="6" t="inlineStr">
        <is>
          <t>Superpower</t>
        </is>
      </c>
      <c r="AA674" s="30" t="n">
        <v>44</v>
      </c>
      <c r="AB674" s="6" t="inlineStr">
        <is>
          <t>Knock Off</t>
        </is>
      </c>
      <c r="AC674" s="30" t="n">
        <v>48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12</v>
      </c>
      <c r="L675" s="6" t="inlineStr">
        <is>
          <t>Reflect</t>
        </is>
      </c>
      <c r="M675" s="30" t="n">
        <v>16</v>
      </c>
      <c r="N675" s="6" t="inlineStr">
        <is>
          <t>Calm Mind</t>
        </is>
      </c>
      <c r="O675" s="30" t="n">
        <v>20</v>
      </c>
      <c r="P675" s="6" t="inlineStr">
        <is>
          <t>Psyshock</t>
        </is>
      </c>
      <c r="Q675" s="30" t="n">
        <v>24</v>
      </c>
      <c r="R675" s="6" t="inlineStr">
        <is>
          <t>Fake Out</t>
        </is>
      </c>
      <c r="S675" s="30" t="n">
        <v>26</v>
      </c>
      <c r="T675" s="6" t="inlineStr">
        <is>
          <t>Extrasensory</t>
        </is>
      </c>
      <c r="U675" s="30" t="n">
        <v>28</v>
      </c>
      <c r="V675" s="6" t="inlineStr">
        <is>
          <t>Recover</t>
        </is>
      </c>
      <c r="W675" s="30" t="n">
        <v>32</v>
      </c>
      <c r="X675" s="6" t="inlineStr">
        <is>
          <t>Psychic</t>
        </is>
      </c>
      <c r="Y675" s="30" t="n">
        <v>36</v>
      </c>
      <c r="Z675" s="6" t="inlineStr">
        <is>
          <t>Future Sight</t>
        </is>
      </c>
      <c r="AA675" s="30" t="n">
        <v>40</v>
      </c>
      <c r="AB675" s="6" t="inlineStr">
        <is>
          <t>Trick Room</t>
        </is>
      </c>
      <c r="AC675" s="30" t="n">
        <v>44</v>
      </c>
      <c r="AD675" s="6" t="inlineStr">
        <is>
          <t>Psycho Boost</t>
        </is>
      </c>
      <c r="AE675" s="30" t="n">
        <v>48</v>
      </c>
      <c r="AR675" s="31" t="n"/>
    </row>
    <row r="676">
      <c r="A676" s="7" t="inlineStr">
        <is>
          <t>MEOWSTIC (F)</t>
        </is>
      </c>
      <c r="B676" s="6" t="inlineStr">
        <is>
          <t>Magical Leaf</t>
        </is>
      </c>
      <c r="C676" s="30" t="n">
        <v>1</v>
      </c>
      <c r="D676" s="6" t="inlineStr">
        <is>
          <t>Disarming Voice</t>
        </is>
      </c>
      <c r="E676" s="30" t="n">
        <v>1</v>
      </c>
      <c r="F676" s="6" t="inlineStr">
        <is>
          <t>Fake Out</t>
        </is>
      </c>
      <c r="G676" s="30" t="n">
        <v>1</v>
      </c>
      <c r="H676" s="6" t="inlineStr">
        <is>
          <t>Leer</t>
        </is>
      </c>
      <c r="I676" s="30" t="n">
        <v>1</v>
      </c>
      <c r="J676" s="6" t="inlineStr">
        <is>
          <t>Scratch</t>
        </is>
      </c>
      <c r="K676" s="30" t="n">
        <v>1</v>
      </c>
      <c r="L676" s="6" t="inlineStr">
        <is>
          <t>Confusion</t>
        </is>
      </c>
      <c r="M676" s="30" t="n">
        <v>9</v>
      </c>
      <c r="N676" s="6" t="inlineStr">
        <is>
          <t>Stored Power</t>
        </is>
      </c>
      <c r="O676" s="30" t="n">
        <v>12</v>
      </c>
      <c r="P676" s="6" t="inlineStr">
        <is>
          <t>Charge Beam</t>
        </is>
      </c>
      <c r="Q676" s="30" t="n">
        <v>15</v>
      </c>
      <c r="R676" s="6" t="inlineStr">
        <is>
          <t>Psybeam</t>
        </is>
      </c>
      <c r="S676" s="30" t="n">
        <v>21</v>
      </c>
      <c r="T676" s="6" t="inlineStr">
        <is>
          <t>Sucker Punch</t>
        </is>
      </c>
      <c r="U676" s="30" t="n">
        <v>24</v>
      </c>
      <c r="V676" s="6" t="inlineStr">
        <is>
          <t>Role Play</t>
        </is>
      </c>
      <c r="W676" s="30" t="n">
        <v>29</v>
      </c>
      <c r="X676" s="6" t="inlineStr">
        <is>
          <t>Light Screen</t>
        </is>
      </c>
      <c r="Y676" s="30" t="n">
        <v>34</v>
      </c>
      <c r="Z676" s="6" t="inlineStr">
        <is>
          <t>Reflect</t>
        </is>
      </c>
      <c r="AA676" s="30" t="n">
        <v>34</v>
      </c>
      <c r="AB676" s="6" t="inlineStr">
        <is>
          <t>Psyshock</t>
        </is>
      </c>
      <c r="AC676" s="30" t="n">
        <v>39</v>
      </c>
      <c r="AD676" s="6" t="inlineStr">
        <is>
          <t>Shadow Ball</t>
        </is>
      </c>
      <c r="AE676" s="30" t="n">
        <v>49</v>
      </c>
      <c r="AF676" s="6" t="inlineStr">
        <is>
          <t>Psychic</t>
        </is>
      </c>
      <c r="AG676" s="30" t="n">
        <v>54</v>
      </c>
      <c r="AH676" s="6" t="inlineStr">
        <is>
          <t>Future Sight</t>
        </is>
      </c>
      <c r="AI676" s="30" t="n">
        <v>59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12</v>
      </c>
      <c r="L677" s="6" t="inlineStr">
        <is>
          <t>Reflect</t>
        </is>
      </c>
      <c r="M677" s="30" t="n">
        <v>16</v>
      </c>
      <c r="N677" s="6" t="inlineStr">
        <is>
          <t>Calm Mind</t>
        </is>
      </c>
      <c r="O677" s="30" t="n">
        <v>20</v>
      </c>
      <c r="P677" s="6" t="inlineStr">
        <is>
          <t>Fake Out</t>
        </is>
      </c>
      <c r="Q677" s="30" t="n">
        <v>24</v>
      </c>
      <c r="R677" s="6" t="inlineStr">
        <is>
          <t>Extrasensory</t>
        </is>
      </c>
      <c r="S677" s="30" t="n">
        <v>28</v>
      </c>
      <c r="T677" s="6" t="inlineStr">
        <is>
          <t>Recover</t>
        </is>
      </c>
      <c r="U677" s="30" t="n">
        <v>32</v>
      </c>
      <c r="V677" s="6" t="inlineStr">
        <is>
          <t>Psychic</t>
        </is>
      </c>
      <c r="W677" s="30" t="n">
        <v>36</v>
      </c>
      <c r="X677" s="6" t="inlineStr">
        <is>
          <t>Future Sight</t>
        </is>
      </c>
      <c r="Y677" s="30" t="n">
        <v>40</v>
      </c>
      <c r="Z677" s="6" t="inlineStr">
        <is>
          <t>Trick Room</t>
        </is>
      </c>
      <c r="AA677" s="30" t="n">
        <v>44</v>
      </c>
      <c r="AB677" s="6" t="inlineStr">
        <is>
          <t>Helping Hand</t>
        </is>
      </c>
      <c r="AC677" s="30" t="n">
        <v>48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Scratch</t>
        </is>
      </c>
      <c r="C685" s="30" t="n">
        <v>1</v>
      </c>
      <c r="D685" s="6" t="inlineStr">
        <is>
          <t>Leer</t>
        </is>
      </c>
      <c r="E685" s="30" t="n">
        <v>1</v>
      </c>
      <c r="F685" s="6" t="inlineStr">
        <is>
          <t>Pursuit</t>
        </is>
      </c>
      <c r="G685" s="30" t="n">
        <v>5</v>
      </c>
      <c r="H685" s="6" t="inlineStr">
        <is>
          <t>Snarl</t>
        </is>
      </c>
      <c r="I685" s="30" t="n">
        <v>8</v>
      </c>
      <c r="J685" s="6" t="inlineStr">
        <is>
          <t>Assurance</t>
        </is>
      </c>
      <c r="K685" s="30" t="n">
        <v>12</v>
      </c>
      <c r="L685" s="6" t="inlineStr">
        <is>
          <t>Feint Attack</t>
        </is>
      </c>
      <c r="M685" s="30" t="n">
        <v>16</v>
      </c>
      <c r="N685" s="6" t="inlineStr">
        <is>
          <t>Taunt</t>
        </is>
      </c>
      <c r="O685" s="30" t="n">
        <v>20</v>
      </c>
      <c r="P685" s="6" t="inlineStr">
        <is>
          <t>Bite</t>
        </is>
      </c>
      <c r="Q685" s="30" t="n">
        <v>24</v>
      </c>
      <c r="R685" s="6" t="inlineStr">
        <is>
          <t>Knock Off</t>
        </is>
      </c>
      <c r="S685" s="30" t="n">
        <v>28</v>
      </c>
      <c r="T685" s="6" t="inlineStr">
        <is>
          <t>Night Slash</t>
        </is>
      </c>
      <c r="U685" s="30" t="n">
        <v>32</v>
      </c>
      <c r="V685" s="6" t="inlineStr">
        <is>
          <t>Superpower</t>
        </is>
      </c>
      <c r="W685" s="30" t="n">
        <v>34</v>
      </c>
      <c r="X685" s="6" t="inlineStr">
        <is>
          <t>Crunch</t>
        </is>
      </c>
      <c r="Y685" s="30" t="n">
        <v>36</v>
      </c>
      <c r="Z685" s="6" t="inlineStr">
        <is>
          <t>Dark Pulse</t>
        </is>
      </c>
      <c r="AA685" s="30" t="n">
        <v>40</v>
      </c>
      <c r="AB685" s="6" t="inlineStr">
        <is>
          <t>Sucker Punch</t>
        </is>
      </c>
      <c r="AC685" s="30" t="n">
        <v>44</v>
      </c>
      <c r="AD685" s="6" t="inlineStr">
        <is>
          <t>Foul Play</t>
        </is>
      </c>
      <c r="AE685" s="30" t="n">
        <v>48</v>
      </c>
      <c r="AR685" s="31" t="n"/>
    </row>
    <row r="686">
      <c r="A686" s="7" t="inlineStr">
        <is>
          <t>MALAMAR</t>
        </is>
      </c>
      <c r="B686" s="6" t="inlineStr">
        <is>
          <t>Scratch</t>
        </is>
      </c>
      <c r="C686" s="30" t="n">
        <v>1</v>
      </c>
      <c r="D686" s="6" t="inlineStr">
        <is>
          <t>Leer</t>
        </is>
      </c>
      <c r="E686" s="30" t="n">
        <v>1</v>
      </c>
      <c r="F686" s="6" t="inlineStr">
        <is>
          <t>Pursuit</t>
        </is>
      </c>
      <c r="G686" s="30" t="n">
        <v>5</v>
      </c>
      <c r="H686" s="6" t="inlineStr">
        <is>
          <t>Snarl</t>
        </is>
      </c>
      <c r="I686" s="30" t="n">
        <v>8</v>
      </c>
      <c r="J686" s="6" t="inlineStr">
        <is>
          <t>Assurance</t>
        </is>
      </c>
      <c r="K686" s="30" t="n">
        <v>12</v>
      </c>
      <c r="L686" s="6" t="inlineStr">
        <is>
          <t>Feint Attack</t>
        </is>
      </c>
      <c r="M686" s="30" t="n">
        <v>16</v>
      </c>
      <c r="N686" s="6" t="inlineStr">
        <is>
          <t>Taunt</t>
        </is>
      </c>
      <c r="O686" s="30" t="n">
        <v>20</v>
      </c>
      <c r="P686" s="6" t="inlineStr">
        <is>
          <t>Superpower</t>
        </is>
      </c>
      <c r="Q686" s="30" t="n">
        <v>24</v>
      </c>
      <c r="R686" s="6" t="inlineStr">
        <is>
          <t>Knock Off</t>
        </is>
      </c>
      <c r="S686" s="30" t="n">
        <v>28</v>
      </c>
      <c r="T686" s="6" t="inlineStr">
        <is>
          <t>Night Slash</t>
        </is>
      </c>
      <c r="U686" s="30" t="n">
        <v>32</v>
      </c>
      <c r="V686" s="6" t="inlineStr">
        <is>
          <t>Psycho Cut</t>
        </is>
      </c>
      <c r="W686" s="30" t="n">
        <v>36</v>
      </c>
      <c r="X686" s="6" t="inlineStr">
        <is>
          <t>Dark Pulse</t>
        </is>
      </c>
      <c r="Y686" s="30" t="n">
        <v>40</v>
      </c>
      <c r="Z686" s="6" t="inlineStr">
        <is>
          <t>Sucker Punch</t>
        </is>
      </c>
      <c r="AA686" s="30" t="n">
        <v>44</v>
      </c>
      <c r="AR686" s="31" t="n"/>
    </row>
    <row r="687">
      <c r="A687" s="7" t="inlineStr">
        <is>
          <t>BINACLE</t>
        </is>
      </c>
      <c r="B687" s="6" t="inlineStr">
        <is>
          <t>Tackle</t>
        </is>
      </c>
      <c r="C687" s="30" t="n">
        <v>1</v>
      </c>
      <c r="D687" s="6" t="inlineStr">
        <is>
          <t>Harden</t>
        </is>
      </c>
      <c r="E687" s="30" t="n">
        <v>1</v>
      </c>
      <c r="F687" s="6" t="inlineStr">
        <is>
          <t>Rock Throw</t>
        </is>
      </c>
      <c r="G687" s="30" t="n">
        <v>5</v>
      </c>
      <c r="H687" s="6" t="inlineStr">
        <is>
          <t>Rock Polish</t>
        </is>
      </c>
      <c r="I687" s="30" t="n">
        <v>8</v>
      </c>
      <c r="J687" s="6" t="inlineStr">
        <is>
          <t>Smack Down</t>
        </is>
      </c>
      <c r="K687" s="30" t="n">
        <v>12</v>
      </c>
      <c r="L687" s="6" t="inlineStr">
        <is>
          <t>Rock Tomb</t>
        </is>
      </c>
      <c r="M687" s="30" t="n">
        <v>16</v>
      </c>
      <c r="N687" s="6" t="inlineStr">
        <is>
          <t>Stealth Rock</t>
        </is>
      </c>
      <c r="O687" s="30" t="n">
        <v>20</v>
      </c>
      <c r="P687" s="6" t="inlineStr">
        <is>
          <t>Rock Slide</t>
        </is>
      </c>
      <c r="Q687" s="30" t="n">
        <v>24</v>
      </c>
      <c r="R687" s="6" t="inlineStr">
        <is>
          <t>Ancient Power</t>
        </is>
      </c>
      <c r="S687" s="30" t="n">
        <v>28</v>
      </c>
      <c r="T687" s="6" t="inlineStr">
        <is>
          <t>Rock Blast</t>
        </is>
      </c>
      <c r="U687" s="30" t="n">
        <v>32</v>
      </c>
      <c r="V687" s="6" t="inlineStr">
        <is>
          <t>Stone Edge</t>
        </is>
      </c>
      <c r="W687" s="30" t="n">
        <v>36</v>
      </c>
      <c r="X687" s="6" t="inlineStr">
        <is>
          <t>Head Smash</t>
        </is>
      </c>
      <c r="Y687" s="30" t="n">
        <v>40</v>
      </c>
      <c r="Z687" s="6" t="inlineStr">
        <is>
          <t>Shell Smash</t>
        </is>
      </c>
      <c r="AA687" s="30" t="n">
        <v>40</v>
      </c>
      <c r="AB687" s="6" t="inlineStr">
        <is>
          <t>Wide Guard</t>
        </is>
      </c>
      <c r="AC687" s="30" t="n">
        <v>44</v>
      </c>
      <c r="AD687" s="6" t="inlineStr">
        <is>
          <t>Rock Wrecker</t>
        </is>
      </c>
      <c r="AE687" s="30" t="n">
        <v>48</v>
      </c>
      <c r="AR687" s="31" t="n"/>
    </row>
    <row r="688">
      <c r="A688" s="7" t="inlineStr">
        <is>
          <t>BARBARACLE</t>
        </is>
      </c>
      <c r="B688" s="6" t="inlineStr">
        <is>
          <t>Tackle</t>
        </is>
      </c>
      <c r="C688" s="30" t="n">
        <v>1</v>
      </c>
      <c r="D688" s="6" t="inlineStr">
        <is>
          <t>Harden</t>
        </is>
      </c>
      <c r="E688" s="30" t="n">
        <v>1</v>
      </c>
      <c r="F688" s="6" t="inlineStr">
        <is>
          <t>Rock Throw</t>
        </is>
      </c>
      <c r="G688" s="30" t="n">
        <v>5</v>
      </c>
      <c r="H688" s="6" t="inlineStr">
        <is>
          <t>Rock Polish</t>
        </is>
      </c>
      <c r="I688" s="30" t="n">
        <v>8</v>
      </c>
      <c r="J688" s="6" t="inlineStr">
        <is>
          <t>Smack Down</t>
        </is>
      </c>
      <c r="K688" s="30" t="n">
        <v>12</v>
      </c>
      <c r="L688" s="6" t="inlineStr">
        <is>
          <t>Rock Tomb</t>
        </is>
      </c>
      <c r="M688" s="30" t="n">
        <v>16</v>
      </c>
      <c r="N688" s="6" t="inlineStr">
        <is>
          <t>Stealth Rock</t>
        </is>
      </c>
      <c r="O688" s="30" t="n">
        <v>20</v>
      </c>
      <c r="P688" s="6" t="inlineStr">
        <is>
          <t>Rock Slide</t>
        </is>
      </c>
      <c r="Q688" s="30" t="n">
        <v>24</v>
      </c>
      <c r="R688" s="6" t="inlineStr">
        <is>
          <t>Ancient Power</t>
        </is>
      </c>
      <c r="S688" s="30" t="n">
        <v>28</v>
      </c>
      <c r="T688" s="6" t="inlineStr">
        <is>
          <t>Rock Blast</t>
        </is>
      </c>
      <c r="U688" s="30" t="n">
        <v>32</v>
      </c>
      <c r="V688" s="6" t="inlineStr">
        <is>
          <t>Stone Edge</t>
        </is>
      </c>
      <c r="W688" s="30" t="n">
        <v>36</v>
      </c>
      <c r="X688" s="6" t="inlineStr">
        <is>
          <t>Head Smash</t>
        </is>
      </c>
      <c r="Y688" s="30" t="n">
        <v>40</v>
      </c>
      <c r="Z688" s="6" t="inlineStr">
        <is>
          <t>Wide Guard</t>
        </is>
      </c>
      <c r="AA688" s="30" t="n">
        <v>44</v>
      </c>
      <c r="AB688" s="6" t="inlineStr">
        <is>
          <t>Night Slash</t>
        </is>
      </c>
      <c r="AC688" s="30" t="n">
        <v>44</v>
      </c>
      <c r="AD688" s="6" t="inlineStr">
        <is>
          <t>Rock Wrecker</t>
        </is>
      </c>
      <c r="AE688" s="30" t="n">
        <v>48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Tackle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Charge</t>
        </is>
      </c>
      <c r="K693" s="30" t="n">
        <v>12</v>
      </c>
      <c r="L693" s="6" t="inlineStr">
        <is>
          <t>Spark</t>
        </is>
      </c>
      <c r="M693" s="30" t="n">
        <v>16</v>
      </c>
      <c r="N693" s="6" t="inlineStr">
        <is>
          <t>Volt Switch</t>
        </is>
      </c>
      <c r="O693" s="30" t="n">
        <v>20</v>
      </c>
      <c r="P693" s="6" t="inlineStr">
        <is>
          <t>Electro Ball</t>
        </is>
      </c>
      <c r="Q693" s="30" t="n">
        <v>24</v>
      </c>
      <c r="R693" s="6" t="inlineStr">
        <is>
          <t>Discharge</t>
        </is>
      </c>
      <c r="S693" s="30" t="n">
        <v>28</v>
      </c>
      <c r="T693" s="6" t="inlineStr">
        <is>
          <t>Thunder Fang</t>
        </is>
      </c>
      <c r="U693" s="30" t="n">
        <v>32</v>
      </c>
      <c r="V693" s="6" t="inlineStr">
        <is>
          <t>Thunderbolt</t>
        </is>
      </c>
      <c r="W693" s="30" t="n">
        <v>35</v>
      </c>
      <c r="X693" s="6" t="inlineStr">
        <is>
          <t>Wild Charge</t>
        </is>
      </c>
      <c r="Y693" s="30" t="n">
        <v>40</v>
      </c>
      <c r="Z693" s="6" t="inlineStr">
        <is>
          <t>Hyper Voice</t>
        </is>
      </c>
      <c r="AA693" s="30" t="n">
        <v>40</v>
      </c>
      <c r="AB693" s="6" t="inlineStr">
        <is>
          <t>Thunder</t>
        </is>
      </c>
      <c r="AC693" s="30" t="n">
        <v>44</v>
      </c>
      <c r="AD693" s="6" t="inlineStr">
        <is>
          <t>Electric Terrain</t>
        </is>
      </c>
      <c r="AE693" s="30" t="n">
        <v>48</v>
      </c>
      <c r="AR693" s="31" t="n"/>
    </row>
    <row r="694">
      <c r="A694" s="7" t="inlineStr">
        <is>
          <t>HELIOLISK</t>
        </is>
      </c>
      <c r="B694" s="6" t="inlineStr">
        <is>
          <t>Tackle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Spark</t>
        </is>
      </c>
      <c r="K694" s="30" t="n">
        <v>25</v>
      </c>
      <c r="L694" s="6" t="inlineStr">
        <is>
          <t>Discharge</t>
        </is>
      </c>
      <c r="M694" s="30" t="n">
        <v>32</v>
      </c>
      <c r="N694" s="6" t="inlineStr">
        <is>
          <t>Hyper Voice</t>
        </is>
      </c>
      <c r="O694" s="30" t="n">
        <v>40</v>
      </c>
      <c r="P694" s="6" t="inlineStr">
        <is>
          <t>Thunder</t>
        </is>
      </c>
      <c r="Q694" s="30" t="n">
        <v>48</v>
      </c>
      <c r="R694" s="6" t="inlineStr">
        <is>
          <t>Surf</t>
        </is>
      </c>
      <c r="S694" s="30" t="n">
        <v>62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Status</t>
        </is>
      </c>
      <c r="D328" s="6" t="n">
        <v>255</v>
      </c>
      <c r="E328" s="6" t="n">
        <v>100</v>
      </c>
      <c r="F328" s="6" t="n">
        <v>10</v>
      </c>
      <c r="G328" s="6" t="inlineStr">
        <is>
          <t>Memento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Vital Spirit</t>
        </is>
      </c>
      <c r="I10" s="48" t="inlineStr">
        <is>
          <t>Hardy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Unnerve</t>
        </is>
      </c>
      <c r="G20" s="48" t="inlineStr">
        <is>
          <t>Hardy</t>
        </is>
      </c>
      <c r="H20" s="48" t="inlineStr">
        <is>
          <t>Tinted Lens</t>
        </is>
      </c>
      <c r="I20" s="48" t="inlineStr">
        <is>
          <t>Hardy</t>
        </is>
      </c>
      <c r="J20" s="48" t="inlineStr">
        <is>
          <t>Shield Dust</t>
        </is>
      </c>
      <c r="K20" s="48" t="inlineStr">
        <is>
          <t>Hardy</t>
        </is>
      </c>
      <c r="L20" s="48" t="inlineStr">
        <is>
          <t>Swarm</t>
        </is>
      </c>
      <c r="M20" s="48" t="inlineStr">
        <is>
          <t>Hardy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Keen Eye</t>
        </is>
      </c>
      <c r="G31" s="48" t="inlineStr">
        <is>
          <t>Hardy</t>
        </is>
      </c>
      <c r="H31" s="48" t="inlineStr">
        <is>
          <t>Intimidate</t>
        </is>
      </c>
      <c r="I31" s="48" t="inlineStr">
        <is>
          <t>Hardy</t>
        </is>
      </c>
      <c r="J31" s="48" t="inlineStr">
        <is>
          <t>Huge Power</t>
        </is>
      </c>
      <c r="K31" s="48" t="inlineStr">
        <is>
          <t>Hardy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Adaptability</t>
        </is>
      </c>
      <c r="I41" s="48" t="inlineStr">
        <is>
          <t>Hardy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Water Absorb</t>
        </is>
      </c>
      <c r="G53" s="48" t="inlineStr">
        <is>
          <t>Hardy</t>
        </is>
      </c>
      <c r="H53" s="48" t="inlineStr">
        <is>
          <t>Sturdy</t>
        </is>
      </c>
      <c r="I53" s="48" t="inlineStr">
        <is>
          <t>Hardy</t>
        </is>
      </c>
      <c r="J53" s="48" t="inlineStr">
        <is>
          <t>Swift Swim</t>
        </is>
      </c>
      <c r="K53" s="48" t="inlineStr">
        <is>
          <t>Hardy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Insomnia</t>
        </is>
      </c>
      <c r="G64" s="48" t="inlineStr">
        <is>
          <t>Hardy</t>
        </is>
      </c>
      <c r="H64" s="48" t="inlineStr">
        <is>
          <t>Poison Point</t>
        </is>
      </c>
      <c r="I64" s="48" t="inlineStr">
        <is>
          <t>Hardy</t>
        </is>
      </c>
      <c r="J64" s="48" t="inlineStr">
        <is>
          <t>Iron Fist</t>
        </is>
      </c>
      <c r="K64" s="48" t="inlineStr">
        <is>
          <t>Hardy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Drought</t>
        </is>
      </c>
      <c r="G75" s="48" t="inlineStr">
        <is>
          <t>Hardy</t>
        </is>
      </c>
      <c r="H75" s="48" t="inlineStr">
        <is>
          <t>Simple</t>
        </is>
      </c>
      <c r="I75" s="48" t="inlineStr">
        <is>
          <t>Hardy</t>
        </is>
      </c>
      <c r="J75" s="48" t="inlineStr">
        <is>
          <t>Battle Armor</t>
        </is>
      </c>
      <c r="K75" s="48" t="inlineStr">
        <is>
          <t>Hardy</t>
        </is>
      </c>
      <c r="L75" s="48" t="inlineStr">
        <is>
          <t>Flash Fire</t>
        </is>
      </c>
      <c r="M75" s="48" t="inlineStr">
        <is>
          <t>Hardy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Drizzle</t>
        </is>
      </c>
      <c r="G86" s="48" t="inlineStr">
        <is>
          <t>Hardy</t>
        </is>
      </c>
      <c r="H86" s="48" t="inlineStr">
        <is>
          <t>Dry Skin</t>
        </is>
      </c>
      <c r="I86" s="48" t="inlineStr">
        <is>
          <t>Hardy</t>
        </is>
      </c>
      <c r="J86" s="48" t="inlineStr">
        <is>
          <t>Levitate</t>
        </is>
      </c>
      <c r="K86" s="48" t="inlineStr">
        <is>
          <t>Hardy</t>
        </is>
      </c>
      <c r="L86" s="48" t="inlineStr">
        <is>
          <t>Dry Skin</t>
        </is>
      </c>
      <c r="M86" s="48" t="inlineStr">
        <is>
          <t>Hardy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Sturdy</t>
        </is>
      </c>
      <c r="G99" s="48" t="inlineStr">
        <is>
          <t>Hardy</t>
        </is>
      </c>
      <c r="H99" s="48" t="inlineStr">
        <is>
          <t>Unnerve</t>
        </is>
      </c>
      <c r="I99" s="48" t="inlineStr">
        <is>
          <t>Hardy</t>
        </is>
      </c>
      <c r="J99" s="48" t="inlineStr">
        <is>
          <t>Poison Point</t>
        </is>
      </c>
      <c r="K99" s="48" t="inlineStr">
        <is>
          <t>Hardy</t>
        </is>
      </c>
      <c r="L99" s="48" t="inlineStr">
        <is>
          <t>Sturdy</t>
        </is>
      </c>
      <c r="M99" s="48" t="inlineStr">
        <is>
          <t>Hardy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Inner Focus</t>
        </is>
      </c>
      <c r="G110" s="48" t="inlineStr">
        <is>
          <t>Hardy</t>
        </is>
      </c>
      <c r="H110" s="48" t="inlineStr">
        <is>
          <t>Compound Eyes</t>
        </is>
      </c>
      <c r="I110" s="48" t="inlineStr">
        <is>
          <t>Hardy</t>
        </is>
      </c>
      <c r="J110" s="48" t="inlineStr">
        <is>
          <t>Poison Point</t>
        </is>
      </c>
      <c r="K110" s="48" t="inlineStr">
        <is>
          <t>Hardy</t>
        </is>
      </c>
      <c r="L110" s="48" t="inlineStr">
        <is>
          <t>Vital Spirit</t>
        </is>
      </c>
      <c r="M110" s="48" t="inlineStr">
        <is>
          <t>Hardy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Synchronize</t>
        </is>
      </c>
      <c r="G121" s="48" t="inlineStr">
        <is>
          <t>Hardy</t>
        </is>
      </c>
      <c r="H121" s="48" t="inlineStr">
        <is>
          <t>Contrary</t>
        </is>
      </c>
      <c r="I121" s="48" t="inlineStr">
        <is>
          <t>Hardy</t>
        </is>
      </c>
      <c r="J121" s="48" t="inlineStr">
        <is>
          <t>Thick Fat</t>
        </is>
      </c>
      <c r="K121" s="48" t="inlineStr">
        <is>
          <t>Hardy</t>
        </is>
      </c>
      <c r="L121" s="48" t="inlineStr">
        <is>
          <t>Shell Armor</t>
        </is>
      </c>
      <c r="M121" s="48" t="inlineStr">
        <is>
          <t>Hardy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Petalburg City - Gym Entrance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Rival</t>
        </is>
      </c>
      <c r="C131" s="41" t="n"/>
      <c r="D131" s="41" t="n"/>
      <c r="E131" s="42" t="inlineStr">
        <is>
          <t>Rival Brendan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IFERROR(_xlfn.IMAGE("https://play.pokemonshowdown.com/sprites/gen5/espurr.png"),"")</f>
        <v/>
      </c>
      <c r="G132" s="43">
        <f>IFERROR(_xlfn.IMAGE("https://play.pokemonshowdown.com/sprites/gen5/chespin.png"),"")</f>
        <v/>
      </c>
      <c r="I132" s="43">
        <f>IFERROR(_xlfn.IMAGE("https://play.pokemonshowdown.com/sprites/gen5/fennekin.png"),"")</f>
        <v/>
      </c>
      <c r="K132" s="43">
        <f>IFERROR(_xlfn.IMAGE("https://play.pokemonshowdown.com/sprites/gen5/froakie.png"),"")</f>
        <v/>
      </c>
      <c r="M132" s="43">
        <f>IFERROR(_xlfn.IMAGE("https://play.pokemonshowdown.com/sprites/gen5/inkay.png"),"")</f>
        <v/>
      </c>
      <c r="O132" s="43">
        <f>IFERROR(_xlfn.IMAGE("https://play.pokemonshowdown.com/sprites/gen5/fletchling.png"),"")</f>
        <v/>
      </c>
      <c r="Q132" s="44" t="inlineStr">
        <is>
          <t>Mandatory</t>
        </is>
      </c>
    </row>
    <row r="133">
      <c r="E133" s="45" t="inlineStr">
        <is>
          <t>Lv 12 Espurr</t>
        </is>
      </c>
      <c r="F133" s="46" t="n"/>
      <c r="G133" s="45" t="inlineStr">
        <is>
          <t>Lv 13 Chespin</t>
        </is>
      </c>
      <c r="H133" s="46" t="n"/>
      <c r="I133" s="45" t="inlineStr">
        <is>
          <t>Lv 13 Fennekin</t>
        </is>
      </c>
      <c r="J133" s="46" t="n"/>
      <c r="K133" s="45" t="inlineStr">
        <is>
          <t>Lv 13 Froakie</t>
        </is>
      </c>
      <c r="L133" s="46" t="n"/>
      <c r="M133" s="45" t="inlineStr">
        <is>
          <t>Lv 13 Inkay</t>
        </is>
      </c>
      <c r="N133" s="46" t="n"/>
      <c r="O133" s="45" t="inlineStr">
        <is>
          <t>Lv 14 Fletchling</t>
        </is>
      </c>
      <c r="P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Infiltrator</t>
        </is>
      </c>
      <c r="G134" s="48" t="inlineStr">
        <is>
          <t>Hardy</t>
        </is>
      </c>
      <c r="H134" s="48" t="inlineStr">
        <is>
          <t>Bulletproof</t>
        </is>
      </c>
      <c r="I134" s="48" t="inlineStr">
        <is>
          <t>Hardy</t>
        </is>
      </c>
      <c r="J134" s="48" t="inlineStr">
        <is>
          <t>Blaze</t>
        </is>
      </c>
      <c r="K134" s="48" t="inlineStr">
        <is>
          <t>Hardy</t>
        </is>
      </c>
      <c r="L134" s="48" t="inlineStr">
        <is>
          <t>Protean</t>
        </is>
      </c>
      <c r="M134" s="48" t="inlineStr">
        <is>
          <t>Hardy</t>
        </is>
      </c>
      <c r="N134" s="48" t="inlineStr">
        <is>
          <t>Contrary</t>
        </is>
      </c>
      <c r="O134" s="48" t="inlineStr">
        <is>
          <t>Hardy</t>
        </is>
      </c>
      <c r="P134" s="48" t="inlineStr">
        <is>
          <t>Gale Wings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Miracle Seed</t>
        </is>
      </c>
      <c r="H135" s="46" t="n"/>
      <c r="I135" s="49" t="inlineStr">
        <is>
          <t>Charcoal</t>
        </is>
      </c>
      <c r="J135" s="46" t="n"/>
      <c r="K135" s="49" t="inlineStr">
        <is>
          <t>Mystic Water</t>
        </is>
      </c>
      <c r="L135" s="46" t="n"/>
      <c r="M135" s="49" t="inlineStr">
        <is>
          <t>Oran Berry</t>
        </is>
      </c>
      <c r="N135" s="46" t="n"/>
      <c r="O135" s="49" t="inlineStr">
        <is>
          <t>Sharp Beak</t>
        </is>
      </c>
      <c r="P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1" t="inlineStr">
        <is>
          <t>Fake Out</t>
        </is>
      </c>
      <c r="F136" s="46" t="n"/>
      <c r="G136" s="59" t="inlineStr">
        <is>
          <t>Seed Bomb</t>
        </is>
      </c>
      <c r="H136" s="46" t="n"/>
      <c r="I136" s="58" t="inlineStr">
        <is>
          <t>Flame Charge</t>
        </is>
      </c>
      <c r="J136" s="46" t="n"/>
      <c r="K136" s="61" t="inlineStr">
        <is>
          <t>Water Pulse</t>
        </is>
      </c>
      <c r="L136" s="46" t="n"/>
      <c r="M136" s="50" t="inlineStr">
        <is>
          <t>Topsy-Turvy</t>
        </is>
      </c>
      <c r="N136" s="46" t="n"/>
      <c r="O136" s="60" t="inlineStr">
        <is>
          <t>Acrobatics</t>
        </is>
      </c>
      <c r="P136" s="46" t="n"/>
      <c r="Q136" s="47" t="inlineStr">
        <is>
          <t>Moves</t>
        </is>
      </c>
    </row>
    <row r="137">
      <c r="E137" s="63" t="inlineStr">
        <is>
          <t>Confusion</t>
        </is>
      </c>
      <c r="F137" s="46" t="n"/>
      <c r="G137" s="62" t="inlineStr">
        <is>
          <t>Rollout</t>
        </is>
      </c>
      <c r="H137" s="46" t="n"/>
      <c r="I137" s="63" t="inlineStr">
        <is>
          <t>Psybeam</t>
        </is>
      </c>
      <c r="J137" s="46" t="n"/>
      <c r="K137" s="51" t="inlineStr">
        <is>
          <t>Quick Attack</t>
        </is>
      </c>
      <c r="L137" s="46" t="n"/>
      <c r="M137" s="63" t="inlineStr">
        <is>
          <t>Psybeam</t>
        </is>
      </c>
      <c r="N137" s="46" t="n"/>
      <c r="O137" s="58" t="inlineStr">
        <is>
          <t>Flame Charge</t>
        </is>
      </c>
      <c r="P137" s="46" t="n"/>
    </row>
    <row r="138">
      <c r="E138" s="63" t="inlineStr">
        <is>
          <t>Light Screen</t>
        </is>
      </c>
      <c r="F138" s="46" t="n"/>
      <c r="G138" s="59" t="inlineStr">
        <is>
          <t>Leech Seed</t>
        </is>
      </c>
      <c r="H138" s="46" t="n"/>
      <c r="I138" s="58" t="inlineStr">
        <is>
          <t>Will-O-Wisp</t>
        </is>
      </c>
      <c r="J138" s="46" t="n"/>
      <c r="K138" s="67" t="inlineStr">
        <is>
          <t>Lick</t>
        </is>
      </c>
      <c r="L138" s="46" t="n"/>
      <c r="M138" s="50" t="inlineStr">
        <is>
          <t>Foul Play</t>
        </is>
      </c>
      <c r="N138" s="46" t="n"/>
      <c r="O138" s="51" t="inlineStr">
        <is>
          <t>Quick Attack</t>
        </is>
      </c>
      <c r="P138" s="46" t="n"/>
    </row>
    <row r="139">
      <c r="E139" s="51" t="inlineStr">
        <is>
          <t>Covet</t>
        </is>
      </c>
      <c r="F139" s="46" t="n"/>
      <c r="G139" s="50" t="inlineStr">
        <is>
          <t>Bite</t>
        </is>
      </c>
      <c r="H139" s="46" t="n"/>
      <c r="I139" s="51" t="inlineStr">
        <is>
          <t>Quick Attack</t>
        </is>
      </c>
      <c r="J139" s="46" t="n"/>
      <c r="K139" s="62" t="inlineStr">
        <is>
          <t>Rock Tomb</t>
        </is>
      </c>
      <c r="L139" s="46" t="n"/>
      <c r="M139" s="62" t="inlineStr">
        <is>
          <t>Rock Tomb</t>
        </is>
      </c>
      <c r="N139" s="46" t="n"/>
      <c r="O139" s="60" t="inlineStr">
        <is>
          <t>Roost</t>
        </is>
      </c>
      <c r="P139" s="46" t="n"/>
    </row>
    <row r="140">
      <c r="E140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42" ht="20" customHeight="1">
      <c r="B142" s="40" t="inlineStr">
        <is>
          <t>Rival</t>
        </is>
      </c>
      <c r="C142" s="41" t="n"/>
      <c r="D142" s="41" t="n"/>
      <c r="E142" s="42" t="inlineStr">
        <is>
          <t>Rival Brendan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IFERROR(_xlfn.IMAGE("https://play.pokemonshowdown.com/sprites/gen5/espurr.png"),"")</f>
        <v/>
      </c>
      <c r="G143" s="43">
        <f>IFERROR(_xlfn.IMAGE("https://play.pokemonshowdown.com/sprites/gen5/chespin.png"),"")</f>
        <v/>
      </c>
      <c r="I143" s="43">
        <f>IFERROR(_xlfn.IMAGE("https://play.pokemonshowdown.com/sprites/gen5/fennekin.png"),"")</f>
        <v/>
      </c>
      <c r="K143" s="43">
        <f>IFERROR(_xlfn.IMAGE("https://play.pokemonshowdown.com/sprites/gen5/froakie.png"),"")</f>
        <v/>
      </c>
      <c r="M143" s="43">
        <f>IFERROR(_xlfn.IMAGE("https://play.pokemonshowdown.com/sprites/gen5/inkay.png"),"")</f>
        <v/>
      </c>
      <c r="O143" s="43">
        <f>IFERROR(_xlfn.IMAGE("https://play.pokemonshowdown.com/sprites/gen5/fletchling.png"),"")</f>
        <v/>
      </c>
      <c r="Q143" s="44" t="inlineStr">
        <is>
          <t>Mandatory</t>
        </is>
      </c>
    </row>
    <row r="144">
      <c r="E144" s="45" t="inlineStr">
        <is>
          <t>Lv 12 Espurr</t>
        </is>
      </c>
      <c r="F144" s="46" t="n"/>
      <c r="G144" s="45" t="inlineStr">
        <is>
          <t>Lv 13 Chespin</t>
        </is>
      </c>
      <c r="H144" s="46" t="n"/>
      <c r="I144" s="45" t="inlineStr">
        <is>
          <t>Lv 13 Fennekin</t>
        </is>
      </c>
      <c r="J144" s="46" t="n"/>
      <c r="K144" s="45" t="inlineStr">
        <is>
          <t>Lv 13 Froakie</t>
        </is>
      </c>
      <c r="L144" s="46" t="n"/>
      <c r="M144" s="45" t="inlineStr">
        <is>
          <t>Lv 13 Inkay</t>
        </is>
      </c>
      <c r="N144" s="46" t="n"/>
      <c r="O144" s="45" t="inlineStr">
        <is>
          <t>Lv 14 Fletchling</t>
        </is>
      </c>
      <c r="P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Infiltrator</t>
        </is>
      </c>
      <c r="G145" s="48" t="inlineStr">
        <is>
          <t>Hardy</t>
        </is>
      </c>
      <c r="H145" s="48" t="inlineStr">
        <is>
          <t>Bulletproof</t>
        </is>
      </c>
      <c r="I145" s="48" t="inlineStr">
        <is>
          <t>Hardy</t>
        </is>
      </c>
      <c r="J145" s="48" t="inlineStr">
        <is>
          <t>Blaze</t>
        </is>
      </c>
      <c r="K145" s="48" t="inlineStr">
        <is>
          <t>Hardy</t>
        </is>
      </c>
      <c r="L145" s="48" t="inlineStr">
        <is>
          <t>Protean</t>
        </is>
      </c>
      <c r="M145" s="48" t="inlineStr">
        <is>
          <t>Hardy</t>
        </is>
      </c>
      <c r="N145" s="48" t="inlineStr">
        <is>
          <t>Contrary</t>
        </is>
      </c>
      <c r="O145" s="48" t="inlineStr">
        <is>
          <t>Hardy</t>
        </is>
      </c>
      <c r="P145" s="48" t="inlineStr">
        <is>
          <t>Gale Wings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Oran Berry</t>
        </is>
      </c>
      <c r="F146" s="46" t="n"/>
      <c r="G146" s="49" t="inlineStr">
        <is>
          <t>Miracle Seed</t>
        </is>
      </c>
      <c r="H146" s="46" t="n"/>
      <c r="I146" s="49" t="inlineStr">
        <is>
          <t>Charcoal</t>
        </is>
      </c>
      <c r="J146" s="46" t="n"/>
      <c r="K146" s="49" t="inlineStr">
        <is>
          <t>Mystic Water</t>
        </is>
      </c>
      <c r="L146" s="46" t="n"/>
      <c r="M146" s="49" t="inlineStr">
        <is>
          <t>Oran Berry</t>
        </is>
      </c>
      <c r="N146" s="46" t="n"/>
      <c r="O146" s="49" t="inlineStr">
        <is>
          <t>Sharp Beak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51" t="inlineStr">
        <is>
          <t>Fake Out</t>
        </is>
      </c>
      <c r="F147" s="46" t="n"/>
      <c r="G147" s="59" t="inlineStr">
        <is>
          <t>Seed Bomb</t>
        </is>
      </c>
      <c r="H147" s="46" t="n"/>
      <c r="I147" s="58" t="inlineStr">
        <is>
          <t>Flame Charge</t>
        </is>
      </c>
      <c r="J147" s="46" t="n"/>
      <c r="K147" s="61" t="inlineStr">
        <is>
          <t>Water Pulse</t>
        </is>
      </c>
      <c r="L147" s="46" t="n"/>
      <c r="M147" s="50" t="inlineStr">
        <is>
          <t>Topsy-Turvy</t>
        </is>
      </c>
      <c r="N147" s="46" t="n"/>
      <c r="O147" s="60" t="inlineStr">
        <is>
          <t>Acrobatics</t>
        </is>
      </c>
      <c r="P147" s="46" t="n"/>
      <c r="Q147" s="47" t="inlineStr">
        <is>
          <t>Moves</t>
        </is>
      </c>
    </row>
    <row r="148">
      <c r="E148" s="63" t="inlineStr">
        <is>
          <t>Confusion</t>
        </is>
      </c>
      <c r="F148" s="46" t="n"/>
      <c r="G148" s="62" t="inlineStr">
        <is>
          <t>Rollout</t>
        </is>
      </c>
      <c r="H148" s="46" t="n"/>
      <c r="I148" s="63" t="inlineStr">
        <is>
          <t>Psybeam</t>
        </is>
      </c>
      <c r="J148" s="46" t="n"/>
      <c r="K148" s="51" t="inlineStr">
        <is>
          <t>Quick Attack</t>
        </is>
      </c>
      <c r="L148" s="46" t="n"/>
      <c r="M148" s="63" t="inlineStr">
        <is>
          <t>Psybeam</t>
        </is>
      </c>
      <c r="N148" s="46" t="n"/>
      <c r="O148" s="58" t="inlineStr">
        <is>
          <t>Flame Charge</t>
        </is>
      </c>
      <c r="P148" s="46" t="n"/>
    </row>
    <row r="149">
      <c r="E149" s="63" t="inlineStr">
        <is>
          <t>Light Screen</t>
        </is>
      </c>
      <c r="F149" s="46" t="n"/>
      <c r="G149" s="59" t="inlineStr">
        <is>
          <t>Leech Seed</t>
        </is>
      </c>
      <c r="H149" s="46" t="n"/>
      <c r="I149" s="58" t="inlineStr">
        <is>
          <t>Will-O-Wisp</t>
        </is>
      </c>
      <c r="J149" s="46" t="n"/>
      <c r="K149" s="67" t="inlineStr">
        <is>
          <t>Lick</t>
        </is>
      </c>
      <c r="L149" s="46" t="n"/>
      <c r="M149" s="50" t="inlineStr">
        <is>
          <t>Foul Play</t>
        </is>
      </c>
      <c r="N149" s="46" t="n"/>
      <c r="O149" s="51" t="inlineStr">
        <is>
          <t>Quick Attack</t>
        </is>
      </c>
      <c r="P149" s="46" t="n"/>
    </row>
    <row r="150">
      <c r="E150" s="51" t="inlineStr">
        <is>
          <t>Covet</t>
        </is>
      </c>
      <c r="F150" s="46" t="n"/>
      <c r="G150" s="50" t="inlineStr">
        <is>
          <t>Bite</t>
        </is>
      </c>
      <c r="H150" s="46" t="n"/>
      <c r="I150" s="51" t="inlineStr">
        <is>
          <t>Quick Attack</t>
        </is>
      </c>
      <c r="J150" s="46" t="n"/>
      <c r="K150" s="62" t="inlineStr">
        <is>
          <t>Rock Tomb</t>
        </is>
      </c>
      <c r="L150" s="46" t="n"/>
      <c r="M150" s="62" t="inlineStr">
        <is>
          <t>Rock Tomb</t>
        </is>
      </c>
      <c r="N150" s="46" t="n"/>
      <c r="O150" s="60" t="inlineStr">
        <is>
          <t>Roost</t>
        </is>
      </c>
      <c r="P150" s="46" t="n"/>
    </row>
    <row r="151">
      <c r="E151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53" ht="20" customHeight="1">
      <c r="B153" s="40" t="inlineStr">
        <is>
          <t>Rival</t>
        </is>
      </c>
      <c r="C153" s="41" t="n"/>
      <c r="D153" s="41" t="n"/>
      <c r="E153" s="42" t="inlineStr">
        <is>
          <t>Rival Brendan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IFERROR(_xlfn.IMAGE("https://play.pokemonshowdown.com/sprites/gen5/espurr.png"),"")</f>
        <v/>
      </c>
      <c r="G154" s="43">
        <f>IFERROR(_xlfn.IMAGE("https://play.pokemonshowdown.com/sprites/gen5/chespin.png"),"")</f>
        <v/>
      </c>
      <c r="I154" s="43">
        <f>IFERROR(_xlfn.IMAGE("https://play.pokemonshowdown.com/sprites/gen5/fennekin.png"),"")</f>
        <v/>
      </c>
      <c r="K154" s="43">
        <f>IFERROR(_xlfn.IMAGE("https://play.pokemonshowdown.com/sprites/gen5/froakie.png"),"")</f>
        <v/>
      </c>
      <c r="M154" s="43">
        <f>IFERROR(_xlfn.IMAGE("https://play.pokemonshowdown.com/sprites/gen5/inkay.png"),"")</f>
        <v/>
      </c>
      <c r="O154" s="43">
        <f>IFERROR(_xlfn.IMAGE("https://play.pokemonshowdown.com/sprites/gen5/fletchling.png"),"")</f>
        <v/>
      </c>
      <c r="Q154" s="44" t="inlineStr">
        <is>
          <t>Mandatory</t>
        </is>
      </c>
    </row>
    <row r="155">
      <c r="E155" s="45" t="inlineStr">
        <is>
          <t>Lv 12 Espurr</t>
        </is>
      </c>
      <c r="F155" s="46" t="n"/>
      <c r="G155" s="45" t="inlineStr">
        <is>
          <t>Lv 13 Chespin</t>
        </is>
      </c>
      <c r="H155" s="46" t="n"/>
      <c r="I155" s="45" t="inlineStr">
        <is>
          <t>Lv 13 Fennekin</t>
        </is>
      </c>
      <c r="J155" s="46" t="n"/>
      <c r="K155" s="45" t="inlineStr">
        <is>
          <t>Lv 13 Froakie</t>
        </is>
      </c>
      <c r="L155" s="46" t="n"/>
      <c r="M155" s="45" t="inlineStr">
        <is>
          <t>Lv 13 Inkay</t>
        </is>
      </c>
      <c r="N155" s="46" t="n"/>
      <c r="O155" s="45" t="inlineStr">
        <is>
          <t>Lv 14 Fletchling</t>
        </is>
      </c>
      <c r="P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Infiltrator</t>
        </is>
      </c>
      <c r="G156" s="48" t="inlineStr">
        <is>
          <t>Hardy</t>
        </is>
      </c>
      <c r="H156" s="48" t="inlineStr">
        <is>
          <t>Bulletproof</t>
        </is>
      </c>
      <c r="I156" s="48" t="inlineStr">
        <is>
          <t>Hardy</t>
        </is>
      </c>
      <c r="J156" s="48" t="inlineStr">
        <is>
          <t>Blaze</t>
        </is>
      </c>
      <c r="K156" s="48" t="inlineStr">
        <is>
          <t>Hardy</t>
        </is>
      </c>
      <c r="L156" s="48" t="inlineStr">
        <is>
          <t>Protean</t>
        </is>
      </c>
      <c r="M156" s="48" t="inlineStr">
        <is>
          <t>Hardy</t>
        </is>
      </c>
      <c r="N156" s="48" t="inlineStr">
        <is>
          <t>Contrary</t>
        </is>
      </c>
      <c r="O156" s="48" t="inlineStr">
        <is>
          <t>Hardy</t>
        </is>
      </c>
      <c r="P156" s="48" t="inlineStr">
        <is>
          <t>Gale Wings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Oran Berry</t>
        </is>
      </c>
      <c r="F157" s="46" t="n"/>
      <c r="G157" s="49" t="inlineStr">
        <is>
          <t>Miracle Seed</t>
        </is>
      </c>
      <c r="H157" s="46" t="n"/>
      <c r="I157" s="49" t="inlineStr">
        <is>
          <t>Charcoal</t>
        </is>
      </c>
      <c r="J157" s="46" t="n"/>
      <c r="K157" s="49" t="inlineStr">
        <is>
          <t>Mystic Water</t>
        </is>
      </c>
      <c r="L157" s="46" t="n"/>
      <c r="M157" s="49" t="inlineStr">
        <is>
          <t>Oran Berry</t>
        </is>
      </c>
      <c r="N157" s="46" t="n"/>
      <c r="O157" s="49" t="inlineStr">
        <is>
          <t>Sharp Beak</t>
        </is>
      </c>
      <c r="P157" s="46" t="n"/>
      <c r="Q157" s="47" t="inlineStr">
        <is>
          <t>Item</t>
        </is>
      </c>
    </row>
    <row r="158">
      <c r="B158" s="44" t="inlineStr">
        <is>
          <t>Smart Trainer</t>
        </is>
      </c>
      <c r="E158" s="51" t="inlineStr">
        <is>
          <t>Fake Out</t>
        </is>
      </c>
      <c r="F158" s="46" t="n"/>
      <c r="G158" s="59" t="inlineStr">
        <is>
          <t>Seed Bomb</t>
        </is>
      </c>
      <c r="H158" s="46" t="n"/>
      <c r="I158" s="58" t="inlineStr">
        <is>
          <t>Flame Charge</t>
        </is>
      </c>
      <c r="J158" s="46" t="n"/>
      <c r="K158" s="61" t="inlineStr">
        <is>
          <t>Water Pulse</t>
        </is>
      </c>
      <c r="L158" s="46" t="n"/>
      <c r="M158" s="50" t="inlineStr">
        <is>
          <t>Topsy-Turvy</t>
        </is>
      </c>
      <c r="N158" s="46" t="n"/>
      <c r="O158" s="60" t="inlineStr">
        <is>
          <t>Acrobatics</t>
        </is>
      </c>
      <c r="P158" s="46" t="n"/>
      <c r="Q158" s="47" t="inlineStr">
        <is>
          <t>Moves</t>
        </is>
      </c>
    </row>
    <row r="159">
      <c r="E159" s="63" t="inlineStr">
        <is>
          <t>Confusion</t>
        </is>
      </c>
      <c r="F159" s="46" t="n"/>
      <c r="G159" s="62" t="inlineStr">
        <is>
          <t>Rollout</t>
        </is>
      </c>
      <c r="H159" s="46" t="n"/>
      <c r="I159" s="63" t="inlineStr">
        <is>
          <t>Psybeam</t>
        </is>
      </c>
      <c r="J159" s="46" t="n"/>
      <c r="K159" s="51" t="inlineStr">
        <is>
          <t>Quick Attack</t>
        </is>
      </c>
      <c r="L159" s="46" t="n"/>
      <c r="M159" s="63" t="inlineStr">
        <is>
          <t>Psybeam</t>
        </is>
      </c>
      <c r="N159" s="46" t="n"/>
      <c r="O159" s="58" t="inlineStr">
        <is>
          <t>Flame Charge</t>
        </is>
      </c>
      <c r="P159" s="46" t="n"/>
    </row>
    <row r="160">
      <c r="E160" s="63" t="inlineStr">
        <is>
          <t>Light Screen</t>
        </is>
      </c>
      <c r="F160" s="46" t="n"/>
      <c r="G160" s="59" t="inlineStr">
        <is>
          <t>Leech Seed</t>
        </is>
      </c>
      <c r="H160" s="46" t="n"/>
      <c r="I160" s="58" t="inlineStr">
        <is>
          <t>Will-O-Wisp</t>
        </is>
      </c>
      <c r="J160" s="46" t="n"/>
      <c r="K160" s="67" t="inlineStr">
        <is>
          <t>Lick</t>
        </is>
      </c>
      <c r="L160" s="46" t="n"/>
      <c r="M160" s="50" t="inlineStr">
        <is>
          <t>Foul Play</t>
        </is>
      </c>
      <c r="N160" s="46" t="n"/>
      <c r="O160" s="51" t="inlineStr">
        <is>
          <t>Quick Attack</t>
        </is>
      </c>
      <c r="P160" s="46" t="n"/>
    </row>
    <row r="161">
      <c r="E161" s="51" t="inlineStr">
        <is>
          <t>Covet</t>
        </is>
      </c>
      <c r="F161" s="46" t="n"/>
      <c r="G161" s="50" t="inlineStr">
        <is>
          <t>Bite</t>
        </is>
      </c>
      <c r="H161" s="46" t="n"/>
      <c r="I161" s="51" t="inlineStr">
        <is>
          <t>Quick Attack</t>
        </is>
      </c>
      <c r="J161" s="46" t="n"/>
      <c r="K161" s="62" t="inlineStr">
        <is>
          <t>Rock Tomb</t>
        </is>
      </c>
      <c r="L161" s="46" t="n"/>
      <c r="M161" s="62" t="inlineStr">
        <is>
          <t>Rock Tomb</t>
        </is>
      </c>
      <c r="N161" s="46" t="n"/>
      <c r="O161" s="60" t="inlineStr">
        <is>
          <t>Roost</t>
        </is>
      </c>
      <c r="P161" s="46" t="n"/>
    </row>
    <row r="162">
      <c r="E162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64" ht="20" customHeight="1">
      <c r="B164" s="40" t="inlineStr">
        <is>
          <t>Rival</t>
        </is>
      </c>
      <c r="C164" s="41" t="n"/>
      <c r="D164" s="41" t="n"/>
      <c r="E164" s="42" t="inlineStr">
        <is>
          <t>Rival May</t>
        </is>
      </c>
      <c r="F164" s="41" t="n"/>
      <c r="G164" s="41" t="n"/>
      <c r="H164" s="41" t="n"/>
      <c r="I164" s="41" t="n"/>
      <c r="J164" s="41" t="n"/>
      <c r="K164" s="41" t="n"/>
      <c r="L164" s="41" t="n"/>
      <c r="M164" s="41" t="n"/>
      <c r="N164" s="41" t="n"/>
      <c r="O164" s="41" t="n"/>
      <c r="P164" s="41" t="n"/>
      <c r="Q164" s="41" t="n"/>
    </row>
    <row r="165" ht="69" customHeight="1">
      <c r="E165" s="43">
        <f>IFERROR(_xlfn.IMAGE("https://play.pokemonshowdown.com/sprites/gen5/espurr.png"),"")</f>
        <v/>
      </c>
      <c r="G165" s="43">
        <f>IFERROR(_xlfn.IMAGE("https://play.pokemonshowdown.com/sprites/gen5/chespin.png"),"")</f>
        <v/>
      </c>
      <c r="I165" s="43">
        <f>IFERROR(_xlfn.IMAGE("https://play.pokemonshowdown.com/sprites/gen5/fennekin.png"),"")</f>
        <v/>
      </c>
      <c r="K165" s="43">
        <f>IFERROR(_xlfn.IMAGE("https://play.pokemonshowdown.com/sprites/gen5/froakie.png"),"")</f>
        <v/>
      </c>
      <c r="M165" s="43">
        <f>IFERROR(_xlfn.IMAGE("https://play.pokemonshowdown.com/sprites/gen5/inkay.png"),"")</f>
        <v/>
      </c>
      <c r="O165" s="43">
        <f>IFERROR(_xlfn.IMAGE("https://play.pokemonshowdown.com/sprites/gen5/fletchling.png"),"")</f>
        <v/>
      </c>
      <c r="Q165" s="44" t="inlineStr">
        <is>
          <t>Mandatory</t>
        </is>
      </c>
    </row>
    <row r="166">
      <c r="E166" s="45" t="inlineStr">
        <is>
          <t>Lv 12 Espurr</t>
        </is>
      </c>
      <c r="F166" s="46" t="n"/>
      <c r="G166" s="45" t="inlineStr">
        <is>
          <t>Lv 13 Chespin</t>
        </is>
      </c>
      <c r="H166" s="46" t="n"/>
      <c r="I166" s="45" t="inlineStr">
        <is>
          <t>Lv 13 Fennekin</t>
        </is>
      </c>
      <c r="J166" s="46" t="n"/>
      <c r="K166" s="45" t="inlineStr">
        <is>
          <t>Lv 13 Froakie</t>
        </is>
      </c>
      <c r="L166" s="46" t="n"/>
      <c r="M166" s="45" t="inlineStr">
        <is>
          <t>Lv 13 Inkay</t>
        </is>
      </c>
      <c r="N166" s="46" t="n"/>
      <c r="O166" s="45" t="inlineStr">
        <is>
          <t>Lv 14 Fletchling</t>
        </is>
      </c>
      <c r="P166" s="46" t="n"/>
      <c r="Q166" s="47" t="inlineStr">
        <is>
          <t>Pokémon</t>
        </is>
      </c>
    </row>
    <row r="167">
      <c r="E167" s="48" t="inlineStr">
        <is>
          <t>Hardy</t>
        </is>
      </c>
      <c r="F167" s="48" t="inlineStr">
        <is>
          <t>Infiltrator</t>
        </is>
      </c>
      <c r="G167" s="48" t="inlineStr">
        <is>
          <t>Hardy</t>
        </is>
      </c>
      <c r="H167" s="48" t="inlineStr">
        <is>
          <t>Bulletproof</t>
        </is>
      </c>
      <c r="I167" s="48" t="inlineStr">
        <is>
          <t>Hardy</t>
        </is>
      </c>
      <c r="J167" s="48" t="inlineStr">
        <is>
          <t>Blaze</t>
        </is>
      </c>
      <c r="K167" s="48" t="inlineStr">
        <is>
          <t>Hardy</t>
        </is>
      </c>
      <c r="L167" s="48" t="inlineStr">
        <is>
          <t>Protean</t>
        </is>
      </c>
      <c r="M167" s="48" t="inlineStr">
        <is>
          <t>Hardy</t>
        </is>
      </c>
      <c r="N167" s="48" t="inlineStr">
        <is>
          <t>Contrary</t>
        </is>
      </c>
      <c r="O167" s="48" t="inlineStr">
        <is>
          <t>Hardy</t>
        </is>
      </c>
      <c r="P167" s="48" t="inlineStr">
        <is>
          <t>Gale Wings</t>
        </is>
      </c>
      <c r="Q167" s="47" t="inlineStr">
        <is>
          <t>Nature / Ability</t>
        </is>
      </c>
    </row>
    <row r="168">
      <c r="B168" s="47" t="inlineStr">
        <is>
          <t>AI Flags:</t>
        </is>
      </c>
      <c r="E168" s="49" t="inlineStr">
        <is>
          <t>Oran Berry</t>
        </is>
      </c>
      <c r="F168" s="46" t="n"/>
      <c r="G168" s="49" t="inlineStr">
        <is>
          <t>Miracle Seed</t>
        </is>
      </c>
      <c r="H168" s="46" t="n"/>
      <c r="I168" s="49" t="inlineStr">
        <is>
          <t>Charcoal</t>
        </is>
      </c>
      <c r="J168" s="46" t="n"/>
      <c r="K168" s="49" t="inlineStr">
        <is>
          <t>Mystic Water</t>
        </is>
      </c>
      <c r="L168" s="46" t="n"/>
      <c r="M168" s="49" t="inlineStr">
        <is>
          <t>Oran Berry</t>
        </is>
      </c>
      <c r="N168" s="46" t="n"/>
      <c r="O168" s="49" t="inlineStr">
        <is>
          <t>Sharp Beak</t>
        </is>
      </c>
      <c r="P168" s="46" t="n"/>
      <c r="Q168" s="47" t="inlineStr">
        <is>
          <t>Item</t>
        </is>
      </c>
    </row>
    <row r="169">
      <c r="B169" s="44" t="inlineStr">
        <is>
          <t>Smart Trainer</t>
        </is>
      </c>
      <c r="E169" s="51" t="inlineStr">
        <is>
          <t>Fake Out</t>
        </is>
      </c>
      <c r="F169" s="46" t="n"/>
      <c r="G169" s="59" t="inlineStr">
        <is>
          <t>Seed Bomb</t>
        </is>
      </c>
      <c r="H169" s="46" t="n"/>
      <c r="I169" s="58" t="inlineStr">
        <is>
          <t>Flame Charge</t>
        </is>
      </c>
      <c r="J169" s="46" t="n"/>
      <c r="K169" s="61" t="inlineStr">
        <is>
          <t>Water Pulse</t>
        </is>
      </c>
      <c r="L169" s="46" t="n"/>
      <c r="M169" s="50" t="inlineStr">
        <is>
          <t>Topsy-Turvy</t>
        </is>
      </c>
      <c r="N169" s="46" t="n"/>
      <c r="O169" s="60" t="inlineStr">
        <is>
          <t>Acrobatics</t>
        </is>
      </c>
      <c r="P169" s="46" t="n"/>
      <c r="Q169" s="47" t="inlineStr">
        <is>
          <t>Moves</t>
        </is>
      </c>
    </row>
    <row r="170">
      <c r="E170" s="63" t="inlineStr">
        <is>
          <t>Confusion</t>
        </is>
      </c>
      <c r="F170" s="46" t="n"/>
      <c r="G170" s="62" t="inlineStr">
        <is>
          <t>Rollout</t>
        </is>
      </c>
      <c r="H170" s="46" t="n"/>
      <c r="I170" s="63" t="inlineStr">
        <is>
          <t>Psybeam</t>
        </is>
      </c>
      <c r="J170" s="46" t="n"/>
      <c r="K170" s="51" t="inlineStr">
        <is>
          <t>Quick Attack</t>
        </is>
      </c>
      <c r="L170" s="46" t="n"/>
      <c r="M170" s="63" t="inlineStr">
        <is>
          <t>Psybeam</t>
        </is>
      </c>
      <c r="N170" s="46" t="n"/>
      <c r="O170" s="58" t="inlineStr">
        <is>
          <t>Flame Charge</t>
        </is>
      </c>
      <c r="P170" s="46" t="n"/>
    </row>
    <row r="171">
      <c r="E171" s="63" t="inlineStr">
        <is>
          <t>Light Screen</t>
        </is>
      </c>
      <c r="F171" s="46" t="n"/>
      <c r="G171" s="59" t="inlineStr">
        <is>
          <t>Leech Seed</t>
        </is>
      </c>
      <c r="H171" s="46" t="n"/>
      <c r="I171" s="58" t="inlineStr">
        <is>
          <t>Will-O-Wisp</t>
        </is>
      </c>
      <c r="J171" s="46" t="n"/>
      <c r="K171" s="67" t="inlineStr">
        <is>
          <t>Lick</t>
        </is>
      </c>
      <c r="L171" s="46" t="n"/>
      <c r="M171" s="50" t="inlineStr">
        <is>
          <t>Foul Play</t>
        </is>
      </c>
      <c r="N171" s="46" t="n"/>
      <c r="O171" s="51" t="inlineStr">
        <is>
          <t>Quick Attack</t>
        </is>
      </c>
      <c r="P171" s="46" t="n"/>
    </row>
    <row r="172">
      <c r="E172" s="51" t="inlineStr">
        <is>
          <t>Covet</t>
        </is>
      </c>
      <c r="F172" s="46" t="n"/>
      <c r="G172" s="50" t="inlineStr">
        <is>
          <t>Bite</t>
        </is>
      </c>
      <c r="H172" s="46" t="n"/>
      <c r="I172" s="51" t="inlineStr">
        <is>
          <t>Quick Attack</t>
        </is>
      </c>
      <c r="J172" s="46" t="n"/>
      <c r="K172" s="62" t="inlineStr">
        <is>
          <t>Rock Tomb</t>
        </is>
      </c>
      <c r="L172" s="46" t="n"/>
      <c r="M172" s="62" t="inlineStr">
        <is>
          <t>Rock Tomb</t>
        </is>
      </c>
      <c r="N172" s="46" t="n"/>
      <c r="O172" s="60" t="inlineStr">
        <is>
          <t>Roost</t>
        </is>
      </c>
      <c r="P172" s="46" t="n"/>
    </row>
    <row r="173">
      <c r="E173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75" ht="20" customHeight="1">
      <c r="B175" s="40" t="inlineStr">
        <is>
          <t>Rival</t>
        </is>
      </c>
      <c r="C175" s="41" t="n"/>
      <c r="D175" s="41" t="n"/>
      <c r="E175" s="42" t="inlineStr">
        <is>
          <t>Rival May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IFERROR(_xlfn.IMAGE("https://play.pokemonshowdown.com/sprites/gen5/espurr.png"),"")</f>
        <v/>
      </c>
      <c r="G176" s="43">
        <f>IFERROR(_xlfn.IMAGE("https://play.pokemonshowdown.com/sprites/gen5/chespin.png"),"")</f>
        <v/>
      </c>
      <c r="I176" s="43">
        <f>IFERROR(_xlfn.IMAGE("https://play.pokemonshowdown.com/sprites/gen5/fennekin.png"),"")</f>
        <v/>
      </c>
      <c r="K176" s="43">
        <f>IFERROR(_xlfn.IMAGE("https://play.pokemonshowdown.com/sprites/gen5/froakie.png"),"")</f>
        <v/>
      </c>
      <c r="M176" s="43">
        <f>IFERROR(_xlfn.IMAGE("https://play.pokemonshowdown.com/sprites/gen5/inkay.png"),"")</f>
        <v/>
      </c>
      <c r="O176" s="43">
        <f>IFERROR(_xlfn.IMAGE("https://play.pokemonshowdown.com/sprites/gen5/fletchling.png"),"")</f>
        <v/>
      </c>
      <c r="Q176" s="44" t="inlineStr">
        <is>
          <t>Mandatory</t>
        </is>
      </c>
    </row>
    <row r="177">
      <c r="E177" s="45" t="inlineStr">
        <is>
          <t>Lv 12 Espurr</t>
        </is>
      </c>
      <c r="F177" s="46" t="n"/>
      <c r="G177" s="45" t="inlineStr">
        <is>
          <t>Lv 13 Chespin</t>
        </is>
      </c>
      <c r="H177" s="46" t="n"/>
      <c r="I177" s="45" t="inlineStr">
        <is>
          <t>Lv 13 Fennekin</t>
        </is>
      </c>
      <c r="J177" s="46" t="n"/>
      <c r="K177" s="45" t="inlineStr">
        <is>
          <t>Lv 13 Froakie</t>
        </is>
      </c>
      <c r="L177" s="46" t="n"/>
      <c r="M177" s="45" t="inlineStr">
        <is>
          <t>Lv 13 Inkay</t>
        </is>
      </c>
      <c r="N177" s="46" t="n"/>
      <c r="O177" s="45" t="inlineStr">
        <is>
          <t>Lv 14 Fletchling</t>
        </is>
      </c>
      <c r="P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Infiltrator</t>
        </is>
      </c>
      <c r="G178" s="48" t="inlineStr">
        <is>
          <t>Hardy</t>
        </is>
      </c>
      <c r="H178" s="48" t="inlineStr">
        <is>
          <t>Bulletproof</t>
        </is>
      </c>
      <c r="I178" s="48" t="inlineStr">
        <is>
          <t>Hardy</t>
        </is>
      </c>
      <c r="J178" s="48" t="inlineStr">
        <is>
          <t>Blaze</t>
        </is>
      </c>
      <c r="K178" s="48" t="inlineStr">
        <is>
          <t>Hardy</t>
        </is>
      </c>
      <c r="L178" s="48" t="inlineStr">
        <is>
          <t>Protean</t>
        </is>
      </c>
      <c r="M178" s="48" t="inlineStr">
        <is>
          <t>Hardy</t>
        </is>
      </c>
      <c r="N178" s="48" t="inlineStr">
        <is>
          <t>Contrary</t>
        </is>
      </c>
      <c r="O178" s="48" t="inlineStr">
        <is>
          <t>Hardy</t>
        </is>
      </c>
      <c r="P178" s="48" t="inlineStr">
        <is>
          <t>Gale Wings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Oran Berry</t>
        </is>
      </c>
      <c r="F179" s="46" t="n"/>
      <c r="G179" s="49" t="inlineStr">
        <is>
          <t>Miracle Seed</t>
        </is>
      </c>
      <c r="H179" s="46" t="n"/>
      <c r="I179" s="49" t="inlineStr">
        <is>
          <t>Charcoal</t>
        </is>
      </c>
      <c r="J179" s="46" t="n"/>
      <c r="K179" s="49" t="inlineStr">
        <is>
          <t>Mystic Water</t>
        </is>
      </c>
      <c r="L179" s="46" t="n"/>
      <c r="M179" s="49" t="inlineStr">
        <is>
          <t>Oran Berry</t>
        </is>
      </c>
      <c r="N179" s="46" t="n"/>
      <c r="O179" s="49" t="inlineStr">
        <is>
          <t>Sharp Beak</t>
        </is>
      </c>
      <c r="P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1" t="inlineStr">
        <is>
          <t>Fake Out</t>
        </is>
      </c>
      <c r="F180" s="46" t="n"/>
      <c r="G180" s="59" t="inlineStr">
        <is>
          <t>Seed Bomb</t>
        </is>
      </c>
      <c r="H180" s="46" t="n"/>
      <c r="I180" s="58" t="inlineStr">
        <is>
          <t>Flame Charge</t>
        </is>
      </c>
      <c r="J180" s="46" t="n"/>
      <c r="K180" s="61" t="inlineStr">
        <is>
          <t>Water Pulse</t>
        </is>
      </c>
      <c r="L180" s="46" t="n"/>
      <c r="M180" s="50" t="inlineStr">
        <is>
          <t>Topsy-Turvy</t>
        </is>
      </c>
      <c r="N180" s="46" t="n"/>
      <c r="O180" s="60" t="inlineStr">
        <is>
          <t>Acrobatics</t>
        </is>
      </c>
      <c r="P180" s="46" t="n"/>
      <c r="Q180" s="47" t="inlineStr">
        <is>
          <t>Moves</t>
        </is>
      </c>
    </row>
    <row r="181">
      <c r="E181" s="63" t="inlineStr">
        <is>
          <t>Confusion</t>
        </is>
      </c>
      <c r="F181" s="46" t="n"/>
      <c r="G181" s="62" t="inlineStr">
        <is>
          <t>Rollout</t>
        </is>
      </c>
      <c r="H181" s="46" t="n"/>
      <c r="I181" s="63" t="inlineStr">
        <is>
          <t>Psybeam</t>
        </is>
      </c>
      <c r="J181" s="46" t="n"/>
      <c r="K181" s="51" t="inlineStr">
        <is>
          <t>Quick Attack</t>
        </is>
      </c>
      <c r="L181" s="46" t="n"/>
      <c r="M181" s="63" t="inlineStr">
        <is>
          <t>Psybeam</t>
        </is>
      </c>
      <c r="N181" s="46" t="n"/>
      <c r="O181" s="58" t="inlineStr">
        <is>
          <t>Flame Charge</t>
        </is>
      </c>
      <c r="P181" s="46" t="n"/>
    </row>
    <row r="182">
      <c r="E182" s="63" t="inlineStr">
        <is>
          <t>Light Screen</t>
        </is>
      </c>
      <c r="F182" s="46" t="n"/>
      <c r="G182" s="59" t="inlineStr">
        <is>
          <t>Leech Seed</t>
        </is>
      </c>
      <c r="H182" s="46" t="n"/>
      <c r="I182" s="58" t="inlineStr">
        <is>
          <t>Will-O-Wisp</t>
        </is>
      </c>
      <c r="J182" s="46" t="n"/>
      <c r="K182" s="67" t="inlineStr">
        <is>
          <t>Lick</t>
        </is>
      </c>
      <c r="L182" s="46" t="n"/>
      <c r="M182" s="50" t="inlineStr">
        <is>
          <t>Foul Play</t>
        </is>
      </c>
      <c r="N182" s="46" t="n"/>
      <c r="O182" s="51" t="inlineStr">
        <is>
          <t>Quick Attack</t>
        </is>
      </c>
      <c r="P182" s="46" t="n"/>
    </row>
    <row r="183">
      <c r="E183" s="51" t="inlineStr">
        <is>
          <t>Covet</t>
        </is>
      </c>
      <c r="F183" s="46" t="n"/>
      <c r="G183" s="50" t="inlineStr">
        <is>
          <t>Bite</t>
        </is>
      </c>
      <c r="H183" s="46" t="n"/>
      <c r="I183" s="51" t="inlineStr">
        <is>
          <t>Quick Attack</t>
        </is>
      </c>
      <c r="J183" s="46" t="n"/>
      <c r="K183" s="62" t="inlineStr">
        <is>
          <t>Rock Tomb</t>
        </is>
      </c>
      <c r="L183" s="46" t="n"/>
      <c r="M183" s="62" t="inlineStr">
        <is>
          <t>Rock Tomb</t>
        </is>
      </c>
      <c r="N183" s="46" t="n"/>
      <c r="O183" s="60" t="inlineStr">
        <is>
          <t>Roost</t>
        </is>
      </c>
      <c r="P183" s="46" t="n"/>
    </row>
    <row r="184">
      <c r="E184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86" ht="20" customHeight="1">
      <c r="B186" s="40" t="inlineStr">
        <is>
          <t>Rival</t>
        </is>
      </c>
      <c r="C186" s="41" t="n"/>
      <c r="D186" s="41" t="n"/>
      <c r="E186" s="42" t="inlineStr">
        <is>
          <t>Rival May</t>
        </is>
      </c>
      <c r="F186" s="41" t="n"/>
      <c r="G186" s="41" t="n"/>
      <c r="H186" s="41" t="n"/>
      <c r="I186" s="41" t="n"/>
      <c r="J186" s="41" t="n"/>
      <c r="K186" s="41" t="n"/>
      <c r="L186" s="41" t="n"/>
      <c r="M186" s="41" t="n"/>
      <c r="N186" s="41" t="n"/>
      <c r="O186" s="41" t="n"/>
      <c r="P186" s="41" t="n"/>
      <c r="Q186" s="41" t="n"/>
    </row>
    <row r="187" ht="69" customHeight="1">
      <c r="E187" s="43">
        <f>IFERROR(_xlfn.IMAGE("https://play.pokemonshowdown.com/sprites/gen5/espurr.png"),"")</f>
        <v/>
      </c>
      <c r="G187" s="43">
        <f>IFERROR(_xlfn.IMAGE("https://play.pokemonshowdown.com/sprites/gen5/chespin.png"),"")</f>
        <v/>
      </c>
      <c r="I187" s="43">
        <f>IFERROR(_xlfn.IMAGE("https://play.pokemonshowdown.com/sprites/gen5/fennekin.png"),"")</f>
        <v/>
      </c>
      <c r="K187" s="43">
        <f>IFERROR(_xlfn.IMAGE("https://play.pokemonshowdown.com/sprites/gen5/froakie.png"),"")</f>
        <v/>
      </c>
      <c r="M187" s="43">
        <f>IFERROR(_xlfn.IMAGE("https://play.pokemonshowdown.com/sprites/gen5/inkay.png"),"")</f>
        <v/>
      </c>
      <c r="O187" s="43">
        <f>IFERROR(_xlfn.IMAGE("https://play.pokemonshowdown.com/sprites/gen5/fletchling.png"),"")</f>
        <v/>
      </c>
      <c r="Q187" s="44" t="inlineStr">
        <is>
          <t>Mandatory</t>
        </is>
      </c>
    </row>
    <row r="188">
      <c r="E188" s="45" t="inlineStr">
        <is>
          <t>Lv 12 Espurr</t>
        </is>
      </c>
      <c r="F188" s="46" t="n"/>
      <c r="G188" s="45" t="inlineStr">
        <is>
          <t>Lv 13 Chespin</t>
        </is>
      </c>
      <c r="H188" s="46" t="n"/>
      <c r="I188" s="45" t="inlineStr">
        <is>
          <t>Lv 13 Fennekin</t>
        </is>
      </c>
      <c r="J188" s="46" t="n"/>
      <c r="K188" s="45" t="inlineStr">
        <is>
          <t>Lv 13 Froakie</t>
        </is>
      </c>
      <c r="L188" s="46" t="n"/>
      <c r="M188" s="45" t="inlineStr">
        <is>
          <t>Lv 13 Inkay</t>
        </is>
      </c>
      <c r="N188" s="46" t="n"/>
      <c r="O188" s="45" t="inlineStr">
        <is>
          <t>Lv 14 Fletchling</t>
        </is>
      </c>
      <c r="P188" s="46" t="n"/>
      <c r="Q188" s="47" t="inlineStr">
        <is>
          <t>Pokémon</t>
        </is>
      </c>
    </row>
    <row r="189">
      <c r="E189" s="48" t="inlineStr">
        <is>
          <t>Hardy</t>
        </is>
      </c>
      <c r="F189" s="48" t="inlineStr">
        <is>
          <t>Infiltrator</t>
        </is>
      </c>
      <c r="G189" s="48" t="inlineStr">
        <is>
          <t>Hardy</t>
        </is>
      </c>
      <c r="H189" s="48" t="inlineStr">
        <is>
          <t>Bulletproof</t>
        </is>
      </c>
      <c r="I189" s="48" t="inlineStr">
        <is>
          <t>Hardy</t>
        </is>
      </c>
      <c r="J189" s="48" t="inlineStr">
        <is>
          <t>Blaze</t>
        </is>
      </c>
      <c r="K189" s="48" t="inlineStr">
        <is>
          <t>Hardy</t>
        </is>
      </c>
      <c r="L189" s="48" t="inlineStr">
        <is>
          <t>Protean</t>
        </is>
      </c>
      <c r="M189" s="48" t="inlineStr">
        <is>
          <t>Hardy</t>
        </is>
      </c>
      <c r="N189" s="48" t="inlineStr">
        <is>
          <t>Contrary</t>
        </is>
      </c>
      <c r="O189" s="48" t="inlineStr">
        <is>
          <t>Hardy</t>
        </is>
      </c>
      <c r="P189" s="48" t="inlineStr">
        <is>
          <t>Gale Wings</t>
        </is>
      </c>
      <c r="Q189" s="47" t="inlineStr">
        <is>
          <t>Nature / Ability</t>
        </is>
      </c>
    </row>
    <row r="190">
      <c r="B190" s="47" t="inlineStr">
        <is>
          <t>AI Flags:</t>
        </is>
      </c>
      <c r="E190" s="49" t="inlineStr">
        <is>
          <t>Oran Berry</t>
        </is>
      </c>
      <c r="F190" s="46" t="n"/>
      <c r="G190" s="49" t="inlineStr">
        <is>
          <t>Miracle Seed</t>
        </is>
      </c>
      <c r="H190" s="46" t="n"/>
      <c r="I190" s="49" t="inlineStr">
        <is>
          <t>Charcoal</t>
        </is>
      </c>
      <c r="J190" s="46" t="n"/>
      <c r="K190" s="49" t="inlineStr">
        <is>
          <t>Mystic Water</t>
        </is>
      </c>
      <c r="L190" s="46" t="n"/>
      <c r="M190" s="49" t="inlineStr">
        <is>
          <t>Oran Berry</t>
        </is>
      </c>
      <c r="N190" s="46" t="n"/>
      <c r="O190" s="49" t="inlineStr">
        <is>
          <t>Sharp Beak</t>
        </is>
      </c>
      <c r="P190" s="46" t="n"/>
      <c r="Q190" s="47" t="inlineStr">
        <is>
          <t>Item</t>
        </is>
      </c>
    </row>
    <row r="191">
      <c r="B191" s="44" t="inlineStr">
        <is>
          <t>Smart Trainer</t>
        </is>
      </c>
      <c r="E191" s="51" t="inlineStr">
        <is>
          <t>Fake Out</t>
        </is>
      </c>
      <c r="F191" s="46" t="n"/>
      <c r="G191" s="59" t="inlineStr">
        <is>
          <t>Seed Bomb</t>
        </is>
      </c>
      <c r="H191" s="46" t="n"/>
      <c r="I191" s="58" t="inlineStr">
        <is>
          <t>Flame Charge</t>
        </is>
      </c>
      <c r="J191" s="46" t="n"/>
      <c r="K191" s="61" t="inlineStr">
        <is>
          <t>Water Pulse</t>
        </is>
      </c>
      <c r="L191" s="46" t="n"/>
      <c r="M191" s="50" t="inlineStr">
        <is>
          <t>Topsy-Turvy</t>
        </is>
      </c>
      <c r="N191" s="46" t="n"/>
      <c r="O191" s="60" t="inlineStr">
        <is>
          <t>Acrobatics</t>
        </is>
      </c>
      <c r="P191" s="46" t="n"/>
      <c r="Q191" s="47" t="inlineStr">
        <is>
          <t>Moves</t>
        </is>
      </c>
    </row>
    <row r="192">
      <c r="E192" s="63" t="inlineStr">
        <is>
          <t>Confusion</t>
        </is>
      </c>
      <c r="F192" s="46" t="n"/>
      <c r="G192" s="62" t="inlineStr">
        <is>
          <t>Rollout</t>
        </is>
      </c>
      <c r="H192" s="46" t="n"/>
      <c r="I192" s="63" t="inlineStr">
        <is>
          <t>Psybeam</t>
        </is>
      </c>
      <c r="J192" s="46" t="n"/>
      <c r="K192" s="51" t="inlineStr">
        <is>
          <t>Quick Attack</t>
        </is>
      </c>
      <c r="L192" s="46" t="n"/>
      <c r="M192" s="63" t="inlineStr">
        <is>
          <t>Psybeam</t>
        </is>
      </c>
      <c r="N192" s="46" t="n"/>
      <c r="O192" s="58" t="inlineStr">
        <is>
          <t>Flame Charge</t>
        </is>
      </c>
      <c r="P192" s="46" t="n"/>
    </row>
    <row r="193">
      <c r="E193" s="63" t="inlineStr">
        <is>
          <t>Light Screen</t>
        </is>
      </c>
      <c r="F193" s="46" t="n"/>
      <c r="G193" s="59" t="inlineStr">
        <is>
          <t>Leech Seed</t>
        </is>
      </c>
      <c r="H193" s="46" t="n"/>
      <c r="I193" s="58" t="inlineStr">
        <is>
          <t>Will-O-Wisp</t>
        </is>
      </c>
      <c r="J193" s="46" t="n"/>
      <c r="K193" s="67" t="inlineStr">
        <is>
          <t>Lick</t>
        </is>
      </c>
      <c r="L193" s="46" t="n"/>
      <c r="M193" s="50" t="inlineStr">
        <is>
          <t>Foul Play</t>
        </is>
      </c>
      <c r="N193" s="46" t="n"/>
      <c r="O193" s="51" t="inlineStr">
        <is>
          <t>Quick Attack</t>
        </is>
      </c>
      <c r="P193" s="46" t="n"/>
    </row>
    <row r="194">
      <c r="E194" s="51" t="inlineStr">
        <is>
          <t>Covet</t>
        </is>
      </c>
      <c r="F194" s="46" t="n"/>
      <c r="G194" s="50" t="inlineStr">
        <is>
          <t>Bite</t>
        </is>
      </c>
      <c r="H194" s="46" t="n"/>
      <c r="I194" s="51" t="inlineStr">
        <is>
          <t>Quick Attack</t>
        </is>
      </c>
      <c r="J194" s="46" t="n"/>
      <c r="K194" s="62" t="inlineStr">
        <is>
          <t>Rock Tomb</t>
        </is>
      </c>
      <c r="L194" s="46" t="n"/>
      <c r="M194" s="62" t="inlineStr">
        <is>
          <t>Rock Tomb</t>
        </is>
      </c>
      <c r="N194" s="46" t="n"/>
      <c r="O194" s="60" t="inlineStr">
        <is>
          <t>Roost</t>
        </is>
      </c>
      <c r="P194" s="46" t="n"/>
    </row>
    <row r="195">
      <c r="E195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97" ht="24" customHeight="1">
      <c r="B197" s="38" t="inlineStr">
        <is>
          <t>Petalburg City - Gym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Youngster</t>
        </is>
      </c>
      <c r="C199" s="41" t="n"/>
      <c r="D199" s="41" t="n"/>
      <c r="E199" s="42" t="inlineStr">
        <is>
          <t>Youngster Randall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IFERROR(_xlfn.IMAGE("https://play.pokemonshowdown.com/sprites/gen5/aipom.png"),"")</f>
        <v/>
      </c>
      <c r="G200" s="43">
        <f>IFERROR(_xlfn.IMAGE("https://play.pokemonshowdown.com/sprites/gen5/minccino.png"),"")</f>
        <v/>
      </c>
      <c r="I200" s="43">
        <f>IFERROR(_xlfn.IMAGE("https://play.pokemonshowdown.com/sprites/gen5/whismur.png"),"")</f>
        <v/>
      </c>
      <c r="K200" s="43">
        <f>IFERROR(_xlfn.IMAGE("https://play.pokemonshowdown.com/sprites/gen5/teddiursa.png"),"")</f>
        <v/>
      </c>
      <c r="Q200" s="44" t="inlineStr">
        <is>
          <t>Mandatory
Items: Potion</t>
        </is>
      </c>
    </row>
    <row r="201">
      <c r="E201" s="45" t="inlineStr">
        <is>
          <t>Lv 13 Aipom</t>
        </is>
      </c>
      <c r="F201" s="46" t="n"/>
      <c r="G201" s="45" t="inlineStr">
        <is>
          <t>Lv 12 Minccino</t>
        </is>
      </c>
      <c r="H201" s="46" t="n"/>
      <c r="I201" s="45" t="inlineStr">
        <is>
          <t>Lv 13 Whismur</t>
        </is>
      </c>
      <c r="J201" s="46" t="n"/>
      <c r="K201" s="45" t="inlineStr">
        <is>
          <t>Lv 13 Teddiursa</t>
        </is>
      </c>
      <c r="L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Technician</t>
        </is>
      </c>
      <c r="G202" s="48" t="inlineStr">
        <is>
          <t>Hardy</t>
        </is>
      </c>
      <c r="H202" s="48" t="inlineStr">
        <is>
          <t>Skill Link</t>
        </is>
      </c>
      <c r="I202" s="48" t="inlineStr">
        <is>
          <t>Hardy</t>
        </is>
      </c>
      <c r="J202" s="48" t="inlineStr">
        <is>
          <t>Soundproof</t>
        </is>
      </c>
      <c r="K202" s="48" t="inlineStr">
        <is>
          <t>Hardy</t>
        </is>
      </c>
      <c r="L202" s="48" t="inlineStr">
        <is>
          <t>Quick Feet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Silk Scarf</t>
        </is>
      </c>
      <c r="F203" s="46" t="n"/>
      <c r="G203" s="49" t="inlineStr">
        <is>
          <t>Oran Berry</t>
        </is>
      </c>
      <c r="H203" s="46" t="n"/>
      <c r="I203" s="49" t="inlineStr">
        <is>
          <t>Sitrus Berry</t>
        </is>
      </c>
      <c r="J203" s="46" t="n"/>
      <c r="K203" s="49" t="inlineStr">
        <is>
          <t>Toxic Orb</t>
        </is>
      </c>
      <c r="L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1" t="inlineStr">
        <is>
          <t>Tail Slap</t>
        </is>
      </c>
      <c r="H204" s="46" t="n"/>
      <c r="I204" s="51" t="inlineStr">
        <is>
          <t>Hyper Voice</t>
        </is>
      </c>
      <c r="J204" s="46" t="n"/>
      <c r="K204" s="51" t="inlineStr">
        <is>
          <t>Slash</t>
        </is>
      </c>
      <c r="L204" s="46" t="n"/>
      <c r="Q204" s="47" t="inlineStr">
        <is>
          <t>Moves</t>
        </is>
      </c>
    </row>
    <row r="205">
      <c r="E205" s="51" t="inlineStr">
        <is>
          <t>Quick Attack</t>
        </is>
      </c>
      <c r="F205" s="46" t="n"/>
      <c r="G205" s="59" t="inlineStr">
        <is>
          <t>Bullet Seed</t>
        </is>
      </c>
      <c r="H205" s="46" t="n"/>
      <c r="I205" s="51" t="inlineStr">
        <is>
          <t>Echoed Voice</t>
        </is>
      </c>
      <c r="J205" s="46" t="n"/>
      <c r="K205" s="67" t="inlineStr">
        <is>
          <t>Shadow Claw</t>
        </is>
      </c>
      <c r="L205" s="46" t="n"/>
    </row>
    <row r="206">
      <c r="E206" s="54" t="inlineStr">
        <is>
          <t>U-turn</t>
        </is>
      </c>
      <c r="F206" s="46" t="n"/>
      <c r="G206" s="62" t="inlineStr">
        <is>
          <t>Rock Blast</t>
        </is>
      </c>
      <c r="H206" s="46" t="n"/>
      <c r="I206" s="50" t="inlineStr">
        <is>
          <t>Bite</t>
        </is>
      </c>
      <c r="J206" s="46" t="n"/>
      <c r="K206" s="62" t="inlineStr">
        <is>
          <t>Rock Tomb</t>
        </is>
      </c>
      <c r="L206" s="46" t="n"/>
    </row>
    <row r="207">
      <c r="E207" s="50" t="inlineStr">
        <is>
          <t>Pursuit</t>
        </is>
      </c>
      <c r="F207" s="46" t="n"/>
      <c r="G207" s="51" t="inlineStr">
        <is>
          <t>Encore</t>
        </is>
      </c>
      <c r="H207" s="46" t="n"/>
      <c r="I207" s="51" t="inlineStr">
        <is>
          <t>Supersonic</t>
        </is>
      </c>
      <c r="J207" s="46" t="n"/>
      <c r="K207" s="51" t="inlineStr">
        <is>
          <t>Protect</t>
        </is>
      </c>
      <c r="L207" s="46" t="n"/>
    </row>
    <row r="208">
      <c r="E208" s="57" t="inlineStr">
        <is>
          <t>Note: Gym Youngster. Rooms unlock in order Randall -&gt; Alexia -&gt; Jody; Norman checks all three.</t>
        </is>
      </c>
    </row>
    <row r="210" ht="20" customHeight="1">
      <c r="B210" s="40" t="inlineStr">
        <is>
          <t>Cooltrainer</t>
        </is>
      </c>
      <c r="C210" s="41" t="n"/>
      <c r="D210" s="41" t="n"/>
      <c r="E210" s="42" t="inlineStr">
        <is>
          <t>Cooltrainer Alexia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IFERROR(_xlfn.IMAGE("https://play.pokemonshowdown.com/sprites/gen5/buneary.png"),"")</f>
        <v/>
      </c>
      <c r="G211" s="43">
        <f>IFERROR(_xlfn.IMAGE("https://play.pokemonshowdown.com/sprites/gen5/chansey.png"),"")</f>
        <v/>
      </c>
      <c r="I211" s="43">
        <f>IFERROR(_xlfn.IMAGE("https://play.pokemonshowdown.com/sprites/gen5/solosis.png"),"")</f>
        <v/>
      </c>
      <c r="K211" s="43">
        <f>IFERROR(_xlfn.IMAGE("https://play.pokemonshowdown.com/sprites/gen5/vullaby.png"),"")</f>
        <v/>
      </c>
      <c r="M211" s="43">
        <f>IFERROR(_xlfn.IMAGE("https://play.pokemonshowdown.com/sprites/gen5/deerling.png"),"")</f>
        <v/>
      </c>
      <c r="Q211" s="44" t="inlineStr">
        <is>
          <t>Mandatory
Items: Potion</t>
        </is>
      </c>
    </row>
    <row r="212">
      <c r="E212" s="45" t="inlineStr">
        <is>
          <t>Lv 12 Buneary</t>
        </is>
      </c>
      <c r="F212" s="46" t="n"/>
      <c r="G212" s="45" t="inlineStr">
        <is>
          <t>Lv 12 Chansey</t>
        </is>
      </c>
      <c r="H212" s="46" t="n"/>
      <c r="I212" s="45" t="inlineStr">
        <is>
          <t>Lv 12 Solosis</t>
        </is>
      </c>
      <c r="J212" s="46" t="n"/>
      <c r="K212" s="45" t="inlineStr">
        <is>
          <t>Lv 12 Vullaby</t>
        </is>
      </c>
      <c r="L212" s="46" t="n"/>
      <c r="M212" s="45" t="inlineStr">
        <is>
          <t>Lv 12 Deerling</t>
        </is>
      </c>
      <c r="N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Limber</t>
        </is>
      </c>
      <c r="G213" s="48" t="inlineStr">
        <is>
          <t>Hardy</t>
        </is>
      </c>
      <c r="H213" s="48" t="inlineStr">
        <is>
          <t>Natural Cure</t>
        </is>
      </c>
      <c r="I213" s="48" t="inlineStr">
        <is>
          <t>Hardy</t>
        </is>
      </c>
      <c r="J213" s="48" t="inlineStr">
        <is>
          <t>Magic Guard</t>
        </is>
      </c>
      <c r="K213" s="48" t="inlineStr">
        <is>
          <t>Hardy</t>
        </is>
      </c>
      <c r="L213" s="48" t="inlineStr">
        <is>
          <t>Overcoat</t>
        </is>
      </c>
      <c r="M213" s="48" t="inlineStr">
        <is>
          <t>Hardy</t>
        </is>
      </c>
      <c r="N213" s="48" t="inlineStr">
        <is>
          <t>Sap Sipper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Silk Scarf</t>
        </is>
      </c>
      <c r="F214" s="46" t="n"/>
      <c r="G214" s="49" t="inlineStr">
        <is>
          <t>Oran Berry</t>
        </is>
      </c>
      <c r="H214" s="46" t="n"/>
      <c r="I214" s="49" t="inlineStr">
        <is>
          <t>Eviolite</t>
        </is>
      </c>
      <c r="J214" s="46" t="n"/>
      <c r="K214" s="49" t="inlineStr">
        <is>
          <t>Oran Berry</t>
        </is>
      </c>
      <c r="L214" s="46" t="n"/>
      <c r="M214" s="49" t="inlineStr">
        <is>
          <t>Sitrus Berry</t>
        </is>
      </c>
      <c r="N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65" t="inlineStr">
        <is>
          <t>Seismic Toss</t>
        </is>
      </c>
      <c r="H215" s="46" t="n"/>
      <c r="I215" s="63" t="inlineStr">
        <is>
          <t>Psybeam</t>
        </is>
      </c>
      <c r="J215" s="46" t="n"/>
      <c r="K215" s="60" t="inlineStr">
        <is>
          <t>Pluck</t>
        </is>
      </c>
      <c r="L215" s="46" t="n"/>
      <c r="M215" s="59" t="inlineStr">
        <is>
          <t>Horn Leech</t>
        </is>
      </c>
      <c r="N215" s="46" t="n"/>
      <c r="Q215" s="47" t="inlineStr">
        <is>
          <t>Moves</t>
        </is>
      </c>
    </row>
    <row r="216">
      <c r="E216" s="51" t="inlineStr">
        <is>
          <t>Quick Attack</t>
        </is>
      </c>
      <c r="F216" s="46" t="n"/>
      <c r="G216" s="52" t="inlineStr">
        <is>
          <t>Thunder Wave</t>
        </is>
      </c>
      <c r="H216" s="46" t="n"/>
      <c r="I216" s="51" t="inlineStr">
        <is>
          <t>Recover</t>
        </is>
      </c>
      <c r="J216" s="46" t="n"/>
      <c r="K216" s="50" t="inlineStr">
        <is>
          <t>Foul Play</t>
        </is>
      </c>
      <c r="L216" s="46" t="n"/>
      <c r="M216" s="51" t="inlineStr">
        <is>
          <t>Headbutt</t>
        </is>
      </c>
      <c r="N216" s="46" t="n"/>
    </row>
    <row r="217">
      <c r="E217" s="65" t="inlineStr">
        <is>
          <t>Low Sweep</t>
        </is>
      </c>
      <c r="F217" s="46" t="n"/>
      <c r="G217" s="51" t="inlineStr">
        <is>
          <t>Soft-Boiled</t>
        </is>
      </c>
      <c r="H217" s="46" t="n"/>
      <c r="I217" s="51" t="inlineStr">
        <is>
          <t>Hidden Power</t>
        </is>
      </c>
      <c r="J217" s="46" t="n"/>
      <c r="K217" s="60" t="inlineStr">
        <is>
          <t>Roost</t>
        </is>
      </c>
      <c r="L217" s="46" t="n"/>
      <c r="M217" s="65" t="inlineStr">
        <is>
          <t>Jump Kick</t>
        </is>
      </c>
      <c r="N217" s="46" t="n"/>
    </row>
    <row r="218">
      <c r="E218" s="52" t="inlineStr">
        <is>
          <t>Thunder Wave</t>
        </is>
      </c>
      <c r="F218" s="46" t="n"/>
      <c r="G218" s="65" t="inlineStr">
        <is>
          <t>Counter</t>
        </is>
      </c>
      <c r="H218" s="46" t="n"/>
      <c r="I218" s="52" t="inlineStr">
        <is>
          <t>Thunder Wave</t>
        </is>
      </c>
      <c r="J218" s="46" t="n"/>
      <c r="K218" s="55" t="inlineStr">
        <is>
          <t>Toxic</t>
        </is>
      </c>
      <c r="L218" s="46" t="n"/>
      <c r="M218" s="59" t="inlineStr">
        <is>
          <t>Leech Seed</t>
        </is>
      </c>
      <c r="N218" s="46" t="n"/>
    </row>
    <row r="219">
      <c r="E219" s="57" t="inlineStr">
        <is>
          <t>Note: Gym defensive trainer. Solosis has even IVs so its Hidden Power is Fighting-type.</t>
        </is>
      </c>
    </row>
    <row r="221" ht="20" customHeight="1">
      <c r="B221" s="40" t="inlineStr">
        <is>
          <t>Cooltrainer</t>
        </is>
      </c>
      <c r="C221" s="41" t="n"/>
      <c r="D221" s="41" t="n"/>
      <c r="E221" s="42" t="inlineStr">
        <is>
          <t>Cooltrainer Jody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IFERROR(_xlfn.IMAGE("https://play.pokemonshowdown.com/sprites/gen5/meowth.png"),"")</f>
        <v/>
      </c>
      <c r="G222" s="43">
        <f>IFERROR(_xlfn.IMAGE("https://play.pokemonshowdown.com/sprites/gen5/mienfoo.png"),"")</f>
        <v/>
      </c>
      <c r="I222" s="43">
        <f>IFERROR(_xlfn.IMAGE("https://play.pokemonshowdown.com/sprites/gen5/swablu.png"),"")</f>
        <v/>
      </c>
      <c r="K222" s="43">
        <f>IFERROR(_xlfn.IMAGE("https://play.pokemonshowdown.com/sprites/gen5/girafarig.png"),"")</f>
        <v/>
      </c>
      <c r="Q222" s="44" t="inlineStr">
        <is>
          <t>Mandatory
Items: Potion</t>
        </is>
      </c>
    </row>
    <row r="223">
      <c r="E223" s="45" t="inlineStr">
        <is>
          <t>Lv 14 Meowth</t>
        </is>
      </c>
      <c r="F223" s="46" t="n"/>
      <c r="G223" s="45" t="inlineStr">
        <is>
          <t>Lv 14 Mienfoo</t>
        </is>
      </c>
      <c r="H223" s="46" t="n"/>
      <c r="I223" s="45" t="inlineStr">
        <is>
          <t>Lv 14 Swablu</t>
        </is>
      </c>
      <c r="J223" s="46" t="n"/>
      <c r="K223" s="45" t="inlineStr">
        <is>
          <t>Lv 14 Girafarig</t>
        </is>
      </c>
      <c r="L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Technician</t>
        </is>
      </c>
      <c r="G224" s="48" t="inlineStr">
        <is>
          <t>Hardy</t>
        </is>
      </c>
      <c r="H224" s="48" t="inlineStr">
        <is>
          <t>Regenerator</t>
        </is>
      </c>
      <c r="I224" s="48" t="inlineStr">
        <is>
          <t>Hardy</t>
        </is>
      </c>
      <c r="J224" s="48" t="inlineStr">
        <is>
          <t>Natural Cure</t>
        </is>
      </c>
      <c r="K224" s="48" t="inlineStr">
        <is>
          <t>Hardy</t>
        </is>
      </c>
      <c r="L224" s="48" t="inlineStr">
        <is>
          <t>Sap Sipper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Silk Scarf</t>
        </is>
      </c>
      <c r="F225" s="46" t="n"/>
      <c r="G225" s="49" t="inlineStr">
        <is>
          <t>Black Belt</t>
        </is>
      </c>
      <c r="H225" s="46" t="n"/>
      <c r="I225" s="49" t="inlineStr">
        <is>
          <t>Oran Berry</t>
        </is>
      </c>
      <c r="J225" s="46" t="n"/>
      <c r="K225" s="49" t="inlineStr">
        <is>
          <t>(None)</t>
        </is>
      </c>
      <c r="L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1" t="inlineStr">
        <is>
          <t>Fake Out</t>
        </is>
      </c>
      <c r="F226" s="46" t="n"/>
      <c r="G226" s="65" t="inlineStr">
        <is>
          <t>Drain Punch</t>
        </is>
      </c>
      <c r="H226" s="46" t="n"/>
      <c r="I226" s="60" t="inlineStr">
        <is>
          <t>Aerial Ace</t>
        </is>
      </c>
      <c r="J226" s="46" t="n"/>
      <c r="K226" s="63" t="inlineStr">
        <is>
          <t>Psybeam</t>
        </is>
      </c>
      <c r="L226" s="46" t="n"/>
      <c r="Q226" s="47" t="inlineStr">
        <is>
          <t>Moves</t>
        </is>
      </c>
    </row>
    <row r="227">
      <c r="E227" s="50" t="inlineStr">
        <is>
          <t>Bite</t>
        </is>
      </c>
      <c r="F227" s="46" t="n"/>
      <c r="G227" s="50" t="inlineStr">
        <is>
          <t>Knock Off</t>
        </is>
      </c>
      <c r="H227" s="46" t="n"/>
      <c r="I227" s="68" t="inlineStr">
        <is>
          <t>Dragon Breath</t>
        </is>
      </c>
      <c r="J227" s="46" t="n"/>
      <c r="K227" s="52" t="inlineStr">
        <is>
          <t>Thunder Wave</t>
        </is>
      </c>
      <c r="L227" s="46" t="n"/>
    </row>
    <row r="228">
      <c r="E228" s="54" t="inlineStr">
        <is>
          <t>U-turn</t>
        </is>
      </c>
      <c r="F228" s="46" t="n"/>
      <c r="G228" s="51" t="inlineStr">
        <is>
          <t>Fake Out</t>
        </is>
      </c>
      <c r="H228" s="46" t="n"/>
      <c r="I228" s="60" t="inlineStr">
        <is>
          <t>Roost</t>
        </is>
      </c>
      <c r="J228" s="46" t="n"/>
      <c r="K228" s="51" t="inlineStr">
        <is>
          <t>Quick Attack</t>
        </is>
      </c>
      <c r="L228" s="46" t="n"/>
    </row>
    <row r="229">
      <c r="E229" s="51" t="inlineStr">
        <is>
          <t>Feint</t>
        </is>
      </c>
      <c r="F229" s="46" t="n"/>
      <c r="G229" s="54" t="inlineStr">
        <is>
          <t>U-turn</t>
        </is>
      </c>
      <c r="H229" s="46" t="n"/>
      <c r="I229" s="51" t="inlineStr">
        <is>
          <t>Sing</t>
        </is>
      </c>
      <c r="J229" s="46" t="n"/>
      <c r="K229" s="56" t="inlineStr">
        <is>
          <t>-</t>
        </is>
      </c>
      <c r="L229" s="46" t="n"/>
    </row>
    <row r="230">
      <c r="E230" s="57" t="inlineStr">
        <is>
          <t>Note: Gym Ace Trainer. Girafarig intentionally has three moves.</t>
        </is>
      </c>
    </row>
    <row r="232" ht="20" customHeight="1">
      <c r="B232" s="40" t="inlineStr">
        <is>
          <t>Leader</t>
        </is>
      </c>
      <c r="C232" s="41" t="n"/>
      <c r="D232" s="41" t="n"/>
      <c r="E232" s="42" t="inlineStr">
        <is>
          <t>Leader Norman</t>
        </is>
      </c>
      <c r="F232" s="41" t="n"/>
      <c r="G232" s="41" t="n"/>
      <c r="H232" s="41" t="n"/>
      <c r="I232" s="41" t="n"/>
      <c r="J232" s="41" t="n"/>
      <c r="K232" s="41" t="n"/>
      <c r="L232" s="41" t="n"/>
      <c r="M232" s="41" t="n"/>
      <c r="N232" s="41" t="n"/>
      <c r="O232" s="41" t="n"/>
      <c r="P232" s="41" t="n"/>
      <c r="Q232" s="41" t="n"/>
    </row>
    <row r="233" ht="69" customHeight="1">
      <c r="E233" s="43">
        <f>IFERROR(_xlfn.IMAGE("https://play.pokemonshowdown.com/sprites/gen5/smeargle.png"),"")</f>
        <v/>
      </c>
      <c r="G233" s="43">
        <f>IFERROR(_xlfn.IMAGE("https://play.pokemonshowdown.com/sprites/gen5/spinda.png"),"")</f>
        <v/>
      </c>
      <c r="I233" s="43">
        <f>IFERROR(_xlfn.IMAGE("https://play.pokemonshowdown.com/sprites/gen5/nidorino.png"),"")</f>
        <v/>
      </c>
      <c r="K233" s="43">
        <f>IFERROR(_xlfn.IMAGE("https://play.pokemonshowdown.com/sprites/gen5/staravia.png"),"")</f>
        <v/>
      </c>
      <c r="M233" s="43">
        <f>IFERROR(_xlfn.IMAGE("https://play.pokemonshowdown.com/sprites/gen5/machop.png"),"")</f>
        <v/>
      </c>
      <c r="O233" s="43">
        <f>IFERROR(_xlfn.IMAGE("https://play.pokemonshowdown.com/sprites/gen5/slaking.png"),"")</f>
        <v/>
      </c>
      <c r="Q233" s="44" t="inlineStr">
        <is>
          <t>Mandatory
Items: Super Potion / Super Potion</t>
        </is>
      </c>
    </row>
    <row r="234">
      <c r="E234" s="45" t="inlineStr">
        <is>
          <t>Lv 14 Smeargle</t>
        </is>
      </c>
      <c r="F234" s="46" t="n"/>
      <c r="G234" s="45" t="inlineStr">
        <is>
          <t>Lv 14 Spinda</t>
        </is>
      </c>
      <c r="H234" s="46" t="n"/>
      <c r="I234" s="45" t="inlineStr">
        <is>
          <t>Lv 14 Nidorino</t>
        </is>
      </c>
      <c r="J234" s="46" t="n"/>
      <c r="K234" s="45" t="inlineStr">
        <is>
          <t>Lv 14 Staravia</t>
        </is>
      </c>
      <c r="L234" s="46" t="n"/>
      <c r="M234" s="45" t="inlineStr">
        <is>
          <t>Lv 14 Machop</t>
        </is>
      </c>
      <c r="N234" s="46" t="n"/>
      <c r="O234" s="45" t="inlineStr">
        <is>
          <t>Lv 16 Slaking</t>
        </is>
      </c>
      <c r="P234" s="46" t="n"/>
      <c r="Q234" s="47" t="inlineStr">
        <is>
          <t>Pokémon</t>
        </is>
      </c>
    </row>
    <row r="235">
      <c r="E235" s="48" t="inlineStr">
        <is>
          <t>Hardy</t>
        </is>
      </c>
      <c r="F235" s="48" t="inlineStr">
        <is>
          <t>Own Tempo</t>
        </is>
      </c>
      <c r="G235" s="48" t="inlineStr">
        <is>
          <t>Hardy</t>
        </is>
      </c>
      <c r="H235" s="48" t="inlineStr">
        <is>
          <t>Own Tempo</t>
        </is>
      </c>
      <c r="I235" s="48" t="inlineStr">
        <is>
          <t>Hardy</t>
        </is>
      </c>
      <c r="J235" s="48" t="inlineStr">
        <is>
          <t>Poison Point</t>
        </is>
      </c>
      <c r="K235" s="48" t="inlineStr">
        <is>
          <t>Hardy</t>
        </is>
      </c>
      <c r="L235" s="48" t="inlineStr">
        <is>
          <t>Intimidate</t>
        </is>
      </c>
      <c r="M235" s="48" t="inlineStr">
        <is>
          <t>Hardy</t>
        </is>
      </c>
      <c r="N235" s="48" t="inlineStr">
        <is>
          <t>Guts</t>
        </is>
      </c>
      <c r="O235" s="48" t="inlineStr">
        <is>
          <t>Hardy</t>
        </is>
      </c>
      <c r="P235" s="48" t="inlineStr">
        <is>
          <t>Slow Start</t>
        </is>
      </c>
      <c r="Q235" s="47" t="inlineStr">
        <is>
          <t>Nature / Ability</t>
        </is>
      </c>
    </row>
    <row r="236">
      <c r="B236" s="47" t="inlineStr">
        <is>
          <t>AI Flags:</t>
        </is>
      </c>
      <c r="E236" s="49" t="inlineStr">
        <is>
          <t>Focus Sash</t>
        </is>
      </c>
      <c r="F236" s="46" t="n"/>
      <c r="G236" s="49" t="inlineStr">
        <is>
          <t>Oran Berry</t>
        </is>
      </c>
      <c r="H236" s="46" t="n"/>
      <c r="I236" s="49" t="inlineStr">
        <is>
          <t>Eviolite</t>
        </is>
      </c>
      <c r="J236" s="46" t="n"/>
      <c r="K236" s="49" t="inlineStr">
        <is>
          <t>(None)</t>
        </is>
      </c>
      <c r="L236" s="46" t="n"/>
      <c r="M236" s="49" t="inlineStr">
        <is>
          <t>Oran Berry</t>
        </is>
      </c>
      <c r="N236" s="46" t="n"/>
      <c r="O236" s="49" t="inlineStr">
        <is>
          <t>Sitrus Berry</t>
        </is>
      </c>
      <c r="P236" s="46" t="n"/>
      <c r="Q236" s="47" t="inlineStr">
        <is>
          <t>Item</t>
        </is>
      </c>
    </row>
    <row r="237">
      <c r="B237" s="44" t="inlineStr">
        <is>
          <t>Smart Trainer</t>
        </is>
      </c>
      <c r="E237" s="54" t="inlineStr">
        <is>
          <t>Sticky Web</t>
        </is>
      </c>
      <c r="F237" s="46" t="n"/>
      <c r="G237" s="51" t="inlineStr">
        <is>
          <t>Teeter Dance</t>
        </is>
      </c>
      <c r="H237" s="46" t="n"/>
      <c r="I237" s="55" t="inlineStr">
        <is>
          <t>Poison Jab</t>
        </is>
      </c>
      <c r="J237" s="46" t="n"/>
      <c r="K237" s="60" t="inlineStr">
        <is>
          <t>Wing Attack</t>
        </is>
      </c>
      <c r="L237" s="46" t="n"/>
      <c r="M237" s="65" t="inlineStr">
        <is>
          <t>Low Sweep</t>
        </is>
      </c>
      <c r="N237" s="46" t="n"/>
      <c r="O237" s="51" t="inlineStr">
        <is>
          <t>Slash</t>
        </is>
      </c>
      <c r="P237" s="46" t="n"/>
      <c r="Q237" s="47" t="inlineStr">
        <is>
          <t>Moves</t>
        </is>
      </c>
    </row>
    <row r="238">
      <c r="E238" s="51" t="inlineStr">
        <is>
          <t>Extreme Speed</t>
        </is>
      </c>
      <c r="F238" s="46" t="n"/>
      <c r="G238" s="63" t="inlineStr">
        <is>
          <t>Psybeam</t>
        </is>
      </c>
      <c r="H238" s="46" t="n"/>
      <c r="I238" s="65" t="inlineStr">
        <is>
          <t>Double Kick</t>
        </is>
      </c>
      <c r="J238" s="46" t="n"/>
      <c r="K238" s="51" t="inlineStr">
        <is>
          <t>Quick Attack</t>
        </is>
      </c>
      <c r="L238" s="46" t="n"/>
      <c r="M238" s="62" t="inlineStr">
        <is>
          <t>Rock Throw</t>
        </is>
      </c>
      <c r="N238" s="46" t="n"/>
      <c r="O238" s="62" t="inlineStr">
        <is>
          <t>Rock Tomb</t>
        </is>
      </c>
      <c r="P238" s="46" t="n"/>
    </row>
    <row r="239">
      <c r="E239" s="56" t="inlineStr">
        <is>
          <t>-</t>
        </is>
      </c>
      <c r="F239" s="46" t="n"/>
      <c r="G239" s="51" t="inlineStr">
        <is>
          <t>Dizzy Punch</t>
        </is>
      </c>
      <c r="H239" s="46" t="n"/>
      <c r="I239" s="62" t="inlineStr">
        <is>
          <t>Rock Tomb</t>
        </is>
      </c>
      <c r="J239" s="46" t="n"/>
      <c r="K239" s="51" t="inlineStr">
        <is>
          <t>Double Team</t>
        </is>
      </c>
      <c r="L239" s="46" t="n"/>
      <c r="M239" s="50" t="inlineStr">
        <is>
          <t>Knock Off</t>
        </is>
      </c>
      <c r="N239" s="46" t="n"/>
      <c r="O239" s="50" t="inlineStr">
        <is>
          <t>Bite</t>
        </is>
      </c>
      <c r="P239" s="46" t="n"/>
    </row>
    <row r="240">
      <c r="E240" s="56" t="inlineStr">
        <is>
          <t>-</t>
        </is>
      </c>
      <c r="F240" s="46" t="n"/>
      <c r="G240" s="51" t="inlineStr">
        <is>
          <t>Fake Out</t>
        </is>
      </c>
      <c r="H240" s="46" t="n"/>
      <c r="I240" s="51" t="inlineStr">
        <is>
          <t>Focus Energy</t>
        </is>
      </c>
      <c r="J240" s="46" t="n"/>
      <c r="K240" s="54" t="inlineStr">
        <is>
          <t>U-turn</t>
        </is>
      </c>
      <c r="L240" s="46" t="n"/>
      <c r="M240" s="65" t="inlineStr">
        <is>
          <t>Bulk Up</t>
        </is>
      </c>
      <c r="N240" s="46" t="n"/>
      <c r="O240" s="65" t="inlineStr">
        <is>
          <t>Rock Smash</t>
        </is>
      </c>
      <c r="P240" s="46" t="n"/>
    </row>
    <row r="242" ht="24" customHeight="1">
      <c r="B242" s="38" t="inlineStr">
        <is>
          <t>Viridian Forest - Optional</t>
        </is>
      </c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</row>
    <row r="244" ht="20" customHeight="1">
      <c r="B244" s="40" t="inlineStr">
        <is>
          <t>Bug Catcher</t>
        </is>
      </c>
      <c r="C244" s="41" t="n"/>
      <c r="D244" s="41" t="n"/>
      <c r="E244" s="42" t="inlineStr">
        <is>
          <t>Bug Catcher Sammy</t>
        </is>
      </c>
      <c r="F244" s="41" t="n"/>
      <c r="G244" s="41" t="n"/>
      <c r="H244" s="41" t="n"/>
      <c r="I244" s="41" t="n"/>
      <c r="J244" s="41" t="n"/>
      <c r="K244" s="41" t="n"/>
      <c r="L244" s="41" t="n"/>
      <c r="M244" s="41" t="n"/>
      <c r="N244" s="41" t="n"/>
      <c r="O244" s="41" t="n"/>
      <c r="P244" s="41" t="n"/>
      <c r="Q244" s="41" t="n"/>
    </row>
    <row r="245" ht="69" customHeight="1">
      <c r="E245" s="43">
        <f>IFERROR(_xlfn.IMAGE("https://play.pokemonshowdown.com/sprites/gen5/pineco.png"),"")</f>
        <v/>
      </c>
      <c r="G245" s="43">
        <f>IFERROR(_xlfn.IMAGE("https://play.pokemonshowdown.com/sprites/gen5/karrablast.png"),"")</f>
        <v/>
      </c>
      <c r="I245" s="43">
        <f>IFERROR(_xlfn.IMAGE("https://play.pokemonshowdown.com/sprites/gen5/surskit.png"),"")</f>
        <v/>
      </c>
      <c r="K245" s="43">
        <f>IFERROR(_xlfn.IMAGE("https://play.pokemonshowdown.com/sprites/gen5/dwebble.png"),"")</f>
        <v/>
      </c>
      <c r="M245" s="43">
        <f>IFERROR(_xlfn.IMAGE("https://play.pokemonshowdown.com/sprites/gen5/vivillon.png"),"")</f>
        <v/>
      </c>
      <c r="Q245" s="44" t="inlineStr">
        <is>
          <t>Optional</t>
        </is>
      </c>
    </row>
    <row r="246">
      <c r="E246" s="45" t="inlineStr">
        <is>
          <t>Lv 11 Pineco</t>
        </is>
      </c>
      <c r="F246" s="46" t="n"/>
      <c r="G246" s="45" t="inlineStr">
        <is>
          <t>Lv 11 Karrablast</t>
        </is>
      </c>
      <c r="H246" s="46" t="n"/>
      <c r="I246" s="45" t="inlineStr">
        <is>
          <t>Lv 11 Surskit</t>
        </is>
      </c>
      <c r="J246" s="46" t="n"/>
      <c r="K246" s="45" t="inlineStr">
        <is>
          <t>Lv 11 Dwebble</t>
        </is>
      </c>
      <c r="L246" s="46" t="n"/>
      <c r="M246" s="45" t="inlineStr">
        <is>
          <t>Lv 11 Vivillon</t>
        </is>
      </c>
      <c r="N246" s="46" t="n"/>
      <c r="Q246" s="47" t="inlineStr">
        <is>
          <t>Pokémon</t>
        </is>
      </c>
    </row>
    <row r="247">
      <c r="E247" s="48" t="inlineStr">
        <is>
          <t>Hardy</t>
        </is>
      </c>
      <c r="F247" s="48" t="inlineStr">
        <is>
          <t>Sturdy</t>
        </is>
      </c>
      <c r="G247" s="48" t="inlineStr">
        <is>
          <t>Hardy</t>
        </is>
      </c>
      <c r="H247" s="48" t="inlineStr">
        <is>
          <t>Swarm</t>
        </is>
      </c>
      <c r="I247" s="48" t="inlineStr">
        <is>
          <t>Hardy</t>
        </is>
      </c>
      <c r="J247" s="48" t="inlineStr">
        <is>
          <t>Swift Swim</t>
        </is>
      </c>
      <c r="K247" s="48" t="inlineStr">
        <is>
          <t>Hardy</t>
        </is>
      </c>
      <c r="L247" s="48" t="inlineStr">
        <is>
          <t>Sturdy</t>
        </is>
      </c>
      <c r="M247" s="48" t="inlineStr">
        <is>
          <t>Hardy</t>
        </is>
      </c>
      <c r="N247" s="48" t="inlineStr">
        <is>
          <t>Compound Eyes</t>
        </is>
      </c>
      <c r="Q247" s="47" t="inlineStr">
        <is>
          <t>Nature / Ability</t>
        </is>
      </c>
    </row>
    <row r="248">
      <c r="B248" s="47" t="inlineStr">
        <is>
          <t>AI Flags:</t>
        </is>
      </c>
      <c r="E248" s="49" t="inlineStr">
        <is>
          <t>Oran Berry</t>
        </is>
      </c>
      <c r="F248" s="46" t="n"/>
      <c r="G248" s="49" t="inlineStr">
        <is>
          <t>Silver Powder</t>
        </is>
      </c>
      <c r="H248" s="46" t="n"/>
      <c r="I248" s="49" t="inlineStr">
        <is>
          <t>Mystic Water</t>
        </is>
      </c>
      <c r="J248" s="46" t="n"/>
      <c r="K248" s="49" t="inlineStr">
        <is>
          <t>Hard Stone</t>
        </is>
      </c>
      <c r="L248" s="46" t="n"/>
      <c r="M248" s="49" t="inlineStr">
        <is>
          <t>Charti Berry</t>
        </is>
      </c>
      <c r="N248" s="46" t="n"/>
      <c r="Q248" s="47" t="inlineStr">
        <is>
          <t>Item</t>
        </is>
      </c>
    </row>
    <row r="249">
      <c r="B249" s="44" t="inlineStr">
        <is>
          <t>Smart Trainer</t>
        </is>
      </c>
      <c r="E249" s="53" t="inlineStr">
        <is>
          <t>Spikes</t>
        </is>
      </c>
      <c r="F249" s="46" t="n"/>
      <c r="G249" s="54" t="inlineStr">
        <is>
          <t>Bug Bite</t>
        </is>
      </c>
      <c r="H249" s="46" t="n"/>
      <c r="I249" s="61" t="inlineStr">
        <is>
          <t>Bubble Beam</t>
        </is>
      </c>
      <c r="J249" s="46" t="n"/>
      <c r="K249" s="62" t="inlineStr">
        <is>
          <t>Rock Tomb</t>
        </is>
      </c>
      <c r="L249" s="46" t="n"/>
      <c r="M249" s="59" t="inlineStr">
        <is>
          <t>Sleep Powder</t>
        </is>
      </c>
      <c r="N249" s="46" t="n"/>
      <c r="Q249" s="47" t="inlineStr">
        <is>
          <t>Moves</t>
        </is>
      </c>
    </row>
    <row r="250">
      <c r="E250" s="54" t="inlineStr">
        <is>
          <t>Bug Bite</t>
        </is>
      </c>
      <c r="F250" s="46" t="n"/>
      <c r="G250" s="60" t="inlineStr">
        <is>
          <t>Peck</t>
        </is>
      </c>
      <c r="H250" s="46" t="n"/>
      <c r="I250" s="54" t="inlineStr">
        <is>
          <t>Bug Bite</t>
        </is>
      </c>
      <c r="J250" s="46" t="n"/>
      <c r="K250" s="54" t="inlineStr">
        <is>
          <t>Bug Bite</t>
        </is>
      </c>
      <c r="L250" s="46" t="n"/>
      <c r="M250" s="59" t="inlineStr">
        <is>
          <t>Stun Spore</t>
        </is>
      </c>
      <c r="N250" s="46" t="n"/>
    </row>
    <row r="251">
      <c r="E251" s="62" t="inlineStr">
        <is>
          <t>Rock Throw</t>
        </is>
      </c>
      <c r="F251" s="46" t="n"/>
      <c r="G251" s="54" t="inlineStr">
        <is>
          <t>Fury Cutter</t>
        </is>
      </c>
      <c r="H251" s="46" t="n"/>
      <c r="I251" s="51" t="inlineStr">
        <is>
          <t>Quick Attack</t>
        </is>
      </c>
      <c r="J251" s="46" t="n"/>
      <c r="K251" s="53" t="inlineStr">
        <is>
          <t>Sand Attack</t>
        </is>
      </c>
      <c r="L251" s="46" t="n"/>
      <c r="M251" s="54" t="inlineStr">
        <is>
          <t>Bug Buzz</t>
        </is>
      </c>
      <c r="N251" s="46" t="n"/>
    </row>
    <row r="252">
      <c r="E252" s="51" t="inlineStr">
        <is>
          <t>Protect</t>
        </is>
      </c>
      <c r="F252" s="46" t="n"/>
      <c r="G252" s="51" t="inlineStr">
        <is>
          <t>Leer</t>
        </is>
      </c>
      <c r="H252" s="46" t="n"/>
      <c r="I252" s="51" t="inlineStr">
        <is>
          <t>Sweet Scent</t>
        </is>
      </c>
      <c r="J252" s="46" t="n"/>
      <c r="K252" s="62" t="inlineStr">
        <is>
          <t>Stealth Rock</t>
        </is>
      </c>
      <c r="L252" s="46" t="n"/>
      <c r="M252" s="60" t="inlineStr">
        <is>
          <t>Air Slash</t>
        </is>
      </c>
      <c r="N252" s="46" t="n"/>
    </row>
    <row r="253">
      <c r="E253" s="57" t="inlineStr">
        <is>
          <t>Note: Bug Catcher. Team finalized.</t>
        </is>
      </c>
    </row>
    <row r="255" ht="20" customHeight="1">
      <c r="B255" s="40" t="inlineStr">
        <is>
          <t>Youngster</t>
        </is>
      </c>
      <c r="C255" s="41" t="n"/>
      <c r="D255" s="41" t="n"/>
      <c r="E255" s="42" t="inlineStr">
        <is>
          <t>Youngster Joey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IFERROR(_xlfn.IMAGE("https://play.pokemonshowdown.com/sprites/gen5/abra.png"),"")</f>
        <v/>
      </c>
      <c r="G256" s="43">
        <f>IFERROR(_xlfn.IMAGE("https://play.pokemonshowdown.com/sprites/gen5/bulbasaur.png"),"")</f>
        <v/>
      </c>
      <c r="I256" s="43">
        <f>IFERROR(_xlfn.IMAGE("https://play.pokemonshowdown.com/sprites/gen5/charmander.png"),"")</f>
        <v/>
      </c>
      <c r="K256" s="43">
        <f>IFERROR(_xlfn.IMAGE("https://play.pokemonshowdown.com/sprites/gen5/squirtle.png"),"")</f>
        <v/>
      </c>
      <c r="M256" s="43">
        <f>IFERROR(_xlfn.IMAGE("https://play.pokemonshowdown.com/sprites/gen5/beedrill.png"),"")</f>
        <v/>
      </c>
      <c r="O256" s="43">
        <f>IFERROR(_xlfn.IMAGE("https://play.pokemonshowdown.com/sprites/gen5/pikachu.png"),"")</f>
        <v/>
      </c>
      <c r="Q256" s="44" t="inlineStr">
        <is>
          <t>Optional</t>
        </is>
      </c>
    </row>
    <row r="257">
      <c r="E257" s="45" t="inlineStr">
        <is>
          <t>Lv 11 Abra</t>
        </is>
      </c>
      <c r="F257" s="46" t="n"/>
      <c r="G257" s="45" t="inlineStr">
        <is>
          <t>Lv 11 Bulbasaur</t>
        </is>
      </c>
      <c r="H257" s="46" t="n"/>
      <c r="I257" s="45" t="inlineStr">
        <is>
          <t>Lv 11 Charmander</t>
        </is>
      </c>
      <c r="J257" s="46" t="n"/>
      <c r="K257" s="45" t="inlineStr">
        <is>
          <t>Lv 11 Squirtle</t>
        </is>
      </c>
      <c r="L257" s="46" t="n"/>
      <c r="M257" s="45" t="inlineStr">
        <is>
          <t>Lv 11 Beedrill</t>
        </is>
      </c>
      <c r="N257" s="46" t="n"/>
      <c r="O257" s="45" t="inlineStr">
        <is>
          <t>Lv 13 Pikachu</t>
        </is>
      </c>
      <c r="P257" s="46" t="n"/>
      <c r="Q257" s="47" t="inlineStr">
        <is>
          <t>Pokémon</t>
        </is>
      </c>
    </row>
    <row r="258">
      <c r="E258" s="48" t="inlineStr">
        <is>
          <t>Hardy</t>
        </is>
      </c>
      <c r="F258" s="48" t="inlineStr">
        <is>
          <t>Magic Guard</t>
        </is>
      </c>
      <c r="G258" s="48" t="inlineStr">
        <is>
          <t>Hardy</t>
        </is>
      </c>
      <c r="H258" s="48" t="inlineStr">
        <is>
          <t>Chlorophyll</t>
        </is>
      </c>
      <c r="I258" s="48" t="inlineStr">
        <is>
          <t>Hardy</t>
        </is>
      </c>
      <c r="J258" s="48" t="inlineStr">
        <is>
          <t>Blaze</t>
        </is>
      </c>
      <c r="K258" s="48" t="inlineStr">
        <is>
          <t>Hardy</t>
        </is>
      </c>
      <c r="L258" s="48" t="inlineStr">
        <is>
          <t>Torrent</t>
        </is>
      </c>
      <c r="M258" s="48" t="inlineStr">
        <is>
          <t>Hardy</t>
        </is>
      </c>
      <c r="N258" s="48" t="inlineStr">
        <is>
          <t>Swarm</t>
        </is>
      </c>
      <c r="O258" s="48" t="inlineStr">
        <is>
          <t>Hardy</t>
        </is>
      </c>
      <c r="P258" s="48" t="inlineStr">
        <is>
          <t>Static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Light Clay</t>
        </is>
      </c>
      <c r="F259" s="46" t="n"/>
      <c r="G259" s="49" t="inlineStr">
        <is>
          <t>Eviolite</t>
        </is>
      </c>
      <c r="H259" s="46" t="n"/>
      <c r="I259" s="49" t="inlineStr">
        <is>
          <t>Charcoal</t>
        </is>
      </c>
      <c r="J259" s="46" t="n"/>
      <c r="K259" s="49" t="inlineStr">
        <is>
          <t>Eviolite</t>
        </is>
      </c>
      <c r="L259" s="46" t="n"/>
      <c r="M259" s="49" t="inlineStr">
        <is>
          <t>Oran Berry</t>
        </is>
      </c>
      <c r="N259" s="46" t="n"/>
      <c r="O259" s="49" t="inlineStr">
        <is>
          <t>Light Ball</t>
        </is>
      </c>
      <c r="P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3" t="inlineStr">
        <is>
          <t>Reflect</t>
        </is>
      </c>
      <c r="F260" s="46" t="n"/>
      <c r="G260" s="59" t="inlineStr">
        <is>
          <t>Giga Drain</t>
        </is>
      </c>
      <c r="H260" s="46" t="n"/>
      <c r="I260" s="58" t="inlineStr">
        <is>
          <t>Flame Charge</t>
        </is>
      </c>
      <c r="J260" s="46" t="n"/>
      <c r="K260" s="61" t="inlineStr">
        <is>
          <t>Scald</t>
        </is>
      </c>
      <c r="L260" s="46" t="n"/>
      <c r="M260" s="54" t="inlineStr">
        <is>
          <t>Leech Life</t>
        </is>
      </c>
      <c r="N260" s="46" t="n"/>
      <c r="O260" s="52" t="inlineStr">
        <is>
          <t>Shock Wave</t>
        </is>
      </c>
      <c r="P260" s="46" t="n"/>
      <c r="Q260" s="47" t="inlineStr">
        <is>
          <t>Moves</t>
        </is>
      </c>
    </row>
    <row r="261">
      <c r="E261" s="63" t="inlineStr">
        <is>
          <t>Light Screen</t>
        </is>
      </c>
      <c r="F261" s="46" t="n"/>
      <c r="G261" s="55" t="inlineStr">
        <is>
          <t>Sludge Bomb</t>
        </is>
      </c>
      <c r="H261" s="46" t="n"/>
      <c r="I261" s="58" t="inlineStr">
        <is>
          <t>Fire Fang</t>
        </is>
      </c>
      <c r="J261" s="46" t="n"/>
      <c r="K261" s="61" t="inlineStr">
        <is>
          <t>Aqua Jet</t>
        </is>
      </c>
      <c r="L261" s="46" t="n"/>
      <c r="M261" s="55" t="inlineStr">
        <is>
          <t>Poison Sting</t>
        </is>
      </c>
      <c r="N261" s="46" t="n"/>
      <c r="O261" s="61" t="inlineStr">
        <is>
          <t>Surf</t>
        </is>
      </c>
      <c r="P261" s="46" t="n"/>
    </row>
    <row r="262">
      <c r="E262" s="63" t="inlineStr">
        <is>
          <t>Psychic</t>
        </is>
      </c>
      <c r="F262" s="46" t="n"/>
      <c r="G262" s="59" t="inlineStr">
        <is>
          <t>Sleep Powder</t>
        </is>
      </c>
      <c r="H262" s="46" t="n"/>
      <c r="I262" s="68" t="inlineStr">
        <is>
          <t>Dragon Breath</t>
        </is>
      </c>
      <c r="J262" s="46" t="n"/>
      <c r="K262" s="64" t="inlineStr">
        <is>
          <t>Ice Beam</t>
        </is>
      </c>
      <c r="L262" s="46" t="n"/>
      <c r="M262" s="56" t="inlineStr">
        <is>
          <t>-</t>
        </is>
      </c>
      <c r="N262" s="46" t="n"/>
      <c r="O262" s="59" t="inlineStr">
        <is>
          <t>Grass Knot</t>
        </is>
      </c>
      <c r="P262" s="46" t="n"/>
    </row>
    <row r="263">
      <c r="E263" s="51" t="inlineStr">
        <is>
          <t>Encore</t>
        </is>
      </c>
      <c r="F263" s="46" t="n"/>
      <c r="G263" s="59" t="inlineStr">
        <is>
          <t>Leech Seed</t>
        </is>
      </c>
      <c r="H263" s="46" t="n"/>
      <c r="I263" s="58" t="inlineStr">
        <is>
          <t>Will-O-Wisp</t>
        </is>
      </c>
      <c r="J263" s="46" t="n"/>
      <c r="K263" s="51" t="inlineStr">
        <is>
          <t>Rapid Spin</t>
        </is>
      </c>
      <c r="L263" s="46" t="n"/>
      <c r="M263" s="56" t="inlineStr">
        <is>
          <t>-</t>
        </is>
      </c>
      <c r="N263" s="46" t="n"/>
      <c r="O263" s="52" t="inlineStr">
        <is>
          <t>Thunder Wave</t>
        </is>
      </c>
      <c r="P263" s="46" t="n"/>
    </row>
    <row r="264">
      <c r="E264" s="57" t="inlineStr">
        <is>
          <t>Note: Gen 1 specialist. Beedrill intentionally has only Leech Life + Poison Sting.</t>
        </is>
      </c>
    </row>
  </sheetData>
  <mergeCells count="942">
    <mergeCell ref="K233:L233"/>
    <mergeCell ref="K227:L227"/>
    <mergeCell ref="I257:J257"/>
    <mergeCell ref="K177:L177"/>
    <mergeCell ref="I104:J104"/>
    <mergeCell ref="K33:L33"/>
    <mergeCell ref="M177:N177"/>
    <mergeCell ref="K104:L104"/>
    <mergeCell ref="E162:Q162"/>
    <mergeCell ref="E234:F234"/>
    <mergeCell ref="M79:N79"/>
    <mergeCell ref="E8:F8"/>
    <mergeCell ref="E79:F79"/>
    <mergeCell ref="E73:F73"/>
    <mergeCell ref="K35:L35"/>
    <mergeCell ref="E171:F171"/>
    <mergeCell ref="E164:Q164"/>
    <mergeCell ref="E236:F236"/>
    <mergeCell ref="K252:L252"/>
    <mergeCell ref="E137:F137"/>
    <mergeCell ref="G66:H66"/>
    <mergeCell ref="B129:Q129"/>
    <mergeCell ref="G137:H137"/>
    <mergeCell ref="I66:J66"/>
    <mergeCell ref="O259:P259"/>
    <mergeCell ref="E229:F229"/>
    <mergeCell ref="G229:H229"/>
    <mergeCell ref="M74:N74"/>
    <mergeCell ref="E148:F148"/>
    <mergeCell ref="B142:D142"/>
    <mergeCell ref="K180:L180"/>
    <mergeCell ref="G148:H148"/>
    <mergeCell ref="O139:P139"/>
    <mergeCell ref="G68:H68"/>
    <mergeCell ref="I155:J155"/>
    <mergeCell ref="G139:H139"/>
    <mergeCell ref="K155:L155"/>
    <mergeCell ref="Q123:Q126"/>
    <mergeCell ref="E166:F166"/>
    <mergeCell ref="O261:P261"/>
    <mergeCell ref="G114:H114"/>
    <mergeCell ref="I170:J170"/>
    <mergeCell ref="E153:Q153"/>
    <mergeCell ref="G206:H206"/>
    <mergeCell ref="E1:Q1"/>
    <mergeCell ref="I157:J157"/>
    <mergeCell ref="E168:F168"/>
    <mergeCell ref="K157:L157"/>
    <mergeCell ref="G168:H168"/>
    <mergeCell ref="B190:D190"/>
    <mergeCell ref="I193:J193"/>
    <mergeCell ref="G143:H143"/>
    <mergeCell ref="I172:J172"/>
    <mergeCell ref="K101:L101"/>
    <mergeCell ref="K234:L234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B226:D229"/>
    <mergeCell ref="K223:L223"/>
    <mergeCell ref="E55:F55"/>
    <mergeCell ref="I46:J46"/>
    <mergeCell ref="E67:F67"/>
    <mergeCell ref="G67:H67"/>
    <mergeCell ref="I183:J183"/>
    <mergeCell ref="M216:N216"/>
    <mergeCell ref="K248:L248"/>
    <mergeCell ref="G125:H125"/>
    <mergeCell ref="I54:J54"/>
    <mergeCell ref="I125:J125"/>
    <mergeCell ref="E161:F161"/>
    <mergeCell ref="M218:N218"/>
    <mergeCell ref="G112:H112"/>
    <mergeCell ref="O147:P147"/>
    <mergeCell ref="I212:J212"/>
    <mergeCell ref="I112:J112"/>
    <mergeCell ref="B242:Q242"/>
    <mergeCell ref="G62:H62"/>
    <mergeCell ref="O193:P193"/>
    <mergeCell ref="I56:J56"/>
    <mergeCell ref="K56:L56"/>
    <mergeCell ref="K249:L249"/>
    <mergeCell ref="I43:J43"/>
    <mergeCell ref="I176:J176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G250:H250"/>
    <mergeCell ref="M101:N101"/>
    <mergeCell ref="I201:J201"/>
    <mergeCell ref="B232:D232"/>
    <mergeCell ref="E237:F237"/>
    <mergeCell ref="M234:N234"/>
    <mergeCell ref="M76:N76"/>
    <mergeCell ref="O138:P138"/>
    <mergeCell ref="E187:F187"/>
    <mergeCell ref="E76:F76"/>
    <mergeCell ref="G138:H138"/>
    <mergeCell ref="G76:H76"/>
    <mergeCell ref="I138:J138"/>
    <mergeCell ref="G203:H203"/>
    <mergeCell ref="M165:N165"/>
    <mergeCell ref="E239:F239"/>
    <mergeCell ref="O165:P165"/>
    <mergeCell ref="B21:D21"/>
    <mergeCell ref="M115:N115"/>
    <mergeCell ref="G9:H9"/>
    <mergeCell ref="E18:F18"/>
    <mergeCell ref="E251:F251"/>
    <mergeCell ref="I9:J9"/>
    <mergeCell ref="E238:F238"/>
    <mergeCell ref="B244:D244"/>
    <mergeCell ref="G238:H238"/>
    <mergeCell ref="K25:L25"/>
    <mergeCell ref="K183:L183"/>
    <mergeCell ref="G11:H11"/>
    <mergeCell ref="I207:J207"/>
    <mergeCell ref="I11:J11"/>
    <mergeCell ref="I204:J204"/>
    <mergeCell ref="B55:D58"/>
    <mergeCell ref="K54:L54"/>
    <mergeCell ref="B87:D87"/>
    <mergeCell ref="B5:Q5"/>
    <mergeCell ref="K29:L29"/>
    <mergeCell ref="E29:F29"/>
    <mergeCell ref="B94:Q94"/>
    <mergeCell ref="K262:L262"/>
    <mergeCell ref="E205:F205"/>
    <mergeCell ref="M262:N262"/>
    <mergeCell ref="K237:L237"/>
    <mergeCell ref="E69:F69"/>
    <mergeCell ref="M237:N237"/>
    <mergeCell ref="G69:H69"/>
    <mergeCell ref="E158:F158"/>
    <mergeCell ref="G87:H87"/>
    <mergeCell ref="I87:J87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K176:L176"/>
    <mergeCell ref="E38:Q38"/>
    <mergeCell ref="K97:L97"/>
    <mergeCell ref="G135:H135"/>
    <mergeCell ref="M97:N97"/>
    <mergeCell ref="G51:H51"/>
    <mergeCell ref="I191:J191"/>
    <mergeCell ref="I51:J51"/>
    <mergeCell ref="K191:L191"/>
    <mergeCell ref="K57:L57"/>
    <mergeCell ref="G226:H226"/>
    <mergeCell ref="E186:Q186"/>
    <mergeCell ref="G217:H217"/>
    <mergeCell ref="K171:L171"/>
    <mergeCell ref="M171:N171"/>
    <mergeCell ref="I65:J65"/>
    <mergeCell ref="I192:J192"/>
    <mergeCell ref="E24:F24"/>
    <mergeCell ref="I222:J222"/>
    <mergeCell ref="G251:H251"/>
    <mergeCell ref="M113:N113"/>
    <mergeCell ref="E42:F42"/>
    <mergeCell ref="K123:L123"/>
    <mergeCell ref="E188:F188"/>
    <mergeCell ref="E88:F88"/>
    <mergeCell ref="E126:F126"/>
    <mergeCell ref="M123:N123"/>
    <mergeCell ref="E81:Q81"/>
    <mergeCell ref="O148:P148"/>
    <mergeCell ref="O179:P179"/>
    <mergeCell ref="M250:N250"/>
    <mergeCell ref="E180:F180"/>
    <mergeCell ref="E259:F259"/>
    <mergeCell ref="E240:F240"/>
    <mergeCell ref="O166:P166"/>
    <mergeCell ref="G240:H240"/>
    <mergeCell ref="M212:N212"/>
    <mergeCell ref="E19:F19"/>
    <mergeCell ref="E190:F190"/>
    <mergeCell ref="G19:H19"/>
    <mergeCell ref="G190:H190"/>
    <mergeCell ref="B215:D218"/>
    <mergeCell ref="G146:H146"/>
    <mergeCell ref="M108:N108"/>
    <mergeCell ref="I146:J146"/>
    <mergeCell ref="E182:F182"/>
    <mergeCell ref="I206:J206"/>
    <mergeCell ref="O168:P168"/>
    <mergeCell ref="I181:J181"/>
    <mergeCell ref="O143:P143"/>
    <mergeCell ref="M214:N214"/>
    <mergeCell ref="I12:J12"/>
    <mergeCell ref="G248:H248"/>
    <mergeCell ref="I248:J248"/>
    <mergeCell ref="B32:D32"/>
    <mergeCell ref="B153:D153"/>
    <mergeCell ref="G14:H14"/>
    <mergeCell ref="K245:L245"/>
    <mergeCell ref="I39:J39"/>
    <mergeCell ref="I14:J14"/>
    <mergeCell ref="E107:Q107"/>
    <mergeCell ref="E179:F179"/>
    <mergeCell ref="E28:Q28"/>
    <mergeCell ref="I78:J78"/>
    <mergeCell ref="K103:L103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B179:D179"/>
    <mergeCell ref="G136:H136"/>
    <mergeCell ref="M98:N98"/>
    <mergeCell ref="K217:L217"/>
    <mergeCell ref="I136:J136"/>
    <mergeCell ref="E203:F203"/>
    <mergeCell ref="K192:L192"/>
    <mergeCell ref="G228:H228"/>
    <mergeCell ref="I228:J228"/>
    <mergeCell ref="I225:J225"/>
    <mergeCell ref="Q147:Q150"/>
    <mergeCell ref="I200:J200"/>
    <mergeCell ref="B168:D168"/>
    <mergeCell ref="I194:J194"/>
    <mergeCell ref="B197:Q197"/>
    <mergeCell ref="I25:J25"/>
    <mergeCell ref="K194:L194"/>
    <mergeCell ref="E63:F63"/>
    <mergeCell ref="K181:L181"/>
    <mergeCell ref="I58:J58"/>
    <mergeCell ref="K58:L58"/>
    <mergeCell ref="M187:N187"/>
    <mergeCell ref="B77:D80"/>
    <mergeCell ref="K52:L52"/>
    <mergeCell ref="O187:P187"/>
    <mergeCell ref="I223:J223"/>
    <mergeCell ref="E261:F261"/>
    <mergeCell ref="M246:N246"/>
    <mergeCell ref="G108:H108"/>
    <mergeCell ref="M124:N124"/>
    <mergeCell ref="E131:Q131"/>
    <mergeCell ref="M251:N251"/>
    <mergeCell ref="M18:N18"/>
    <mergeCell ref="K260:L260"/>
    <mergeCell ref="E119:F119"/>
    <mergeCell ref="M238:N238"/>
    <mergeCell ref="O238:P238"/>
    <mergeCell ref="E91:F91"/>
    <mergeCell ref="M126:N126"/>
    <mergeCell ref="O188:P188"/>
    <mergeCell ref="E85:F85"/>
    <mergeCell ref="G91:H91"/>
    <mergeCell ref="O182:P182"/>
    <mergeCell ref="G85:H85"/>
    <mergeCell ref="E183:F183"/>
    <mergeCell ref="E256:F256"/>
    <mergeCell ref="G256:H256"/>
    <mergeCell ref="G183:H183"/>
    <mergeCell ref="Q66:Q69"/>
    <mergeCell ref="O240:P240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Q158:Q161"/>
    <mergeCell ref="B158:D161"/>
    <mergeCell ref="I149:J149"/>
    <mergeCell ref="K78:L78"/>
    <mergeCell ref="B111:D111"/>
    <mergeCell ref="G193:H193"/>
    <mergeCell ref="K205:L205"/>
    <mergeCell ref="B259:D259"/>
    <mergeCell ref="B225:D225"/>
    <mergeCell ref="B260:D263"/>
    <mergeCell ref="I15:J15"/>
    <mergeCell ref="G257:H257"/>
    <mergeCell ref="E122:F122"/>
    <mergeCell ref="I80:J80"/>
    <mergeCell ref="B175:D175"/>
    <mergeCell ref="K80:L80"/>
    <mergeCell ref="K55:L55"/>
    <mergeCell ref="K79:L79"/>
    <mergeCell ref="I144:J144"/>
    <mergeCell ref="K144:L144"/>
    <mergeCell ref="M73:N73"/>
    <mergeCell ref="E147:F147"/>
    <mergeCell ref="M144:N144"/>
    <mergeCell ref="Q55:Q58"/>
    <mergeCell ref="K119:L119"/>
    <mergeCell ref="M137:N137"/>
    <mergeCell ref="E40:F40"/>
    <mergeCell ref="O137:P137"/>
    <mergeCell ref="E211:F211"/>
    <mergeCell ref="M183:N183"/>
    <mergeCell ref="E127:Q127"/>
    <mergeCell ref="A1:D3"/>
    <mergeCell ref="O177:P177"/>
    <mergeCell ref="G177:H177"/>
    <mergeCell ref="E104:F104"/>
    <mergeCell ref="G33:H33"/>
    <mergeCell ref="M139:N139"/>
    <mergeCell ref="G104:H104"/>
    <mergeCell ref="I33:J33"/>
    <mergeCell ref="I177:J177"/>
    <mergeCell ref="G204:H204"/>
    <mergeCell ref="I226:J226"/>
    <mergeCell ref="I8:J8"/>
    <mergeCell ref="G35:H35"/>
    <mergeCell ref="M24:N24"/>
    <mergeCell ref="I35:J35"/>
    <mergeCell ref="G252:H252"/>
    <mergeCell ref="K222:L222"/>
    <mergeCell ref="K66:L66"/>
    <mergeCell ref="K259:L259"/>
    <mergeCell ref="M259:N259"/>
    <mergeCell ref="E66:F66"/>
    <mergeCell ref="K124:L124"/>
    <mergeCell ref="I74:J74"/>
    <mergeCell ref="K74:L74"/>
    <mergeCell ref="K68:L68"/>
    <mergeCell ref="M261:N261"/>
    <mergeCell ref="E68:F68"/>
    <mergeCell ref="G155:H155"/>
    <mergeCell ref="O190:P190"/>
    <mergeCell ref="M188:N188"/>
    <mergeCell ref="Q77:Q80"/>
    <mergeCell ref="E160:F160"/>
    <mergeCell ref="M132:N132"/>
    <mergeCell ref="E135:F135"/>
    <mergeCell ref="Q43:Q46"/>
    <mergeCell ref="E132:F132"/>
    <mergeCell ref="O132:P132"/>
    <mergeCell ref="M119:N119"/>
    <mergeCell ref="G132:H132"/>
    <mergeCell ref="G157:H157"/>
    <mergeCell ref="G122:H122"/>
    <mergeCell ref="G101:H101"/>
    <mergeCell ref="E143:F143"/>
    <mergeCell ref="G172:H172"/>
    <mergeCell ref="O256:P256"/>
    <mergeCell ref="I150:J150"/>
    <mergeCell ref="E50:Q50"/>
    <mergeCell ref="K150:L150"/>
    <mergeCell ref="B169:D172"/>
    <mergeCell ref="I215:J215"/>
    <mergeCell ref="B164:D164"/>
    <mergeCell ref="I165:J165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I245:J245"/>
    <mergeCell ref="M122:N122"/>
    <mergeCell ref="E56:F56"/>
    <mergeCell ref="K18:L18"/>
    <mergeCell ref="G56:H56"/>
    <mergeCell ref="E43:F43"/>
    <mergeCell ref="M211:N211"/>
    <mergeCell ref="I34:J34"/>
    <mergeCell ref="G43:H43"/>
    <mergeCell ref="E214:F214"/>
    <mergeCell ref="K34:L3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234:J234"/>
    <mergeCell ref="M236:N236"/>
    <mergeCell ref="I113:J113"/>
    <mergeCell ref="I100:J100"/>
    <mergeCell ref="E138:F138"/>
    <mergeCell ref="K100:L100"/>
    <mergeCell ref="B22:D25"/>
    <mergeCell ref="K165:L165"/>
    <mergeCell ref="I115:J115"/>
    <mergeCell ref="E9:F9"/>
    <mergeCell ref="I102:J102"/>
    <mergeCell ref="K102:L102"/>
    <mergeCell ref="K229:L229"/>
    <mergeCell ref="M158:N158"/>
    <mergeCell ref="Q180:Q183"/>
    <mergeCell ref="O183:P183"/>
    <mergeCell ref="O158:P158"/>
    <mergeCell ref="K77:L77"/>
    <mergeCell ref="M77:N77"/>
    <mergeCell ref="M133:N133"/>
    <mergeCell ref="E83:Q83"/>
    <mergeCell ref="E207:F207"/>
    <mergeCell ref="E11:F11"/>
    <mergeCell ref="O133:P133"/>
    <mergeCell ref="G207:H207"/>
    <mergeCell ref="K204:L204"/>
    <mergeCell ref="E169:F169"/>
    <mergeCell ref="E225:F225"/>
    <mergeCell ref="M160:N160"/>
    <mergeCell ref="G225:H225"/>
    <mergeCell ref="Q169:Q172"/>
    <mergeCell ref="M135:N135"/>
    <mergeCell ref="G29:H29"/>
    <mergeCell ref="G200:H200"/>
    <mergeCell ref="O135:P135"/>
    <mergeCell ref="I29:J29"/>
    <mergeCell ref="K246:L246"/>
    <mergeCell ref="O257:P257"/>
    <mergeCell ref="O262:P262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G176:H176"/>
    <mergeCell ref="G97:H97"/>
    <mergeCell ref="K88:L88"/>
    <mergeCell ref="M88:N88"/>
    <mergeCell ref="Q260:Q263"/>
    <mergeCell ref="M148:N148"/>
    <mergeCell ref="E51:F51"/>
    <mergeCell ref="Q88:Q91"/>
    <mergeCell ref="B66:D69"/>
    <mergeCell ref="G57:H57"/>
    <mergeCell ref="K90:L90"/>
    <mergeCell ref="E155:F155"/>
    <mergeCell ref="M90:N90"/>
    <mergeCell ref="K261:L261"/>
    <mergeCell ref="O146:P146"/>
    <mergeCell ref="G171:H171"/>
    <mergeCell ref="I171:J171"/>
    <mergeCell ref="E65:F65"/>
    <mergeCell ref="E142:Q142"/>
    <mergeCell ref="E157:F157"/>
    <mergeCell ref="E222:F222"/>
    <mergeCell ref="K115:L115"/>
    <mergeCell ref="I42:J42"/>
    <mergeCell ref="G222:H222"/>
    <mergeCell ref="G58:H58"/>
    <mergeCell ref="B135:D135"/>
    <mergeCell ref="E244:Q244"/>
    <mergeCell ref="G123:H123"/>
    <mergeCell ref="I52:J52"/>
    <mergeCell ref="M85:N85"/>
    <mergeCell ref="I123:J123"/>
    <mergeCell ref="E193:F193"/>
    <mergeCell ref="I250:J250"/>
    <mergeCell ref="K179:L179"/>
    <mergeCell ref="G215:H215"/>
    <mergeCell ref="K250:L250"/>
    <mergeCell ref="I44:J44"/>
    <mergeCell ref="B72:D72"/>
    <mergeCell ref="I166:J166"/>
    <mergeCell ref="K166:L166"/>
    <mergeCell ref="M179:N179"/>
    <mergeCell ref="B199:D199"/>
    <mergeCell ref="M166:N166"/>
    <mergeCell ref="E173:Q173"/>
    <mergeCell ref="E246:F246"/>
    <mergeCell ref="E146:F146"/>
    <mergeCell ref="K168:L168"/>
    <mergeCell ref="E233:F233"/>
    <mergeCell ref="K143:L143"/>
    <mergeCell ref="E12:F12"/>
    <mergeCell ref="M143:N143"/>
    <mergeCell ref="G12:H12"/>
    <mergeCell ref="E248:F248"/>
    <mergeCell ref="Q12:Q15"/>
    <mergeCell ref="B17:D17"/>
    <mergeCell ref="E14:F14"/>
    <mergeCell ref="O136:P136"/>
    <mergeCell ref="O263:P263"/>
    <mergeCell ref="B237:D240"/>
    <mergeCell ref="K21:L21"/>
    <mergeCell ref="I57:J57"/>
    <mergeCell ref="E199:Q199"/>
    <mergeCell ref="E255:Q255"/>
    <mergeCell ref="B146:D146"/>
    <mergeCell ref="I32:J32"/>
    <mergeCell ref="K32:L32"/>
    <mergeCell ref="E170:F170"/>
    <mergeCell ref="K63:L63"/>
    <mergeCell ref="Q249:Q252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M154:N154"/>
    <mergeCell ref="E154:F154"/>
    <mergeCell ref="O154:P154"/>
    <mergeCell ref="G154:H154"/>
    <mergeCell ref="G246:H246"/>
    <mergeCell ref="E172:F172"/>
    <mergeCell ref="M91:N91"/>
    <mergeCell ref="E25:F25"/>
    <mergeCell ref="G25:H25"/>
    <mergeCell ref="M155:N155"/>
    <mergeCell ref="E58:F58"/>
    <mergeCell ref="G236:H236"/>
    <mergeCell ref="I187:J187"/>
    <mergeCell ref="O149:P149"/>
    <mergeCell ref="E223:F223"/>
    <mergeCell ref="K187:L187"/>
    <mergeCell ref="G223:H223"/>
    <mergeCell ref="I124:J124"/>
    <mergeCell ref="I251:J251"/>
    <mergeCell ref="K251:L251"/>
    <mergeCell ref="I45:J45"/>
    <mergeCell ref="M180:N180"/>
    <mergeCell ref="K238:L238"/>
    <mergeCell ref="G126:H126"/>
    <mergeCell ref="I188:J188"/>
    <mergeCell ref="I126:J126"/>
    <mergeCell ref="K188:L188"/>
    <mergeCell ref="K126:L126"/>
    <mergeCell ref="K182:L182"/>
    <mergeCell ref="M182:N182"/>
    <mergeCell ref="K109:L109"/>
    <mergeCell ref="I218:J218"/>
    <mergeCell ref="K169:L169"/>
    <mergeCell ref="M109:N109"/>
    <mergeCell ref="K240:L240"/>
    <mergeCell ref="M169:N169"/>
    <mergeCell ref="E177:F177"/>
    <mergeCell ref="E13:F13"/>
    <mergeCell ref="E84:F84"/>
    <mergeCell ref="G13:H13"/>
    <mergeCell ref="E78:F78"/>
    <mergeCell ref="E249:F249"/>
    <mergeCell ref="E149:F149"/>
    <mergeCell ref="G78:H78"/>
    <mergeCell ref="K111:L111"/>
    <mergeCell ref="E176:F176"/>
    <mergeCell ref="E114:F114"/>
    <mergeCell ref="G205:H205"/>
    <mergeCell ref="M233:N233"/>
    <mergeCell ref="Q22:Q25"/>
    <mergeCell ref="I205:J205"/>
    <mergeCell ref="O233:P233"/>
    <mergeCell ref="G249:H249"/>
    <mergeCell ref="K257:L257"/>
    <mergeCell ref="E15:F15"/>
    <mergeCell ref="E92:Q92"/>
    <mergeCell ref="E257:F257"/>
    <mergeCell ref="G15:H15"/>
    <mergeCell ref="E191:F191"/>
    <mergeCell ref="E80:F80"/>
    <mergeCell ref="M248:N248"/>
    <mergeCell ref="M104:N104"/>
    <mergeCell ref="G80:H80"/>
    <mergeCell ref="Q191:Q194"/>
    <mergeCell ref="G234:H234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I137:J137"/>
    <mergeCell ref="K137:L137"/>
    <mergeCell ref="O180:P180"/>
    <mergeCell ref="I139:J139"/>
    <mergeCell ref="K201:L201"/>
    <mergeCell ref="B123:D126"/>
    <mergeCell ref="K139:L139"/>
    <mergeCell ref="E33:F33"/>
    <mergeCell ref="O155:P155"/>
    <mergeCell ref="E204:F204"/>
    <mergeCell ref="E26:Q26"/>
    <mergeCell ref="Q112:Q115"/>
    <mergeCell ref="K226:L226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K228:L228"/>
    <mergeCell ref="E35:F35"/>
    <mergeCell ref="O157:P157"/>
    <mergeCell ref="E206:F206"/>
    <mergeCell ref="E262:F262"/>
    <mergeCell ref="G262:H262"/>
    <mergeCell ref="E184:Q184"/>
    <mergeCell ref="M172:N172"/>
    <mergeCell ref="O234:P234"/>
    <mergeCell ref="O172:P172"/>
    <mergeCell ref="B12:D15"/>
    <mergeCell ref="E195:Q195"/>
    <mergeCell ref="E74:F74"/>
    <mergeCell ref="E245:F245"/>
    <mergeCell ref="G74:H74"/>
    <mergeCell ref="G239:H239"/>
    <mergeCell ref="O236:P236"/>
    <mergeCell ref="E151:Q151"/>
    <mergeCell ref="I68:J68"/>
    <mergeCell ref="E30:F30"/>
    <mergeCell ref="I190:J190"/>
    <mergeCell ref="K190:L190"/>
    <mergeCell ref="G30:H30"/>
    <mergeCell ref="E17:Q17"/>
    <mergeCell ref="I55:J55"/>
    <mergeCell ref="B136:D139"/>
    <mergeCell ref="E253:Q253"/>
    <mergeCell ref="I67:J67"/>
    <mergeCell ref="I132:J132"/>
    <mergeCell ref="K132:L132"/>
    <mergeCell ref="K125:L125"/>
    <mergeCell ref="M125:N125"/>
    <mergeCell ref="K112:L112"/>
    <mergeCell ref="M256:N256"/>
    <mergeCell ref="G150:H150"/>
    <mergeCell ref="M112:N112"/>
    <mergeCell ref="E217:F217"/>
    <mergeCell ref="K62:L62"/>
    <mergeCell ref="K193:L193"/>
    <mergeCell ref="E21:F21"/>
    <mergeCell ref="E192:F192"/>
    <mergeCell ref="M249:N249"/>
    <mergeCell ref="G21:H21"/>
    <mergeCell ref="E263:F263"/>
    <mergeCell ref="M176:N176"/>
    <mergeCell ref="M114:N114"/>
    <mergeCell ref="Q136:Q139"/>
    <mergeCell ref="O170:P170"/>
    <mergeCell ref="B157:D157"/>
    <mergeCell ref="E23:F23"/>
    <mergeCell ref="E194:F194"/>
    <mergeCell ref="G23:H23"/>
    <mergeCell ref="G194:H194"/>
    <mergeCell ref="E181:F181"/>
    <mergeCell ref="G181:H181"/>
    <mergeCell ref="G237:H237"/>
    <mergeCell ref="I237:J237"/>
    <mergeCell ref="B28:D28"/>
    <mergeCell ref="E208:Q208"/>
    <mergeCell ref="G160:H160"/>
    <mergeCell ref="E87:F87"/>
    <mergeCell ref="B186:D186"/>
    <mergeCell ref="G147:H147"/>
    <mergeCell ref="I76:J76"/>
    <mergeCell ref="K138:L138"/>
    <mergeCell ref="I147:J147"/>
    <mergeCell ref="K76:L76"/>
    <mergeCell ref="M138:N138"/>
    <mergeCell ref="O171:P171"/>
    <mergeCell ref="I203:J203"/>
    <mergeCell ref="E96:Q96"/>
    <mergeCell ref="K203:L203"/>
    <mergeCell ref="I239:J239"/>
    <mergeCell ref="I122:J122"/>
    <mergeCell ref="G245:H245"/>
    <mergeCell ref="E210:Q210"/>
    <mergeCell ref="G18:H18"/>
    <mergeCell ref="I214:J214"/>
    <mergeCell ref="I18:J18"/>
    <mergeCell ref="E34:F34"/>
    <mergeCell ref="I238:J238"/>
    <mergeCell ref="M25:N25"/>
    <mergeCell ref="G34:H34"/>
    <mergeCell ref="K67:L67"/>
    <mergeCell ref="B180:D183"/>
    <mergeCell ref="E36:F36"/>
    <mergeCell ref="E140:Q140"/>
    <mergeCell ref="E101:F101"/>
    <mergeCell ref="I236:J236"/>
    <mergeCell ref="B54:D54"/>
    <mergeCell ref="E113:F113"/>
    <mergeCell ref="M100:N100"/>
    <mergeCell ref="G113:H113"/>
    <mergeCell ref="E221:Q221"/>
    <mergeCell ref="E100:F100"/>
    <mergeCell ref="G100:H100"/>
    <mergeCell ref="E136:F136"/>
    <mergeCell ref="G165:H165"/>
    <mergeCell ref="B249:D252"/>
    <mergeCell ref="E115:F115"/>
    <mergeCell ref="G44:H44"/>
    <mergeCell ref="O237:P237"/>
    <mergeCell ref="I69:J69"/>
    <mergeCell ref="M102:N102"/>
    <mergeCell ref="K69:L69"/>
    <mergeCell ref="E102:F102"/>
    <mergeCell ref="G102:H102"/>
    <mergeCell ref="G158:H158"/>
    <mergeCell ref="E2:Q2"/>
    <mergeCell ref="I158:J158"/>
    <mergeCell ref="K158:L158"/>
    <mergeCell ref="G77:H77"/>
    <mergeCell ref="I77:J77"/>
    <mergeCell ref="B107:D107"/>
    <mergeCell ref="I108:J108"/>
    <mergeCell ref="E116:Q116"/>
    <mergeCell ref="I133:J133"/>
    <mergeCell ref="K133:L133"/>
    <mergeCell ref="G169:H169"/>
    <mergeCell ref="O160:P160"/>
    <mergeCell ref="O239:P239"/>
    <mergeCell ref="M193:N193"/>
    <mergeCell ref="I160:J160"/>
    <mergeCell ref="M190:N190"/>
    <mergeCell ref="O176:P176"/>
    <mergeCell ref="I135:J135"/>
    <mergeCell ref="G233:H233"/>
    <mergeCell ref="K135:L135"/>
    <mergeCell ref="E200:F200"/>
    <mergeCell ref="I233:J233"/>
    <mergeCell ref="M257:N257"/>
    <mergeCell ref="K51:L51"/>
    <mergeCell ref="M191:N191"/>
    <mergeCell ref="K122:L122"/>
    <mergeCell ref="O191:P191"/>
    <mergeCell ref="I227:J227"/>
    <mergeCell ref="E264:Q264"/>
    <mergeCell ref="G191:H191"/>
    <mergeCell ref="Q226:Q229"/>
    <mergeCell ref="M21:N21"/>
    <mergeCell ref="M192:N192"/>
    <mergeCell ref="G24:H24"/>
    <mergeCell ref="O192:P192"/>
    <mergeCell ref="E260:F260"/>
    <mergeCell ref="I24:J24"/>
    <mergeCell ref="G260:H260"/>
    <mergeCell ref="B43:D46"/>
    <mergeCell ref="I211:J211"/>
    <mergeCell ref="K211:L211"/>
    <mergeCell ref="B100:D100"/>
    <mergeCell ref="G88:H88"/>
    <mergeCell ref="G259:H259"/>
    <mergeCell ref="I88:J88"/>
    <mergeCell ref="E124:F124"/>
    <mergeCell ref="I148:J148"/>
    <mergeCell ref="I259:J259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K212:L212"/>
    <mergeCell ref="K146:L146"/>
    <mergeCell ref="K206:L206"/>
    <mergeCell ref="M146:N146"/>
    <mergeCell ref="M181:N181"/>
    <mergeCell ref="M252:N252"/>
    <mergeCell ref="K214:L214"/>
    <mergeCell ref="G115:H115"/>
    <mergeCell ref="G42:H42"/>
    <mergeCell ref="M245:N245"/>
    <mergeCell ref="E52:F52"/>
    <mergeCell ref="I256:J256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G166:H166"/>
    <mergeCell ref="E215:F215"/>
    <mergeCell ref="Q215:Q218"/>
    <mergeCell ref="B255:D255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I143:J143"/>
    <mergeCell ref="I161:J161"/>
    <mergeCell ref="K161:L161"/>
    <mergeCell ref="E226:F226"/>
    <mergeCell ref="B50:D50"/>
    <mergeCell ref="M217:N217"/>
    <mergeCell ref="B221:D221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3:N23"/>
    <mergeCell ref="G32:H32"/>
    <mergeCell ref="G63:H63"/>
    <mergeCell ref="K65:L65"/>
    <mergeCell ref="M194:N194"/>
    <mergeCell ref="I63:J63"/>
    <mergeCell ref="O194:P194"/>
    <mergeCell ref="O181:P181"/>
    <mergeCell ref="B248:D248"/>
    <mergeCell ref="I90:J90"/>
    <mergeCell ref="I261:J261"/>
    <mergeCell ref="G52:H52"/>
    <mergeCell ref="E98:F98"/>
    <mergeCell ref="K108:L108"/>
    <mergeCell ref="G98:H98"/>
    <mergeCell ref="M260:N260"/>
    <mergeCell ref="O260:P260"/>
    <mergeCell ref="I154:J154"/>
    <mergeCell ref="E165:F165"/>
    <mergeCell ref="K154:L154"/>
    <mergeCell ref="I91:J91"/>
    <mergeCell ref="I85:J85"/>
    <mergeCell ref="K91:L91"/>
    <mergeCell ref="K85:L85"/>
    <mergeCell ref="B118:D118"/>
    <mergeCell ref="K256:L256"/>
    <mergeCell ref="I22:J22"/>
    <mergeCell ref="K84:L84"/>
    <mergeCell ref="K22:L22"/>
    <mergeCell ref="M84:N84"/>
    <mergeCell ref="M22:N22"/>
    <mergeCell ref="K149:L149"/>
    <mergeCell ref="G187:H187"/>
    <mergeCell ref="M149:N149"/>
    <mergeCell ref="G124:H124"/>
    <mergeCell ref="G180:H180"/>
    <mergeCell ref="E45:F45"/>
    <mergeCell ref="M80:N80"/>
    <mergeCell ref="I180:J180"/>
    <mergeCell ref="G45:H45"/>
    <mergeCell ref="E216:F216"/>
    <mergeCell ref="G216:H216"/>
    <mergeCell ref="B7:D7"/>
    <mergeCell ref="G55:H55"/>
    <mergeCell ref="B191:D194"/>
    <mergeCell ref="G188:H188"/>
    <mergeCell ref="G182:H182"/>
    <mergeCell ref="E230:Q230"/>
    <mergeCell ref="O169:P169"/>
    <mergeCell ref="G109:H109"/>
    <mergeCell ref="O144:P144"/>
    <mergeCell ref="I182:J182"/>
    <mergeCell ref="I109:J109"/>
    <mergeCell ref="E218:F218"/>
    <mergeCell ref="I169:J169"/>
    <mergeCell ref="G218:H218"/>
    <mergeCell ref="B131:D131"/>
    <mergeCell ref="Q237:Q240"/>
    <mergeCell ref="B236:D236"/>
    <mergeCell ref="G119:H119"/>
    <mergeCell ref="I119:J119"/>
    <mergeCell ref="G46:H46"/>
    <mergeCell ref="E232:Q232"/>
    <mergeCell ref="I246:J246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2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104 / Rustboro City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Rival</t>
        </is>
      </c>
      <c r="C7" s="41" t="n"/>
      <c r="D7" s="41" t="n"/>
      <c r="E7" s="42" t="inlineStr">
        <is>
          <t>Rival Brendan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IFERROR(_xlfn.IMAGE("https://play.pokemonshowdown.com/sprites/gen5/wingull.png"),"")</f>
        <v/>
      </c>
      <c r="G8" s="43">
        <f>IFERROR(_xlfn.IMAGE("https://play.pokemonshowdown.com/sprites/gen5/treecko.png"),"")</f>
        <v/>
      </c>
    </row>
    <row r="9">
      <c r="E9" s="45" t="inlineStr">
        <is>
          <t>Lv 13 Wingull</t>
        </is>
      </c>
      <c r="F9" s="46" t="n"/>
      <c r="G9" s="45" t="inlineStr">
        <is>
          <t>Lv 15 Treecko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Gluttony</t>
        </is>
      </c>
      <c r="G10" s="48" t="inlineStr">
        <is>
          <t>Hardy</t>
        </is>
      </c>
      <c r="H10" s="48" t="inlineStr">
        <is>
          <t>Overgrow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0" t="inlineStr">
        <is>
          <t>Peck</t>
        </is>
      </c>
      <c r="F12" s="46" t="n"/>
      <c r="G12" s="51" t="inlineStr">
        <is>
          <t>Pound</t>
        </is>
      </c>
      <c r="H12" s="46" t="n"/>
      <c r="Q12" s="47" t="inlineStr">
        <is>
          <t>Moves</t>
        </is>
      </c>
    </row>
    <row r="13">
      <c r="E13" s="61" t="inlineStr">
        <is>
          <t>Water Gun</t>
        </is>
      </c>
      <c r="F13" s="46" t="n"/>
      <c r="G13" s="59" t="inlineStr">
        <is>
          <t>Mega Drain</t>
        </is>
      </c>
      <c r="H13" s="46" t="n"/>
    </row>
    <row r="14">
      <c r="E14" s="51" t="inlineStr">
        <is>
          <t>Supersonic</t>
        </is>
      </c>
      <c r="F14" s="46" t="n"/>
      <c r="G14" s="65" t="inlineStr">
        <is>
          <t>Seismic Toss</t>
        </is>
      </c>
      <c r="H14" s="46" t="n"/>
    </row>
    <row r="15">
      <c r="E15" s="50" t="inlineStr">
        <is>
          <t>Bite</t>
        </is>
      </c>
      <c r="F15" s="46" t="n"/>
      <c r="G15" s="50" t="inlineStr">
        <is>
          <t>Bite</t>
        </is>
      </c>
      <c r="H15" s="46" t="n"/>
    </row>
    <row r="17" ht="20" customHeight="1">
      <c r="B17" s="40" t="inlineStr">
        <is>
          <t>Rival</t>
        </is>
      </c>
      <c r="C17" s="41" t="n"/>
      <c r="D17" s="41" t="n"/>
      <c r="E17" s="42" t="inlineStr">
        <is>
          <t>Rival Brendan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IFERROR(_xlfn.IMAGE("https://play.pokemonshowdown.com/sprites/gen5/slugma.png"),"")</f>
        <v/>
      </c>
      <c r="G18" s="43">
        <f>IFERROR(_xlfn.IMAGE("https://play.pokemonshowdown.com/sprites/gen5/mudkip.png"),"")</f>
        <v/>
      </c>
    </row>
    <row r="19">
      <c r="E19" s="45" t="inlineStr">
        <is>
          <t>Lv 13 Slugma</t>
        </is>
      </c>
      <c r="F19" s="46" t="n"/>
      <c r="G19" s="45" t="inlineStr">
        <is>
          <t>Lv 15 Mudkip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Magma Armor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8" t="inlineStr">
        <is>
          <t>Fire Spin</t>
        </is>
      </c>
      <c r="F22" s="46" t="n"/>
      <c r="G22" s="61" t="inlineStr">
        <is>
          <t>Water Gun</t>
        </is>
      </c>
      <c r="H22" s="46" t="n"/>
      <c r="Q22" s="47" t="inlineStr">
        <is>
          <t>Moves</t>
        </is>
      </c>
    </row>
    <row r="23">
      <c r="E23" s="55" t="inlineStr">
        <is>
          <t>Smog</t>
        </is>
      </c>
      <c r="F23" s="46" t="n"/>
      <c r="G23" s="53" t="inlineStr">
        <is>
          <t>Mud Slap</t>
        </is>
      </c>
      <c r="H23" s="46" t="n"/>
    </row>
    <row r="24">
      <c r="E24" s="62" t="inlineStr">
        <is>
          <t>Rock Throw</t>
        </is>
      </c>
      <c r="F24" s="46" t="n"/>
      <c r="G24" s="62" t="inlineStr">
        <is>
          <t>Rock Throw</t>
        </is>
      </c>
      <c r="H24" s="46" t="n"/>
    </row>
    <row r="25">
      <c r="E25" s="51" t="inlineStr">
        <is>
          <t>Recover</t>
        </is>
      </c>
      <c r="F25" s="46" t="n"/>
      <c r="G25" s="65" t="inlineStr">
        <is>
          <t>Rock Smash</t>
        </is>
      </c>
      <c r="H25" s="46" t="n"/>
    </row>
    <row r="27" ht="20" customHeight="1">
      <c r="B27" s="40" t="inlineStr">
        <is>
          <t>Rival</t>
        </is>
      </c>
      <c r="C27" s="41" t="n"/>
      <c r="D27" s="41" t="n"/>
      <c r="E27" s="42" t="inlineStr">
        <is>
          <t>Rival Brendan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IFERROR(_xlfn.IMAGE("https://play.pokemonshowdown.com/sprites/gen5/lotad.png"),"")</f>
        <v/>
      </c>
      <c r="G28" s="43">
        <f>IFERROR(_xlfn.IMAGE("https://play.pokemonshowdown.com/sprites/gen5/torchic.png"),"")</f>
        <v/>
      </c>
    </row>
    <row r="29">
      <c r="E29" s="45" t="inlineStr">
        <is>
          <t>Lv 13 Lotad</t>
        </is>
      </c>
      <c r="F29" s="46" t="n"/>
      <c r="G29" s="45" t="inlineStr">
        <is>
          <t>Lv 15 Torchic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Blaze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67" t="inlineStr">
        <is>
          <t>Astonish</t>
        </is>
      </c>
      <c r="F32" s="46" t="n"/>
      <c r="G32" s="51" t="inlineStr">
        <is>
          <t>Scratch</t>
        </is>
      </c>
      <c r="H32" s="46" t="n"/>
      <c r="Q32" s="47" t="inlineStr">
        <is>
          <t>Moves</t>
        </is>
      </c>
    </row>
    <row r="33">
      <c r="E33" s="59" t="inlineStr">
        <is>
          <t>Razor Leaf</t>
        </is>
      </c>
      <c r="F33" s="46" t="n"/>
      <c r="G33" s="60" t="inlineStr">
        <is>
          <t>Peck</t>
        </is>
      </c>
      <c r="H33" s="46" t="n"/>
    </row>
    <row r="34">
      <c r="E34" s="61" t="inlineStr">
        <is>
          <t>Water Gun</t>
        </is>
      </c>
      <c r="F34" s="46" t="n"/>
      <c r="G34" s="58" t="inlineStr">
        <is>
          <t>Ember</t>
        </is>
      </c>
      <c r="H34" s="46" t="n"/>
    </row>
    <row r="35">
      <c r="E35" s="50" t="inlineStr">
        <is>
          <t>Absorb</t>
        </is>
      </c>
      <c r="F35" s="46" t="n"/>
      <c r="G35" s="65" t="inlineStr">
        <is>
          <t>Double Kick</t>
        </is>
      </c>
      <c r="H35" s="46" t="n"/>
    </row>
    <row r="37" ht="24" customHeight="1">
      <c r="B37" s="38" t="inlineStr">
        <is>
          <t>Route 104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Lady</t>
        </is>
      </c>
      <c r="C39" s="41" t="n"/>
      <c r="D39" s="41" t="n"/>
      <c r="E39" s="42" t="inlineStr">
        <is>
          <t>Lady Cindy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IFERROR(_xlfn.IMAGE("https://play.pokemonshowdown.com/sprites/gen5/zigzagoon.png"),"")</f>
        <v/>
      </c>
      <c r="Q40" s="44" t="inlineStr">
        <is>
          <t>Forced on sight (range 4)
Items: Full Restore</t>
        </is>
      </c>
    </row>
    <row r="41">
      <c r="E41" s="45" t="inlineStr">
        <is>
          <t>Lv 7 Zigzagoon</t>
        </is>
      </c>
      <c r="F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Gluttony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Nugget</t>
        </is>
      </c>
      <c r="F43" s="46" t="n"/>
      <c r="Q43" s="47" t="inlineStr">
        <is>
          <t>Item</t>
        </is>
      </c>
    </row>
    <row r="44">
      <c r="B44" s="44" t="inlineStr">
        <is>
          <t>Smart Trainer</t>
        </is>
      </c>
      <c r="E44" s="51" t="inlineStr">
        <is>
          <t>Quick Attack</t>
        </is>
      </c>
      <c r="F44" s="46" t="n"/>
      <c r="Q44" s="47" t="inlineStr">
        <is>
          <t>Moves</t>
        </is>
      </c>
    </row>
    <row r="45">
      <c r="E45" s="53" t="inlineStr">
        <is>
          <t>Sand Attack</t>
        </is>
      </c>
      <c r="F45" s="46" t="n"/>
    </row>
    <row r="46">
      <c r="E46" s="50" t="inlineStr">
        <is>
          <t>Bite</t>
        </is>
      </c>
      <c r="F46" s="46" t="n"/>
    </row>
    <row r="47">
      <c r="E47" s="56" t="inlineStr">
        <is>
          <t>-</t>
        </is>
      </c>
      <c r="F47" s="46" t="n"/>
    </row>
    <row r="49" ht="20" customHeight="1">
      <c r="B49" s="40" t="inlineStr">
        <is>
          <t>Twins</t>
        </is>
      </c>
      <c r="C49" s="41" t="n"/>
      <c r="D49" s="41" t="n"/>
      <c r="E49" s="42" t="inlineStr">
        <is>
          <t>Twins Gina &amp; Mia</t>
        </is>
      </c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</row>
    <row r="50" ht="69" customHeight="1">
      <c r="E50" s="43">
        <f>IFERROR(_xlfn.IMAGE("https://play.pokemonshowdown.com/sprites/gen5/seedot.png"),"")</f>
        <v/>
      </c>
      <c r="G50" s="43">
        <f>IFERROR(_xlfn.IMAGE("https://play.pokemonshowdown.com/sprites/gen5/lotad.png"),"")</f>
        <v/>
      </c>
      <c r="Q50" s="44" t="inlineStr">
        <is>
          <t>DOUBLE BATTLE
Forced on sight (range 1)</t>
        </is>
      </c>
    </row>
    <row r="51">
      <c r="E51" s="45" t="inlineStr">
        <is>
          <t>Lv 6 Seedot</t>
        </is>
      </c>
      <c r="F51" s="46" t="n"/>
      <c r="G51" s="45" t="inlineStr">
        <is>
          <t>Lv 6 Lotad</t>
        </is>
      </c>
      <c r="H51" s="46" t="n"/>
      <c r="Q51" s="47" t="inlineStr">
        <is>
          <t>Pokémon</t>
        </is>
      </c>
    </row>
    <row r="52">
      <c r="E52" s="48" t="inlineStr">
        <is>
          <t>Hardy</t>
        </is>
      </c>
      <c r="F52" s="48" t="inlineStr">
        <is>
          <t>Chlorophyll</t>
        </is>
      </c>
      <c r="G52" s="48" t="inlineStr">
        <is>
          <t>Hardy</t>
        </is>
      </c>
      <c r="H52" s="48" t="inlineStr">
        <is>
          <t>Swift Swim</t>
        </is>
      </c>
      <c r="Q52" s="47" t="inlineStr">
        <is>
          <t>Nature / Ability</t>
        </is>
      </c>
    </row>
    <row r="53">
      <c r="B53" s="47" t="inlineStr">
        <is>
          <t>AI Flags:</t>
        </is>
      </c>
      <c r="E53" s="49" t="inlineStr">
        <is>
          <t>(None)</t>
        </is>
      </c>
      <c r="F53" s="46" t="n"/>
      <c r="G53" s="49" t="inlineStr">
        <is>
          <t>(None)</t>
        </is>
      </c>
      <c r="H53" s="46" t="n"/>
      <c r="Q53" s="47" t="inlineStr">
        <is>
          <t>Item</t>
        </is>
      </c>
    </row>
    <row r="54">
      <c r="B54" s="44" t="inlineStr">
        <is>
          <t>Smart Trainer</t>
        </is>
      </c>
      <c r="E54" s="59" t="inlineStr">
        <is>
          <t>Mega Drain</t>
        </is>
      </c>
      <c r="F54" s="46" t="n"/>
      <c r="G54" s="61" t="inlineStr">
        <is>
          <t>Bubble</t>
        </is>
      </c>
      <c r="H54" s="46" t="n"/>
      <c r="Q54" s="47" t="inlineStr">
        <is>
          <t>Moves</t>
        </is>
      </c>
    </row>
    <row r="55">
      <c r="E55" s="54" t="inlineStr">
        <is>
          <t>Leech Life</t>
        </is>
      </c>
      <c r="F55" s="46" t="n"/>
      <c r="G55" s="51" t="inlineStr">
        <is>
          <t>Tackle</t>
        </is>
      </c>
      <c r="H55" s="46" t="n"/>
    </row>
    <row r="56">
      <c r="E56" s="56" t="inlineStr">
        <is>
          <t>-</t>
        </is>
      </c>
      <c r="F56" s="46" t="n"/>
      <c r="G56" s="67" t="inlineStr">
        <is>
          <t>Astonish</t>
        </is>
      </c>
      <c r="H56" s="46" t="n"/>
    </row>
    <row r="57">
      <c r="E57" s="56" t="inlineStr">
        <is>
          <t>-</t>
        </is>
      </c>
      <c r="F57" s="46" t="n"/>
      <c r="G57" s="56" t="inlineStr">
        <is>
          <t>-</t>
        </is>
      </c>
      <c r="H57" s="46" t="n"/>
    </row>
    <row r="59" ht="20" customHeight="1">
      <c r="B59" s="40" t="inlineStr">
        <is>
          <t>Lass</t>
        </is>
      </c>
      <c r="C59" s="41" t="n"/>
      <c r="D59" s="41" t="n"/>
      <c r="E59" s="42" t="inlineStr">
        <is>
          <t>Lass Haley</t>
        </is>
      </c>
      <c r="F59" s="41" t="n"/>
      <c r="G59" s="41" t="n"/>
      <c r="H59" s="41" t="n"/>
      <c r="I59" s="41" t="n"/>
      <c r="J59" s="41" t="n"/>
      <c r="K59" s="41" t="n"/>
      <c r="L59" s="41" t="n"/>
      <c r="M59" s="41" t="n"/>
      <c r="N59" s="41" t="n"/>
      <c r="O59" s="41" t="n"/>
      <c r="P59" s="41" t="n"/>
      <c r="Q59" s="41" t="n"/>
    </row>
    <row r="60" ht="69" customHeight="1">
      <c r="E60" s="43">
        <f>IFERROR(_xlfn.IMAGE("https://play.pokemonshowdown.com/sprites/gen5/lotad.png"),"")</f>
        <v/>
      </c>
      <c r="G60" s="43">
        <f>IFERROR(_xlfn.IMAGE("https://play.pokemonshowdown.com/sprites/gen5/shroomish.png"),"")</f>
        <v/>
      </c>
      <c r="Q60" s="44" t="inlineStr">
        <is>
          <t>Forced on sight (range 2)</t>
        </is>
      </c>
    </row>
    <row r="61">
      <c r="E61" s="45" t="inlineStr">
        <is>
          <t>Lv 6 Lotad</t>
        </is>
      </c>
      <c r="F61" s="46" t="n"/>
      <c r="G61" s="45" t="inlineStr">
        <is>
          <t>Lv 6 Shroomish</t>
        </is>
      </c>
      <c r="H61" s="46" t="n"/>
      <c r="Q61" s="47" t="inlineStr">
        <is>
          <t>Pokémon</t>
        </is>
      </c>
    </row>
    <row r="62">
      <c r="E62" s="48" t="inlineStr">
        <is>
          <t>Hardy</t>
        </is>
      </c>
      <c r="F62" s="48" t="inlineStr">
        <is>
          <t>Swift Swim</t>
        </is>
      </c>
      <c r="G62" s="48" t="inlineStr">
        <is>
          <t>Hardy</t>
        </is>
      </c>
      <c r="H62" s="48" t="inlineStr">
        <is>
          <t>Poison Heal</t>
        </is>
      </c>
      <c r="Q62" s="47" t="inlineStr">
        <is>
          <t>Nature / Ability</t>
        </is>
      </c>
    </row>
    <row r="63">
      <c r="B63" s="47" t="inlineStr">
        <is>
          <t>AI Flags:</t>
        </is>
      </c>
      <c r="E63" s="49" t="inlineStr">
        <is>
          <t>(None)</t>
        </is>
      </c>
      <c r="F63" s="46" t="n"/>
      <c r="G63" s="49" t="inlineStr">
        <is>
          <t>(None)</t>
        </is>
      </c>
      <c r="H63" s="46" t="n"/>
      <c r="Q63" s="47" t="inlineStr">
        <is>
          <t>Item</t>
        </is>
      </c>
    </row>
    <row r="64">
      <c r="B64" s="44" t="inlineStr">
        <is>
          <t>Smart Trainer</t>
        </is>
      </c>
      <c r="E64" s="61" t="inlineStr">
        <is>
          <t>Bubble</t>
        </is>
      </c>
      <c r="F64" s="46" t="n"/>
      <c r="G64" s="55" t="inlineStr">
        <is>
          <t>Poison Powder</t>
        </is>
      </c>
      <c r="H64" s="46" t="n"/>
      <c r="Q64" s="47" t="inlineStr">
        <is>
          <t>Moves</t>
        </is>
      </c>
    </row>
    <row r="65">
      <c r="E65" s="51" t="inlineStr">
        <is>
          <t>Tackle</t>
        </is>
      </c>
      <c r="F65" s="46" t="n"/>
      <c r="G65" s="59" t="inlineStr">
        <is>
          <t>Mega Drain</t>
        </is>
      </c>
      <c r="H65" s="46" t="n"/>
    </row>
    <row r="66">
      <c r="E66" s="67" t="inlineStr">
        <is>
          <t>Astonish</t>
        </is>
      </c>
      <c r="F66" s="46" t="n"/>
      <c r="G66" s="56" t="inlineStr">
        <is>
          <t>-</t>
        </is>
      </c>
      <c r="H66" s="46" t="n"/>
    </row>
    <row r="67">
      <c r="E67" s="56" t="inlineStr">
        <is>
          <t>-</t>
        </is>
      </c>
      <c r="F67" s="46" t="n"/>
      <c r="G67" s="56" t="inlineStr">
        <is>
          <t>-</t>
        </is>
      </c>
      <c r="H67" s="46" t="n"/>
    </row>
    <row r="69" ht="20" customHeight="1">
      <c r="B69" s="40" t="inlineStr">
        <is>
          <t>Fisherman</t>
        </is>
      </c>
      <c r="C69" s="41" t="n"/>
      <c r="D69" s="41" t="n"/>
      <c r="E69" s="42" t="inlineStr">
        <is>
          <t>Fisherman Ivan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IFERROR(_xlfn.IMAGE("https://play.pokemonshowdown.com/sprites/gen5/magikarp.png"),"")</f>
        <v/>
      </c>
      <c r="G70" s="43">
        <f>IFERROR(_xlfn.IMAGE("https://play.pokemonshowdown.com/sprites/gen5/magikarp.png"),"")</f>
        <v/>
      </c>
      <c r="I70" s="43">
        <f>IFERROR(_xlfn.IMAGE("https://play.pokemonshowdown.com/sprites/gen5/magikarp.png"),"")</f>
        <v/>
      </c>
      <c r="Q70" s="44" t="inlineStr">
        <is>
          <t>Forced on sight (range 2)</t>
        </is>
      </c>
    </row>
    <row r="71">
      <c r="E71" s="45" t="inlineStr">
        <is>
          <t>Lv 5 Magikarp</t>
        </is>
      </c>
      <c r="F71" s="46" t="n"/>
      <c r="G71" s="45" t="inlineStr">
        <is>
          <t>Lv 6 Magikarp</t>
        </is>
      </c>
      <c r="H71" s="46" t="n"/>
      <c r="I71" s="45" t="inlineStr">
        <is>
          <t>Lv 7 Magikarp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Swift Swim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1" t="inlineStr">
        <is>
          <t>Tackle</t>
        </is>
      </c>
      <c r="F74" s="46" t="n"/>
      <c r="G74" s="51" t="inlineStr">
        <is>
          <t>Tackle</t>
        </is>
      </c>
      <c r="H74" s="46" t="n"/>
      <c r="I74" s="51" t="inlineStr">
        <is>
          <t>Tackle</t>
        </is>
      </c>
      <c r="J74" s="46" t="n"/>
      <c r="Q74" s="47" t="inlineStr">
        <is>
          <t>Moves</t>
        </is>
      </c>
    </row>
    <row r="75">
      <c r="E75" s="56" t="inlineStr">
        <is>
          <t>-</t>
        </is>
      </c>
      <c r="F75" s="46" t="n"/>
      <c r="G75" s="56" t="inlineStr">
        <is>
          <t>-</t>
        </is>
      </c>
      <c r="H75" s="46" t="n"/>
      <c r="I75" s="56" t="inlineStr">
        <is>
          <t>-</t>
        </is>
      </c>
      <c r="J75" s="46" t="n"/>
    </row>
    <row r="76">
      <c r="E76" s="56" t="inlineStr">
        <is>
          <t>-</t>
        </is>
      </c>
      <c r="F76" s="46" t="n"/>
      <c r="G76" s="56" t="inlineStr">
        <is>
          <t>-</t>
        </is>
      </c>
      <c r="H76" s="46" t="n"/>
      <c r="I76" s="56" t="inlineStr">
        <is>
          <t>-</t>
        </is>
      </c>
      <c r="J76" s="46" t="n"/>
    </row>
    <row r="77">
      <c r="E77" s="56" t="inlineStr">
        <is>
          <t>-</t>
        </is>
      </c>
      <c r="F77" s="46" t="n"/>
      <c r="G77" s="56" t="inlineStr">
        <is>
          <t>-</t>
        </is>
      </c>
      <c r="H77" s="46" t="n"/>
      <c r="I77" s="56" t="inlineStr">
        <is>
          <t>-</t>
        </is>
      </c>
      <c r="J77" s="46" t="n"/>
    </row>
    <row r="79" ht="24" customHeight="1">
      <c r="B79" s="38" t="inlineStr">
        <is>
          <t>Route 104 / Rustboro City</t>
        </is>
      </c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</row>
    <row r="81" ht="20" customHeight="1">
      <c r="B81" s="40" t="inlineStr">
        <is>
          <t>Rival</t>
        </is>
      </c>
      <c r="C81" s="41" t="n"/>
      <c r="D81" s="41" t="n"/>
      <c r="E81" s="42" t="inlineStr">
        <is>
          <t>Rival May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IFERROR(_xlfn.IMAGE("https://play.pokemonshowdown.com/sprites/gen5/wingull.png"),"")</f>
        <v/>
      </c>
      <c r="G82" s="43">
        <f>IFERROR(_xlfn.IMAGE("https://play.pokemonshowdown.com/sprites/gen5/treecko.png"),"")</f>
        <v/>
      </c>
    </row>
    <row r="83">
      <c r="E83" s="45" t="inlineStr">
        <is>
          <t>Lv 13 Wingull</t>
        </is>
      </c>
      <c r="F83" s="46" t="n"/>
      <c r="G83" s="45" t="inlineStr">
        <is>
          <t>Lv 15 Treecko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Gluttony</t>
        </is>
      </c>
      <c r="G84" s="48" t="inlineStr">
        <is>
          <t>Hardy</t>
        </is>
      </c>
      <c r="H84" s="48" t="inlineStr">
        <is>
          <t>Overgrow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60" t="inlineStr">
        <is>
          <t>Peck</t>
        </is>
      </c>
      <c r="F86" s="46" t="n"/>
      <c r="G86" s="51" t="inlineStr">
        <is>
          <t>Pound</t>
        </is>
      </c>
      <c r="H86" s="46" t="n"/>
      <c r="Q86" s="47" t="inlineStr">
        <is>
          <t>Moves</t>
        </is>
      </c>
    </row>
    <row r="87">
      <c r="E87" s="61" t="inlineStr">
        <is>
          <t>Water Gun</t>
        </is>
      </c>
      <c r="F87" s="46" t="n"/>
      <c r="G87" s="59" t="inlineStr">
        <is>
          <t>Mega Drain</t>
        </is>
      </c>
      <c r="H87" s="46" t="n"/>
    </row>
    <row r="88">
      <c r="E88" s="51" t="inlineStr">
        <is>
          <t>Supersonic</t>
        </is>
      </c>
      <c r="F88" s="46" t="n"/>
      <c r="G88" s="65" t="inlineStr">
        <is>
          <t>Seismic Toss</t>
        </is>
      </c>
      <c r="H88" s="46" t="n"/>
    </row>
    <row r="89">
      <c r="E89" s="50" t="inlineStr">
        <is>
          <t>Bite</t>
        </is>
      </c>
      <c r="F89" s="46" t="n"/>
      <c r="G89" s="50" t="inlineStr">
        <is>
          <t>Bite</t>
        </is>
      </c>
      <c r="H89" s="46" t="n"/>
    </row>
    <row r="91" ht="20" customHeight="1">
      <c r="B91" s="40" t="inlineStr">
        <is>
          <t>Rival</t>
        </is>
      </c>
      <c r="C91" s="41" t="n"/>
      <c r="D91" s="41" t="n"/>
      <c r="E91" s="42" t="inlineStr">
        <is>
          <t>Rival May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IFERROR(_xlfn.IMAGE("https://play.pokemonshowdown.com/sprites/gen5/torkoal.png"),"")</f>
        <v/>
      </c>
      <c r="G92" s="43">
        <f>IFERROR(_xlfn.IMAGE("https://play.pokemonshowdown.com/sprites/gen5/mudkip.png"),"")</f>
        <v/>
      </c>
    </row>
    <row r="93">
      <c r="E93" s="45" t="inlineStr">
        <is>
          <t>Lv 13 Torkoal</t>
        </is>
      </c>
      <c r="F93" s="46" t="n"/>
      <c r="G93" s="45" t="inlineStr">
        <is>
          <t>Lv 15 Mudkip</t>
        </is>
      </c>
      <c r="H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White Smoke</t>
        </is>
      </c>
      <c r="G94" s="48" t="inlineStr">
        <is>
          <t>Hardy</t>
        </is>
      </c>
      <c r="H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Fire Spin</t>
        </is>
      </c>
      <c r="F96" s="46" t="n"/>
      <c r="G96" s="61" t="inlineStr">
        <is>
          <t>Water Gun</t>
        </is>
      </c>
      <c r="H96" s="46" t="n"/>
      <c r="Q96" s="47" t="inlineStr">
        <is>
          <t>Moves</t>
        </is>
      </c>
    </row>
    <row r="97">
      <c r="E97" s="55" t="inlineStr">
        <is>
          <t>Smog</t>
        </is>
      </c>
      <c r="F97" s="46" t="n"/>
      <c r="G97" s="53" t="inlineStr">
        <is>
          <t>Mud Slap</t>
        </is>
      </c>
      <c r="H97" s="46" t="n"/>
    </row>
    <row r="98">
      <c r="E98" s="51" t="inlineStr">
        <is>
          <t>Smokescreen</t>
        </is>
      </c>
      <c r="F98" s="46" t="n"/>
      <c r="G98" s="62" t="inlineStr">
        <is>
          <t>Rock Throw</t>
        </is>
      </c>
      <c r="H98" s="46" t="n"/>
    </row>
    <row r="99">
      <c r="E99" s="58" t="inlineStr">
        <is>
          <t>Ember</t>
        </is>
      </c>
      <c r="F99" s="46" t="n"/>
      <c r="G99" s="65" t="inlineStr">
        <is>
          <t>Rock Smash</t>
        </is>
      </c>
      <c r="H99" s="46" t="n"/>
    </row>
    <row r="101" ht="20" customHeight="1">
      <c r="B101" s="40" t="inlineStr">
        <is>
          <t>Rival</t>
        </is>
      </c>
      <c r="C101" s="41" t="n"/>
      <c r="D101" s="41" t="n"/>
      <c r="E101" s="42" t="inlineStr">
        <is>
          <t>Rival May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IFERROR(_xlfn.IMAGE("https://play.pokemonshowdown.com/sprites/gen5/lotad.png"),"")</f>
        <v/>
      </c>
      <c r="G102" s="43">
        <f>IFERROR(_xlfn.IMAGE("https://play.pokemonshowdown.com/sprites/gen5/torchic.png"),"")</f>
        <v/>
      </c>
    </row>
    <row r="103">
      <c r="E103" s="45" t="inlineStr">
        <is>
          <t>Lv 13 Lotad</t>
        </is>
      </c>
      <c r="F103" s="46" t="n"/>
      <c r="G103" s="45" t="inlineStr">
        <is>
          <t>Lv 15 Torchic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Swift Swim</t>
        </is>
      </c>
      <c r="G104" s="48" t="inlineStr">
        <is>
          <t>Hardy</t>
        </is>
      </c>
      <c r="H104" s="48" t="inlineStr">
        <is>
          <t>Blaze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67" t="inlineStr">
        <is>
          <t>Astonish</t>
        </is>
      </c>
      <c r="F106" s="46" t="n"/>
      <c r="G106" s="51" t="inlineStr">
        <is>
          <t>Scratch</t>
        </is>
      </c>
      <c r="H106" s="46" t="n"/>
      <c r="Q106" s="47" t="inlineStr">
        <is>
          <t>Moves</t>
        </is>
      </c>
    </row>
    <row r="107">
      <c r="E107" s="59" t="inlineStr">
        <is>
          <t>Razor Leaf</t>
        </is>
      </c>
      <c r="F107" s="46" t="n"/>
      <c r="G107" s="60" t="inlineStr">
        <is>
          <t>Peck</t>
        </is>
      </c>
      <c r="H107" s="46" t="n"/>
    </row>
    <row r="108">
      <c r="E108" s="61" t="inlineStr">
        <is>
          <t>Water Gun</t>
        </is>
      </c>
      <c r="F108" s="46" t="n"/>
      <c r="G108" s="58" t="inlineStr">
        <is>
          <t>Ember</t>
        </is>
      </c>
      <c r="H108" s="46" t="n"/>
    </row>
    <row r="109">
      <c r="E109" s="50" t="inlineStr">
        <is>
          <t>Absorb</t>
        </is>
      </c>
      <c r="F109" s="46" t="n"/>
      <c r="G109" s="65" t="inlineStr">
        <is>
          <t>Double Kick</t>
        </is>
      </c>
      <c r="H109" s="46" t="n"/>
    </row>
    <row r="111" ht="24" customHeight="1">
      <c r="B111" s="38" t="inlineStr">
        <is>
          <t>Route 104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Rich Boy</t>
        </is>
      </c>
      <c r="C113" s="41" t="n"/>
      <c r="D113" s="41" t="n"/>
      <c r="E113" s="42" t="inlineStr">
        <is>
          <t>Rich Boy Winston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IFERROR(_xlfn.IMAGE("https://play.pokemonshowdown.com/sprites/gen5/zigzagoon.png"),"")</f>
        <v/>
      </c>
      <c r="Q114" s="44" t="inlineStr">
        <is>
          <t>Forced on sight (range 4)
Items: Full Restore</t>
        </is>
      </c>
    </row>
    <row r="115">
      <c r="E115" s="45" t="inlineStr">
        <is>
          <t>Lv 7 Zigzagoon</t>
        </is>
      </c>
      <c r="F115" s="46" t="n"/>
      <c r="Q115" s="47" t="inlineStr">
        <is>
          <t>Pokémon</t>
        </is>
      </c>
    </row>
    <row r="116">
      <c r="E116" s="48" t="inlineStr">
        <is>
          <t>Hardy</t>
        </is>
      </c>
      <c r="F116" s="48" t="inlineStr">
        <is>
          <t>Gluttony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Nugget</t>
        </is>
      </c>
      <c r="F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1" t="inlineStr">
        <is>
          <t>Quick Attack</t>
        </is>
      </c>
      <c r="F118" s="46" t="n"/>
      <c r="Q118" s="47" t="inlineStr">
        <is>
          <t>Moves</t>
        </is>
      </c>
    </row>
    <row r="119">
      <c r="E119" s="53" t="inlineStr">
        <is>
          <t>Sand Attack</t>
        </is>
      </c>
      <c r="F119" s="46" t="n"/>
    </row>
    <row r="120">
      <c r="E120" s="50" t="inlineStr">
        <is>
          <t>Bite</t>
        </is>
      </c>
      <c r="F120" s="46" t="n"/>
    </row>
    <row r="121">
      <c r="E121" s="56" t="inlineStr">
        <is>
          <t>-</t>
        </is>
      </c>
      <c r="F121" s="46" t="n"/>
    </row>
    <row r="123" ht="24" customHeight="1">
      <c r="B123" s="38" t="inlineStr">
        <is>
          <t>Petalburg Woods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Team Aqua</t>
        </is>
      </c>
      <c r="C125" s="41" t="n"/>
      <c r="D125" s="41" t="n"/>
      <c r="E125" s="42" t="inlineStr">
        <is>
          <t>Team Aqua Grunt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IFERROR(_xlfn.IMAGE("https://play.pokemonshowdown.com/sprites/gen5/poochyena.png"),"")</f>
        <v/>
      </c>
      <c r="Q126" s="44" t="inlineStr">
        <is>
          <t>Forced on sight (range 4)</t>
        </is>
      </c>
    </row>
    <row r="127">
      <c r="E127" s="45" t="inlineStr">
        <is>
          <t>Lv 9 Poochyena</t>
        </is>
      </c>
      <c r="F127" s="46" t="n"/>
      <c r="Q127" s="47" t="inlineStr">
        <is>
          <t>Pokémon</t>
        </is>
      </c>
    </row>
    <row r="128">
      <c r="E128" s="48" t="inlineStr">
        <is>
          <t>Hardy</t>
        </is>
      </c>
      <c r="F128" s="48" t="inlineStr">
        <is>
          <t>Quick Feet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1" t="inlineStr">
        <is>
          <t>Quick Attack</t>
        </is>
      </c>
      <c r="F130" s="46" t="n"/>
      <c r="Q130" s="47" t="inlineStr">
        <is>
          <t>Moves</t>
        </is>
      </c>
    </row>
    <row r="131">
      <c r="E131" s="51" t="inlineStr">
        <is>
          <t>Tackle</t>
        </is>
      </c>
      <c r="F131" s="46" t="n"/>
    </row>
    <row r="132">
      <c r="E132" s="53" t="inlineStr">
        <is>
          <t>Sand Attack</t>
        </is>
      </c>
      <c r="F132" s="46" t="n"/>
    </row>
    <row r="133">
      <c r="E133" s="56" t="inlineStr">
        <is>
          <t>-</t>
        </is>
      </c>
      <c r="F133" s="46" t="n"/>
    </row>
    <row r="135" ht="20" customHeight="1">
      <c r="B135" s="40" t="inlineStr">
        <is>
          <t>Team Aqua</t>
        </is>
      </c>
      <c r="C135" s="41" t="n"/>
      <c r="D135" s="41" t="n"/>
      <c r="E135" s="42" t="inlineStr">
        <is>
          <t>Team Aqua Grunt</t>
        </is>
      </c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  <c r="P135" s="41" t="n"/>
      <c r="Q135" s="41" t="n"/>
    </row>
    <row r="136" ht="69" customHeight="1">
      <c r="E136" s="43">
        <f>IFERROR(_xlfn.IMAGE("https://play.pokemonshowdown.com/sprites/gen5/poochyena.png"),"")</f>
        <v/>
      </c>
      <c r="Q136" s="44" t="inlineStr">
        <is>
          <t>Forced on sight (range 3)</t>
        </is>
      </c>
    </row>
    <row r="137">
      <c r="E137" s="45" t="inlineStr">
        <is>
          <t>Lv 9 Poochyena</t>
        </is>
      </c>
      <c r="F137" s="46" t="n"/>
      <c r="Q137" s="47" t="inlineStr">
        <is>
          <t>Pokémon</t>
        </is>
      </c>
    </row>
    <row r="138">
      <c r="E138" s="48" t="inlineStr">
        <is>
          <t>Hardy</t>
        </is>
      </c>
      <c r="F138" s="48" t="inlineStr">
        <is>
          <t>Quick Feet</t>
        </is>
      </c>
      <c r="Q138" s="47" t="inlineStr">
        <is>
          <t>Nature / Ability</t>
        </is>
      </c>
    </row>
    <row r="139">
      <c r="B139" s="47" t="inlineStr">
        <is>
          <t>AI Flags:</t>
        </is>
      </c>
      <c r="E139" s="49" t="inlineStr">
        <is>
          <t>(None)</t>
        </is>
      </c>
      <c r="F139" s="46" t="n"/>
      <c r="Q139" s="47" t="inlineStr">
        <is>
          <t>Item</t>
        </is>
      </c>
    </row>
    <row r="140">
      <c r="B140" s="44" t="inlineStr">
        <is>
          <t>Smart Trainer</t>
        </is>
      </c>
      <c r="E140" s="51" t="inlineStr">
        <is>
          <t>Quick Attack</t>
        </is>
      </c>
      <c r="F140" s="46" t="n"/>
      <c r="Q140" s="47" t="inlineStr">
        <is>
          <t>Moves</t>
        </is>
      </c>
    </row>
    <row r="141">
      <c r="E141" s="51" t="inlineStr">
        <is>
          <t>Tackle</t>
        </is>
      </c>
      <c r="F141" s="46" t="n"/>
    </row>
    <row r="142">
      <c r="E142" s="53" t="inlineStr">
        <is>
          <t>Sand Attack</t>
        </is>
      </c>
      <c r="F142" s="46" t="n"/>
    </row>
    <row r="143">
      <c r="E143" s="56" t="inlineStr">
        <is>
          <t>-</t>
        </is>
      </c>
      <c r="F143" s="46" t="n"/>
    </row>
    <row r="145" ht="20" customHeight="1">
      <c r="B145" s="40" t="inlineStr">
        <is>
          <t>Team Aqua</t>
        </is>
      </c>
      <c r="C145" s="41" t="n"/>
      <c r="D145" s="41" t="n"/>
      <c r="E145" s="42" t="inlineStr">
        <is>
          <t>Team Aqua Grunt</t>
        </is>
      </c>
      <c r="F145" s="41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  <c r="P145" s="41" t="n"/>
      <c r="Q145" s="41" t="n"/>
    </row>
    <row r="146" ht="69" customHeight="1">
      <c r="E146" s="43">
        <f>IFERROR(_xlfn.IMAGE("https://play.pokemonshowdown.com/sprites/gen5/poochyena.png"),"")</f>
        <v/>
      </c>
      <c r="Q146" s="44" t="inlineStr">
        <is>
          <t>Forced on sight (range 2)</t>
        </is>
      </c>
    </row>
    <row r="147">
      <c r="E147" s="45" t="inlineStr">
        <is>
          <t>Lv 9 Poochyena</t>
        </is>
      </c>
      <c r="F147" s="46" t="n"/>
      <c r="Q147" s="47" t="inlineStr">
        <is>
          <t>Pokémon</t>
        </is>
      </c>
    </row>
    <row r="148">
      <c r="E148" s="48" t="inlineStr">
        <is>
          <t>Hardy</t>
        </is>
      </c>
      <c r="F148" s="48" t="inlineStr">
        <is>
          <t>Quick Feet</t>
        </is>
      </c>
      <c r="Q148" s="47" t="inlineStr">
        <is>
          <t>Nature / Ability</t>
        </is>
      </c>
    </row>
    <row r="149">
      <c r="B149" s="47" t="inlineStr">
        <is>
          <t>AI Flags:</t>
        </is>
      </c>
      <c r="E149" s="49" t="inlineStr">
        <is>
          <t>(None)</t>
        </is>
      </c>
      <c r="F149" s="46" t="n"/>
      <c r="Q149" s="47" t="inlineStr">
        <is>
          <t>Item</t>
        </is>
      </c>
    </row>
    <row r="150">
      <c r="B150" s="44" t="inlineStr">
        <is>
          <t>Smart Trainer</t>
        </is>
      </c>
      <c r="E150" s="51" t="inlineStr">
        <is>
          <t>Quick Attack</t>
        </is>
      </c>
      <c r="F150" s="46" t="n"/>
      <c r="Q150" s="47" t="inlineStr">
        <is>
          <t>Moves</t>
        </is>
      </c>
    </row>
    <row r="151">
      <c r="E151" s="51" t="inlineStr">
        <is>
          <t>Tackle</t>
        </is>
      </c>
      <c r="F151" s="46" t="n"/>
    </row>
    <row r="152">
      <c r="E152" s="53" t="inlineStr">
        <is>
          <t>Sand Attack</t>
        </is>
      </c>
      <c r="F152" s="46" t="n"/>
    </row>
    <row r="153">
      <c r="E153" s="56" t="inlineStr">
        <is>
          <t>-</t>
        </is>
      </c>
      <c r="F153" s="46" t="n"/>
    </row>
    <row r="155" ht="20" customHeight="1">
      <c r="B155" s="40" t="inlineStr">
        <is>
          <t>Bug Catcher</t>
        </is>
      </c>
      <c r="C155" s="41" t="n"/>
      <c r="D155" s="41" t="n"/>
      <c r="E155" s="42" t="inlineStr">
        <is>
          <t>Bug Catcher James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IFERROR(_xlfn.IMAGE("https://play.pokemonshowdown.com/sprites/gen5/nincada.png"),"")</f>
        <v/>
      </c>
      <c r="G156" s="43">
        <f>IFERROR(_xlfn.IMAGE("https://play.pokemonshowdown.com/sprites/gen5/nincada.png"),"")</f>
        <v/>
      </c>
      <c r="Q156" s="44" t="inlineStr">
        <is>
          <t>Forced on sight (range 3)</t>
        </is>
      </c>
    </row>
    <row r="157">
      <c r="E157" s="45" t="inlineStr">
        <is>
          <t>Lv 6 Nincada</t>
        </is>
      </c>
      <c r="F157" s="46" t="n"/>
      <c r="G157" s="45" t="inlineStr">
        <is>
          <t>Lv 6 Nincada</t>
        </is>
      </c>
      <c r="H157" s="46" t="n"/>
      <c r="Q157" s="47" t="inlineStr">
        <is>
          <t>Pokémon</t>
        </is>
      </c>
    </row>
    <row r="158">
      <c r="E158" s="48" t="inlineStr">
        <is>
          <t>Hardy</t>
        </is>
      </c>
      <c r="F158" s="48" t="inlineStr">
        <is>
          <t>Compound Eyes</t>
        </is>
      </c>
      <c r="G158" s="48" t="inlineStr">
        <is>
          <t>Hardy</t>
        </is>
      </c>
      <c r="H158" s="48" t="inlineStr">
        <is>
          <t>Compound Eyes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(None)</t>
        </is>
      </c>
      <c r="F159" s="46" t="n"/>
      <c r="G159" s="49" t="inlineStr">
        <is>
          <t>(None)</t>
        </is>
      </c>
      <c r="H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Uproar</t>
        </is>
      </c>
      <c r="F160" s="46" t="n"/>
      <c r="G160" s="51" t="inlineStr">
        <is>
          <t>Uproar</t>
        </is>
      </c>
      <c r="H160" s="46" t="n"/>
      <c r="Q160" s="47" t="inlineStr">
        <is>
          <t>Moves</t>
        </is>
      </c>
    </row>
    <row r="161">
      <c r="E161" s="53" t="inlineStr">
        <is>
          <t>Mud Slap</t>
        </is>
      </c>
      <c r="F161" s="46" t="n"/>
      <c r="G161" s="53" t="inlineStr">
        <is>
          <t>Mud Slap</t>
        </is>
      </c>
      <c r="H161" s="46" t="n"/>
    </row>
    <row r="162">
      <c r="E162" s="54" t="inlineStr">
        <is>
          <t>Leech Life</t>
        </is>
      </c>
      <c r="F162" s="46" t="n"/>
      <c r="G162" s="54" t="inlineStr">
        <is>
          <t>Leech Life</t>
        </is>
      </c>
      <c r="H162" s="46" t="n"/>
    </row>
    <row r="163">
      <c r="E163" s="56" t="inlineStr">
        <is>
          <t>-</t>
        </is>
      </c>
      <c r="F163" s="46" t="n"/>
      <c r="G163" s="56" t="inlineStr">
        <is>
          <t>-</t>
        </is>
      </c>
      <c r="H163" s="46" t="n"/>
    </row>
    <row r="165" ht="24" customHeight="1">
      <c r="B165" s="38" t="inlineStr">
        <is>
          <t>Route 116</t>
        </is>
      </c>
      <c r="C165" s="39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</row>
    <row r="167" ht="20" customHeight="1">
      <c r="B167" s="40" t="inlineStr">
        <is>
          <t>Hiker</t>
        </is>
      </c>
      <c r="C167" s="41" t="n"/>
      <c r="D167" s="41" t="n"/>
      <c r="E167" s="42" t="inlineStr">
        <is>
          <t>Hiker Clark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IFERROR(_xlfn.IMAGE("https://play.pokemonshowdown.com/sprites/gen5/geodude.png"),"")</f>
        <v/>
      </c>
      <c r="Q168" s="44" t="inlineStr">
        <is>
          <t>Forced on sight (range 3)</t>
        </is>
      </c>
    </row>
    <row r="169">
      <c r="E169" s="45" t="inlineStr">
        <is>
          <t>Lv 8 Geodude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Rock Head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51" t="inlineStr">
        <is>
          <t>Tackle</t>
        </is>
      </c>
      <c r="F172" s="46" t="n"/>
      <c r="Q172" s="47" t="inlineStr">
        <is>
          <t>Moves</t>
        </is>
      </c>
    </row>
    <row r="173">
      <c r="E173" s="62" t="inlineStr">
        <is>
          <t>Rock Throw</t>
        </is>
      </c>
      <c r="F173" s="46" t="n"/>
    </row>
    <row r="174">
      <c r="E174" s="53" t="inlineStr">
        <is>
          <t>Mud Bomb</t>
        </is>
      </c>
      <c r="F174" s="46" t="n"/>
    </row>
    <row r="175">
      <c r="E175" s="51" t="inlineStr">
        <is>
          <t>Headbutt</t>
        </is>
      </c>
      <c r="F175" s="46" t="n"/>
    </row>
    <row r="177" ht="20" customHeight="1">
      <c r="B177" s="40" t="inlineStr">
        <is>
          <t>Rich Boy</t>
        </is>
      </c>
      <c r="C177" s="41" t="n"/>
      <c r="D177" s="41" t="n"/>
      <c r="E177" s="42" t="inlineStr">
        <is>
          <t>Rich Boy Dawson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IFERROR(_xlfn.IMAGE("https://play.pokemonshowdown.com/sprites/gen5/zigzagoon.png"),"")</f>
        <v/>
      </c>
      <c r="G178" s="43">
        <f>IFERROR(_xlfn.IMAGE("https://play.pokemonshowdown.com/sprites/gen5/poochyena.png"),"")</f>
        <v/>
      </c>
      <c r="Q178" s="44" t="inlineStr">
        <is>
          <t>Forced on sight (range 5)</t>
        </is>
      </c>
    </row>
    <row r="179">
      <c r="E179" s="45" t="inlineStr">
        <is>
          <t>Lv 8 Zigzagoon</t>
        </is>
      </c>
      <c r="F179" s="46" t="n"/>
      <c r="G179" s="45" t="inlineStr">
        <is>
          <t>Lv 8 Poochyena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Gluttony</t>
        </is>
      </c>
      <c r="G180" s="48" t="inlineStr">
        <is>
          <t>Hardy</t>
        </is>
      </c>
      <c r="H180" s="48" t="inlineStr">
        <is>
          <t>Quick Feet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Nugget</t>
        </is>
      </c>
      <c r="F181" s="46" t="n"/>
      <c r="G181" s="49" t="inlineStr">
        <is>
          <t>(None)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Quick Attack</t>
        </is>
      </c>
      <c r="F182" s="46" t="n"/>
      <c r="G182" s="51" t="inlineStr">
        <is>
          <t>Quick Attack</t>
        </is>
      </c>
      <c r="H182" s="46" t="n"/>
      <c r="Q182" s="47" t="inlineStr">
        <is>
          <t>Moves</t>
        </is>
      </c>
    </row>
    <row r="183">
      <c r="E183" s="53" t="inlineStr">
        <is>
          <t>Sand Attack</t>
        </is>
      </c>
      <c r="F183" s="46" t="n"/>
      <c r="G183" s="51" t="inlineStr">
        <is>
          <t>Tackle</t>
        </is>
      </c>
      <c r="H183" s="46" t="n"/>
    </row>
    <row r="184">
      <c r="E184" s="50" t="inlineStr">
        <is>
          <t>Bite</t>
        </is>
      </c>
      <c r="F184" s="46" t="n"/>
      <c r="G184" s="56" t="inlineStr">
        <is>
          <t>-</t>
        </is>
      </c>
      <c r="H184" s="46" t="n"/>
    </row>
    <row r="185">
      <c r="E185" s="56" t="inlineStr">
        <is>
          <t>-</t>
        </is>
      </c>
      <c r="F185" s="46" t="n"/>
      <c r="G185" s="56" t="inlineStr">
        <is>
          <t>-</t>
        </is>
      </c>
      <c r="H185" s="46" t="n"/>
    </row>
    <row r="187" ht="20" customHeight="1">
      <c r="B187" s="40" t="inlineStr">
        <is>
          <t>Hiker</t>
        </is>
      </c>
      <c r="C187" s="41" t="n"/>
      <c r="D187" s="41" t="n"/>
      <c r="E187" s="42" t="inlineStr">
        <is>
          <t>Hiker Devan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IFERROR(_xlfn.IMAGE("https://play.pokemonshowdown.com/sprites/gen5/geodude.png"),"")</f>
        <v/>
      </c>
      <c r="G188" s="43">
        <f>IFERROR(_xlfn.IMAGE("https://play.pokemonshowdown.com/sprites/gen5/geodude.png"),"")</f>
        <v/>
      </c>
      <c r="Q188" s="44" t="inlineStr">
        <is>
          <t>Forced on sight (range 5)</t>
        </is>
      </c>
    </row>
    <row r="189">
      <c r="E189" s="45" t="inlineStr">
        <is>
          <t>Lv 8 Geodude</t>
        </is>
      </c>
      <c r="F189" s="46" t="n"/>
      <c r="G189" s="45" t="inlineStr">
        <is>
          <t>Lv 8 Geodude</t>
        </is>
      </c>
      <c r="H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Rock Head</t>
        </is>
      </c>
      <c r="G190" s="48" t="inlineStr">
        <is>
          <t>Hardy</t>
        </is>
      </c>
      <c r="H190" s="48" t="inlineStr">
        <is>
          <t>Rock Head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Tackle</t>
        </is>
      </c>
      <c r="F192" s="46" t="n"/>
      <c r="G192" s="51" t="inlineStr">
        <is>
          <t>Tackle</t>
        </is>
      </c>
      <c r="H192" s="46" t="n"/>
      <c r="Q192" s="47" t="inlineStr">
        <is>
          <t>Moves</t>
        </is>
      </c>
    </row>
    <row r="193">
      <c r="E193" s="62" t="inlineStr">
        <is>
          <t>Rock Throw</t>
        </is>
      </c>
      <c r="F193" s="46" t="n"/>
      <c r="G193" s="62" t="inlineStr">
        <is>
          <t>Rock Throw</t>
        </is>
      </c>
      <c r="H193" s="46" t="n"/>
    </row>
    <row r="194">
      <c r="E194" s="53" t="inlineStr">
        <is>
          <t>Mud Bomb</t>
        </is>
      </c>
      <c r="F194" s="46" t="n"/>
      <c r="G194" s="53" t="inlineStr">
        <is>
          <t>Mud Bomb</t>
        </is>
      </c>
      <c r="H194" s="46" t="n"/>
    </row>
    <row r="195">
      <c r="E195" s="51" t="inlineStr">
        <is>
          <t>Headbutt</t>
        </is>
      </c>
      <c r="F195" s="46" t="n"/>
      <c r="G195" s="51" t="inlineStr">
        <is>
          <t>Headbutt</t>
        </is>
      </c>
      <c r="H195" s="46" t="n"/>
    </row>
    <row r="197" ht="20" customHeight="1">
      <c r="B197" s="40" t="inlineStr">
        <is>
          <t>Lass</t>
        </is>
      </c>
      <c r="C197" s="41" t="n"/>
      <c r="D197" s="41" t="n"/>
      <c r="E197" s="42" t="inlineStr">
        <is>
          <t>Lass Janice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Q198" s="44" t="inlineStr">
        <is>
          <t>Forced on sight (range 4)</t>
        </is>
      </c>
    </row>
    <row r="199">
      <c r="E199" s="45" t="inlineStr">
        <is>
          <t>Lv 9 Marill</t>
        </is>
      </c>
      <c r="F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Q202" s="47" t="inlineStr">
        <is>
          <t>Moves</t>
        </is>
      </c>
    </row>
    <row r="203">
      <c r="E203" s="56" t="inlineStr">
        <is>
          <t>-</t>
        </is>
      </c>
      <c r="F203" s="46" t="n"/>
    </row>
    <row r="204">
      <c r="E204" s="56" t="inlineStr">
        <is>
          <t>-</t>
        </is>
      </c>
      <c r="F204" s="46" t="n"/>
    </row>
    <row r="205">
      <c r="E205" s="56" t="inlineStr">
        <is>
          <t>-</t>
        </is>
      </c>
      <c r="F205" s="46" t="n"/>
    </row>
    <row r="207" ht="20" customHeight="1">
      <c r="B207" s="40" t="inlineStr">
        <is>
          <t>School Kid</t>
        </is>
      </c>
      <c r="C207" s="41" t="n"/>
      <c r="D207" s="41" t="n"/>
      <c r="E207" s="42" t="inlineStr">
        <is>
          <t>School Kid Jerry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IFERROR(_xlfn.IMAGE("https://play.pokemonshowdown.com/sprites/gen5/ralts.png"),"")</f>
        <v/>
      </c>
      <c r="Q208" s="44" t="inlineStr">
        <is>
          <t>Forced on sight (range 3)</t>
        </is>
      </c>
    </row>
    <row r="209">
      <c r="E209" s="45" t="inlineStr">
        <is>
          <t>Lv 9 Ralts</t>
        </is>
      </c>
      <c r="F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Trace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Q211" s="47" t="inlineStr">
        <is>
          <t>Item</t>
        </is>
      </c>
    </row>
    <row r="212">
      <c r="B212" s="44" t="inlineStr">
        <is>
          <t>Smart Trainer</t>
        </is>
      </c>
      <c r="E212" s="63" t="inlineStr">
        <is>
          <t>Confusion</t>
        </is>
      </c>
      <c r="F212" s="46" t="n"/>
      <c r="Q212" s="47" t="inlineStr">
        <is>
          <t>Moves</t>
        </is>
      </c>
    </row>
    <row r="213">
      <c r="E213" s="56" t="inlineStr">
        <is>
          <t>-</t>
        </is>
      </c>
      <c r="F213" s="46" t="n"/>
    </row>
    <row r="214">
      <c r="E214" s="56" t="inlineStr">
        <is>
          <t>-</t>
        </is>
      </c>
      <c r="F214" s="46" t="n"/>
    </row>
    <row r="215">
      <c r="E215" s="56" t="inlineStr">
        <is>
          <t>-</t>
        </is>
      </c>
      <c r="F215" s="46" t="n"/>
    </row>
    <row r="217" ht="20" customHeight="1">
      <c r="B217" s="40" t="inlineStr">
        <is>
          <t>Youngster</t>
        </is>
      </c>
      <c r="C217" s="41" t="n"/>
      <c r="D217" s="41" t="n"/>
      <c r="E217" s="42" t="inlineStr">
        <is>
          <t>Youngster Joey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IFERROR(_xlfn.IMAGE("https://play.pokemonshowdown.com/sprites/gen5/machop.png"),"")</f>
        <v/>
      </c>
      <c r="Q218" s="44" t="inlineStr">
        <is>
          <t>Forced on sight (range 4)</t>
        </is>
      </c>
    </row>
    <row r="219">
      <c r="E219" s="45" t="inlineStr">
        <is>
          <t>Lv 9 Machop</t>
        </is>
      </c>
      <c r="F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No Guard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Q221" s="47" t="inlineStr">
        <is>
          <t>Item</t>
        </is>
      </c>
    </row>
    <row r="222">
      <c r="B222" s="44" t="inlineStr">
        <is>
          <t>Smart Trainer</t>
        </is>
      </c>
      <c r="E222" s="65" t="inlineStr">
        <is>
          <t>Karate Chop</t>
        </is>
      </c>
      <c r="F222" s="46" t="n"/>
      <c r="Q222" s="47" t="inlineStr">
        <is>
          <t>Moves</t>
        </is>
      </c>
    </row>
    <row r="223">
      <c r="E223" s="51" t="inlineStr">
        <is>
          <t>Pound</t>
        </is>
      </c>
      <c r="F223" s="46" t="n"/>
    </row>
    <row r="224">
      <c r="E224" s="62" t="inlineStr">
        <is>
          <t>Rock Throw</t>
        </is>
      </c>
      <c r="F224" s="46" t="n"/>
    </row>
    <row r="225">
      <c r="E225" s="56" t="inlineStr">
        <is>
          <t>-</t>
        </is>
      </c>
      <c r="F225" s="46" t="n"/>
    </row>
    <row r="227" ht="20" customHeight="1">
      <c r="B227" s="40" t="inlineStr">
        <is>
          <t>Youngster</t>
        </is>
      </c>
      <c r="C227" s="41" t="n"/>
      <c r="D227" s="41" t="n"/>
      <c r="E227" s="42" t="inlineStr">
        <is>
          <t>Youngster Johnson</t>
        </is>
      </c>
      <c r="F227" s="41" t="n"/>
      <c r="G227" s="41" t="n"/>
      <c r="H227" s="41" t="n"/>
      <c r="I227" s="41" t="n"/>
      <c r="J227" s="41" t="n"/>
      <c r="K227" s="41" t="n"/>
      <c r="L227" s="41" t="n"/>
      <c r="M227" s="41" t="n"/>
      <c r="N227" s="41" t="n"/>
      <c r="O227" s="41" t="n"/>
      <c r="P227" s="41" t="n"/>
      <c r="Q227" s="41" t="n"/>
    </row>
    <row r="228" ht="69" customHeight="1">
      <c r="E228" s="43">
        <f>IFERROR(_xlfn.IMAGE("https://play.pokemonshowdown.com/sprites/gen5/shroomish.png"),"")</f>
        <v/>
      </c>
      <c r="G228" s="43">
        <f>IFERROR(_xlfn.IMAGE("https://play.pokemonshowdown.com/sprites/gen5/lotad.png"),"")</f>
        <v/>
      </c>
      <c r="Q228" s="44" t="inlineStr">
        <is>
          <t>Forced on sight (range 5)</t>
        </is>
      </c>
    </row>
    <row r="229">
      <c r="E229" s="45" t="inlineStr">
        <is>
          <t>Lv 8 Shroomish</t>
        </is>
      </c>
      <c r="F229" s="46" t="n"/>
      <c r="G229" s="45" t="inlineStr">
        <is>
          <t>Lv 8 Lotad</t>
        </is>
      </c>
      <c r="H229" s="46" t="n"/>
      <c r="Q229" s="47" t="inlineStr">
        <is>
          <t>Pokémon</t>
        </is>
      </c>
    </row>
    <row r="230">
      <c r="E230" s="48" t="inlineStr">
        <is>
          <t>Hardy</t>
        </is>
      </c>
      <c r="F230" s="48" t="inlineStr">
        <is>
          <t>Poison Heal</t>
        </is>
      </c>
      <c r="G230" s="48" t="inlineStr">
        <is>
          <t>Hardy</t>
        </is>
      </c>
      <c r="H230" s="48" t="inlineStr">
        <is>
          <t>Swift Swim</t>
        </is>
      </c>
      <c r="Q230" s="47" t="inlineStr">
        <is>
          <t>Nature / Ability</t>
        </is>
      </c>
    </row>
    <row r="231">
      <c r="B231" s="47" t="inlineStr">
        <is>
          <t>AI Flags:</t>
        </is>
      </c>
      <c r="E231" s="49" t="inlineStr">
        <is>
          <t>(None)</t>
        </is>
      </c>
      <c r="F231" s="46" t="n"/>
      <c r="G231" s="49" t="inlineStr">
        <is>
          <t>(None)</t>
        </is>
      </c>
      <c r="H231" s="46" t="n"/>
      <c r="Q231" s="47" t="inlineStr">
        <is>
          <t>Item</t>
        </is>
      </c>
    </row>
    <row r="232">
      <c r="B232" s="44" t="inlineStr">
        <is>
          <t>Smart Trainer</t>
        </is>
      </c>
      <c r="E232" s="55" t="inlineStr">
        <is>
          <t>Poison Powder</t>
        </is>
      </c>
      <c r="F232" s="46" t="n"/>
      <c r="G232" s="61" t="inlineStr">
        <is>
          <t>Bubble</t>
        </is>
      </c>
      <c r="H232" s="46" t="n"/>
      <c r="Q232" s="47" t="inlineStr">
        <is>
          <t>Moves</t>
        </is>
      </c>
    </row>
    <row r="233">
      <c r="E233" s="59" t="inlineStr">
        <is>
          <t>Mega Drain</t>
        </is>
      </c>
      <c r="F233" s="46" t="n"/>
      <c r="G233" s="51" t="inlineStr">
        <is>
          <t>Tackle</t>
        </is>
      </c>
      <c r="H233" s="46" t="n"/>
    </row>
    <row r="234">
      <c r="E234" s="56" t="inlineStr">
        <is>
          <t>-</t>
        </is>
      </c>
      <c r="F234" s="46" t="n"/>
      <c r="G234" s="67" t="inlineStr">
        <is>
          <t>Astonish</t>
        </is>
      </c>
      <c r="H234" s="46" t="n"/>
    </row>
    <row r="235">
      <c r="E235" s="56" t="inlineStr">
        <is>
          <t>-</t>
        </is>
      </c>
      <c r="F235" s="46" t="n"/>
      <c r="G235" s="59" t="inlineStr">
        <is>
          <t>Razor Leaf</t>
        </is>
      </c>
      <c r="H235" s="46" t="n"/>
    </row>
    <row r="237" ht="20" customHeight="1">
      <c r="B237" s="40" t="inlineStr">
        <is>
          <t>Bug Catcher</t>
        </is>
      </c>
      <c r="C237" s="41" t="n"/>
      <c r="D237" s="41" t="n"/>
      <c r="E237" s="42" t="inlineStr">
        <is>
          <t>Bug Catcher Jose</t>
        </is>
      </c>
      <c r="F237" s="41" t="n"/>
      <c r="G237" s="41" t="n"/>
      <c r="H237" s="41" t="n"/>
      <c r="I237" s="41" t="n"/>
      <c r="J237" s="41" t="n"/>
      <c r="K237" s="41" t="n"/>
      <c r="L237" s="41" t="n"/>
      <c r="M237" s="41" t="n"/>
      <c r="N237" s="41" t="n"/>
      <c r="O237" s="41" t="n"/>
      <c r="P237" s="41" t="n"/>
      <c r="Q237" s="41" t="n"/>
    </row>
    <row r="238" ht="69" customHeight="1">
      <c r="E238" s="43">
        <f>IFERROR(_xlfn.IMAGE("https://play.pokemonshowdown.com/sprites/gen5/wurmple.png"),"")</f>
        <v/>
      </c>
      <c r="G238" s="43">
        <f>IFERROR(_xlfn.IMAGE("https://play.pokemonshowdown.com/sprites/gen5/nincada.png"),"")</f>
        <v/>
      </c>
      <c r="Q238" s="44" t="inlineStr">
        <is>
          <t>Forced on sight (range 7)</t>
        </is>
      </c>
    </row>
    <row r="239">
      <c r="E239" s="45" t="inlineStr">
        <is>
          <t>Lv 8 Wurmple</t>
        </is>
      </c>
      <c r="F239" s="46" t="n"/>
      <c r="G239" s="45" t="inlineStr">
        <is>
          <t>Lv 8 Nincada</t>
        </is>
      </c>
      <c r="H239" s="46" t="n"/>
      <c r="Q239" s="47" t="inlineStr">
        <is>
          <t>Pokémon</t>
        </is>
      </c>
    </row>
    <row r="240">
      <c r="E240" s="48" t="inlineStr">
        <is>
          <t>Hardy</t>
        </is>
      </c>
      <c r="F240" s="48" t="inlineStr">
        <is>
          <t>Shield Dust</t>
        </is>
      </c>
      <c r="G240" s="48" t="inlineStr">
        <is>
          <t>Hardy</t>
        </is>
      </c>
      <c r="H240" s="48" t="inlineStr">
        <is>
          <t>Compound Eyes</t>
        </is>
      </c>
      <c r="Q240" s="47" t="inlineStr">
        <is>
          <t>Nature / Ability</t>
        </is>
      </c>
    </row>
    <row r="241">
      <c r="B241" s="47" t="inlineStr">
        <is>
          <t>AI Flags:</t>
        </is>
      </c>
      <c r="E241" s="49" t="inlineStr">
        <is>
          <t>(None)</t>
        </is>
      </c>
      <c r="F241" s="46" t="n"/>
      <c r="G241" s="49" t="inlineStr">
        <is>
          <t>(None)</t>
        </is>
      </c>
      <c r="H241" s="46" t="n"/>
      <c r="Q241" s="47" t="inlineStr">
        <is>
          <t>Item</t>
        </is>
      </c>
    </row>
    <row r="242">
      <c r="B242" s="44" t="inlineStr">
        <is>
          <t>Smart Trainer</t>
        </is>
      </c>
      <c r="E242" s="55" t="inlineStr">
        <is>
          <t>Poison Sting</t>
        </is>
      </c>
      <c r="F242" s="46" t="n"/>
      <c r="G242" s="51" t="inlineStr">
        <is>
          <t>Uproar</t>
        </is>
      </c>
      <c r="H242" s="46" t="n"/>
      <c r="Q242" s="47" t="inlineStr">
        <is>
          <t>Moves</t>
        </is>
      </c>
    </row>
    <row r="243">
      <c r="E243" s="54" t="inlineStr">
        <is>
          <t>String Shot</t>
        </is>
      </c>
      <c r="F243" s="46" t="n"/>
      <c r="G243" s="53" t="inlineStr">
        <is>
          <t>Mud Slap</t>
        </is>
      </c>
      <c r="H243" s="46" t="n"/>
    </row>
    <row r="244">
      <c r="E244" s="54" t="inlineStr">
        <is>
          <t>Bug Bite</t>
        </is>
      </c>
      <c r="F244" s="46" t="n"/>
      <c r="G244" s="54" t="inlineStr">
        <is>
          <t>Leech Life</t>
        </is>
      </c>
      <c r="H244" s="46" t="n"/>
    </row>
    <row r="245">
      <c r="E245" s="51" t="inlineStr">
        <is>
          <t>Tackle</t>
        </is>
      </c>
      <c r="F245" s="46" t="n"/>
      <c r="G245" s="56" t="inlineStr">
        <is>
          <t>-</t>
        </is>
      </c>
      <c r="H245" s="46" t="n"/>
    </row>
    <row r="247" ht="20" customHeight="1">
      <c r="B247" s="40" t="inlineStr">
        <is>
          <t>School Kid</t>
        </is>
      </c>
      <c r="C247" s="41" t="n"/>
      <c r="D247" s="41" t="n"/>
      <c r="E247" s="42" t="inlineStr">
        <is>
          <t>School Kid Karen</t>
        </is>
      </c>
      <c r="F247" s="41" t="n"/>
      <c r="G247" s="41" t="n"/>
      <c r="H247" s="41" t="n"/>
      <c r="I247" s="41" t="n"/>
      <c r="J247" s="41" t="n"/>
      <c r="K247" s="41" t="n"/>
      <c r="L247" s="41" t="n"/>
      <c r="M247" s="41" t="n"/>
      <c r="N247" s="41" t="n"/>
      <c r="O247" s="41" t="n"/>
      <c r="P247" s="41" t="n"/>
      <c r="Q247" s="41" t="n"/>
    </row>
    <row r="248" ht="69" customHeight="1">
      <c r="E248" s="43">
        <f>IFERROR(_xlfn.IMAGE("https://play.pokemonshowdown.com/sprites/gen5/shroomish.png"),"")</f>
        <v/>
      </c>
      <c r="Q248" s="44" t="inlineStr">
        <is>
          <t>Forced on sight (range 3)</t>
        </is>
      </c>
    </row>
    <row r="249">
      <c r="E249" s="45" t="inlineStr">
        <is>
          <t>Lv 9 Shroomish</t>
        </is>
      </c>
      <c r="F249" s="46" t="n"/>
      <c r="Q249" s="47" t="inlineStr">
        <is>
          <t>Pokémon</t>
        </is>
      </c>
    </row>
    <row r="250">
      <c r="E250" s="48" t="inlineStr">
        <is>
          <t>Hardy</t>
        </is>
      </c>
      <c r="F250" s="48" t="inlineStr">
        <is>
          <t>Poison Heal</t>
        </is>
      </c>
      <c r="Q250" s="47" t="inlineStr">
        <is>
          <t>Nature / Ability</t>
        </is>
      </c>
    </row>
    <row r="251">
      <c r="B251" s="47" t="inlineStr">
        <is>
          <t>AI Flags:</t>
        </is>
      </c>
      <c r="E251" s="49" t="inlineStr">
        <is>
          <t>(None)</t>
        </is>
      </c>
      <c r="F251" s="46" t="n"/>
      <c r="Q251" s="47" t="inlineStr">
        <is>
          <t>Item</t>
        </is>
      </c>
    </row>
    <row r="252">
      <c r="B252" s="44" t="inlineStr">
        <is>
          <t>Smart Trainer</t>
        </is>
      </c>
      <c r="E252" s="55" t="inlineStr">
        <is>
          <t>Poison Powder</t>
        </is>
      </c>
      <c r="F252" s="46" t="n"/>
      <c r="Q252" s="47" t="inlineStr">
        <is>
          <t>Moves</t>
        </is>
      </c>
    </row>
    <row r="253">
      <c r="E253" s="59" t="inlineStr">
        <is>
          <t>Mega Drain</t>
        </is>
      </c>
      <c r="F253" s="46" t="n"/>
    </row>
    <row r="254">
      <c r="E254" s="51" t="inlineStr">
        <is>
          <t>Take Down</t>
        </is>
      </c>
      <c r="F254" s="46" t="n"/>
    </row>
    <row r="255">
      <c r="E255" s="56" t="inlineStr">
        <is>
          <t>-</t>
        </is>
      </c>
      <c r="F255" s="46" t="n"/>
    </row>
    <row r="257" ht="20" customHeight="1">
      <c r="B257" s="40" t="inlineStr">
        <is>
          <t>Lady</t>
        </is>
      </c>
      <c r="C257" s="41" t="n"/>
      <c r="D257" s="41" t="n"/>
      <c r="E257" s="42" t="inlineStr">
        <is>
          <t>Lady Sarah</t>
        </is>
      </c>
      <c r="F257" s="41" t="n"/>
      <c r="G257" s="41" t="n"/>
      <c r="H257" s="41" t="n"/>
      <c r="I257" s="41" t="n"/>
      <c r="J257" s="41" t="n"/>
      <c r="K257" s="41" t="n"/>
      <c r="L257" s="41" t="n"/>
      <c r="M257" s="41" t="n"/>
      <c r="N257" s="41" t="n"/>
      <c r="O257" s="41" t="n"/>
      <c r="P257" s="41" t="n"/>
      <c r="Q257" s="41" t="n"/>
    </row>
    <row r="258" ht="69" customHeight="1">
      <c r="E258" s="43">
        <f>IFERROR(_xlfn.IMAGE("https://play.pokemonshowdown.com/sprites/gen5/lotad.png"),"")</f>
        <v/>
      </c>
      <c r="G258" s="43">
        <f>IFERROR(_xlfn.IMAGE("https://play.pokemonshowdown.com/sprites/gen5/zigzagoon.png"),"")</f>
        <v/>
      </c>
      <c r="Q258" s="44" t="inlineStr">
        <is>
          <t>Forced on sight (range 5)
Items: Full Restore</t>
        </is>
      </c>
    </row>
    <row r="259">
      <c r="E259" s="45" t="inlineStr">
        <is>
          <t>Lv 8 Lotad</t>
        </is>
      </c>
      <c r="F259" s="46" t="n"/>
      <c r="G259" s="45" t="inlineStr">
        <is>
          <t>Lv 8 Zigzagoon</t>
        </is>
      </c>
      <c r="H259" s="46" t="n"/>
      <c r="Q259" s="47" t="inlineStr">
        <is>
          <t>Pokémon</t>
        </is>
      </c>
    </row>
    <row r="260">
      <c r="E260" s="48" t="inlineStr">
        <is>
          <t>Hardy</t>
        </is>
      </c>
      <c r="F260" s="48" t="inlineStr">
        <is>
          <t>Swift Swim</t>
        </is>
      </c>
      <c r="G260" s="48" t="inlineStr">
        <is>
          <t>Hardy</t>
        </is>
      </c>
      <c r="H260" s="48" t="inlineStr">
        <is>
          <t>Gluttony</t>
        </is>
      </c>
      <c r="Q260" s="47" t="inlineStr">
        <is>
          <t>Nature / Ability</t>
        </is>
      </c>
    </row>
    <row r="261">
      <c r="B261" s="47" t="inlineStr">
        <is>
          <t>AI Flags:</t>
        </is>
      </c>
      <c r="E261" s="49" t="inlineStr">
        <is>
          <t>(None)</t>
        </is>
      </c>
      <c r="F261" s="46" t="n"/>
      <c r="G261" s="49" t="inlineStr">
        <is>
          <t>Nugget</t>
        </is>
      </c>
      <c r="H261" s="46" t="n"/>
      <c r="Q261" s="47" t="inlineStr">
        <is>
          <t>Item</t>
        </is>
      </c>
    </row>
    <row r="262">
      <c r="B262" s="44" t="inlineStr">
        <is>
          <t>Smart Trainer</t>
        </is>
      </c>
      <c r="E262" s="61" t="inlineStr">
        <is>
          <t>Bubble</t>
        </is>
      </c>
      <c r="F262" s="46" t="n"/>
      <c r="G262" s="51" t="inlineStr">
        <is>
          <t>Quick Attack</t>
        </is>
      </c>
      <c r="H262" s="46" t="n"/>
      <c r="Q262" s="47" t="inlineStr">
        <is>
          <t>Moves</t>
        </is>
      </c>
    </row>
    <row r="263">
      <c r="E263" s="51" t="inlineStr">
        <is>
          <t>Tackle</t>
        </is>
      </c>
      <c r="F263" s="46" t="n"/>
      <c r="G263" s="53" t="inlineStr">
        <is>
          <t>Sand Attack</t>
        </is>
      </c>
      <c r="H263" s="46" t="n"/>
    </row>
    <row r="264">
      <c r="E264" s="67" t="inlineStr">
        <is>
          <t>Astonish</t>
        </is>
      </c>
      <c r="F264" s="46" t="n"/>
      <c r="G264" s="50" t="inlineStr">
        <is>
          <t>Bite</t>
        </is>
      </c>
      <c r="H264" s="46" t="n"/>
    </row>
    <row r="265">
      <c r="E265" s="59" t="inlineStr">
        <is>
          <t>Razor Leaf</t>
        </is>
      </c>
      <c r="F265" s="46" t="n"/>
      <c r="G265" s="56" t="inlineStr">
        <is>
          <t>-</t>
        </is>
      </c>
      <c r="H265" s="46" t="n"/>
    </row>
    <row r="267" ht="24" customHeight="1">
      <c r="B267" s="38" t="inlineStr">
        <is>
          <t>Rusturf Tunnel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</row>
    <row r="269" ht="20" customHeight="1">
      <c r="B269" s="40" t="inlineStr">
        <is>
          <t>Team Aqua</t>
        </is>
      </c>
      <c r="C269" s="41" t="n"/>
      <c r="D269" s="41" t="n"/>
      <c r="E269" s="42" t="inlineStr">
        <is>
          <t>Team Aqua Grunt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IFERROR(_xlfn.IMAGE("https://play.pokemonshowdown.com/sprites/gen5/poochyena.png"),"")</f>
        <v/>
      </c>
      <c r="Q270" s="44" t="inlineStr">
        <is>
          <t>Optional</t>
        </is>
      </c>
    </row>
    <row r="271">
      <c r="E271" s="45" t="inlineStr">
        <is>
          <t>Lv 11 Poochyena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Quick Feet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1" t="inlineStr">
        <is>
          <t>Quick Attack</t>
        </is>
      </c>
      <c r="F274" s="46" t="n"/>
      <c r="Q274" s="47" t="inlineStr">
        <is>
          <t>Moves</t>
        </is>
      </c>
    </row>
    <row r="275">
      <c r="E275" s="51" t="inlineStr">
        <is>
          <t>Tackle</t>
        </is>
      </c>
      <c r="F275" s="46" t="n"/>
    </row>
    <row r="276">
      <c r="E276" s="53" t="inlineStr">
        <is>
          <t>Sand Attack</t>
        </is>
      </c>
      <c r="F276" s="46" t="n"/>
    </row>
    <row r="277">
      <c r="E277" s="56" t="inlineStr">
        <is>
          <t>-</t>
        </is>
      </c>
      <c r="F277" s="46" t="n"/>
    </row>
    <row r="279" ht="20" customHeight="1">
      <c r="B279" s="40" t="inlineStr">
        <is>
          <t>Hiker</t>
        </is>
      </c>
      <c r="C279" s="41" t="n"/>
      <c r="D279" s="41" t="n"/>
      <c r="E279" s="42" t="inlineStr">
        <is>
          <t>Hiker Mike (Rematch 1)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IFERROR(_xlfn.IMAGE("https://play.pokemonshowdown.com/sprites/gen5/geodude.png"),"")</f>
        <v/>
      </c>
      <c r="G280" s="43">
        <f>IFERROR(_xlfn.IMAGE("https://play.pokemonshowdown.com/sprites/gen5/geodude.png"),"")</f>
        <v/>
      </c>
      <c r="I280" s="43">
        <f>IFERROR(_xlfn.IMAGE("https://play.pokemonshowdown.com/sprites/gen5/machop.png"),"")</f>
        <v/>
      </c>
      <c r="Q280" s="44" t="inlineStr">
        <is>
          <t>Forced on sight (range 3)</t>
        </is>
      </c>
    </row>
    <row r="281">
      <c r="E281" s="45" t="inlineStr">
        <is>
          <t>Lv 16 Geodude</t>
        </is>
      </c>
      <c r="F281" s="46" t="n"/>
      <c r="G281" s="45" t="inlineStr">
        <is>
          <t>Lv 16 Geodude</t>
        </is>
      </c>
      <c r="H281" s="46" t="n"/>
      <c r="I281" s="45" t="inlineStr">
        <is>
          <t>Lv 16 Machop</t>
        </is>
      </c>
      <c r="J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Rock Head</t>
        </is>
      </c>
      <c r="G282" s="48" t="inlineStr">
        <is>
          <t>Hardy</t>
        </is>
      </c>
      <c r="H282" s="48" t="inlineStr">
        <is>
          <t>Rock Head</t>
        </is>
      </c>
      <c r="I282" s="48" t="inlineStr">
        <is>
          <t>Hardy</t>
        </is>
      </c>
      <c r="J282" s="48" t="inlineStr">
        <is>
          <t>No Guard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I283" s="49" t="inlineStr">
        <is>
          <t>(None)</t>
        </is>
      </c>
      <c r="J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3" t="inlineStr">
        <is>
          <t>Mud Bomb</t>
        </is>
      </c>
      <c r="F284" s="46" t="n"/>
      <c r="G284" s="53" t="inlineStr">
        <is>
          <t>Mud Bomb</t>
        </is>
      </c>
      <c r="H284" s="46" t="n"/>
      <c r="I284" s="51" t="inlineStr">
        <is>
          <t>Pound</t>
        </is>
      </c>
      <c r="J284" s="46" t="n"/>
      <c r="Q284" s="47" t="inlineStr">
        <is>
          <t>Moves</t>
        </is>
      </c>
    </row>
    <row r="285">
      <c r="E285" s="51" t="inlineStr">
        <is>
          <t>Headbutt</t>
        </is>
      </c>
      <c r="F285" s="46" t="n"/>
      <c r="G285" s="51" t="inlineStr">
        <is>
          <t>Headbutt</t>
        </is>
      </c>
      <c r="H285" s="46" t="n"/>
      <c r="I285" s="62" t="inlineStr">
        <is>
          <t>Rock Throw</t>
        </is>
      </c>
      <c r="J285" s="46" t="n"/>
    </row>
    <row r="286">
      <c r="E286" s="65" t="inlineStr">
        <is>
          <t>Karate Chop</t>
        </is>
      </c>
      <c r="F286" s="46" t="n"/>
      <c r="G286" s="65" t="inlineStr">
        <is>
          <t>Karate Chop</t>
        </is>
      </c>
      <c r="H286" s="46" t="n"/>
      <c r="I286" s="65" t="inlineStr">
        <is>
          <t>Seismic Toss</t>
        </is>
      </c>
      <c r="J286" s="46" t="n"/>
    </row>
    <row r="287">
      <c r="E287" s="51" t="inlineStr">
        <is>
          <t>Self Destruct</t>
        </is>
      </c>
      <c r="F287" s="46" t="n"/>
      <c r="G287" s="51" t="inlineStr">
        <is>
          <t>Self Destruct</t>
        </is>
      </c>
      <c r="H287" s="46" t="n"/>
      <c r="I287" s="65" t="inlineStr">
        <is>
          <t>Wake Up Slap</t>
        </is>
      </c>
      <c r="J287" s="46" t="n"/>
    </row>
    <row r="289" ht="24" customHeight="1">
      <c r="B289" s="38" t="inlineStr">
        <is>
          <t>Rustboro City - Gym</t>
        </is>
      </c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Josh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IFERROR(_xlfn.IMAGE("https://play.pokemonshowdown.com/sprites/gen5/geodude.png"),"")</f>
        <v/>
      </c>
      <c r="G292" s="43">
        <f>IFERROR(_xlfn.IMAGE("https://play.pokemonshowdown.com/sprites/gen5/geodude.png"),"")</f>
        <v/>
      </c>
      <c r="I292" s="43">
        <f>IFERROR(_xlfn.IMAGE("https://play.pokemonshowdown.com/sprites/gen5/nosepass.png"),"")</f>
        <v/>
      </c>
      <c r="Q292" s="44" t="inlineStr">
        <is>
          <t>Forced on sight (range 4)
Items: Potion</t>
        </is>
      </c>
    </row>
    <row r="293">
      <c r="E293" s="45" t="inlineStr">
        <is>
          <t>Lv 18 Geodude</t>
        </is>
      </c>
      <c r="F293" s="46" t="n"/>
      <c r="G293" s="45" t="inlineStr">
        <is>
          <t>Lv 18 Geodude</t>
        </is>
      </c>
      <c r="H293" s="46" t="n"/>
      <c r="I293" s="45" t="inlineStr">
        <is>
          <t>Lv 18 Nosepass</t>
        </is>
      </c>
      <c r="J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Rough Skin</t>
        </is>
      </c>
      <c r="G294" s="48" t="inlineStr">
        <is>
          <t>Hardy</t>
        </is>
      </c>
      <c r="H294" s="48" t="inlineStr">
        <is>
          <t>Rough Skin</t>
        </is>
      </c>
      <c r="I294" s="48" t="inlineStr">
        <is>
          <t>Hardy</t>
        </is>
      </c>
      <c r="J294" s="48" t="inlineStr">
        <is>
          <t>Solid Rock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Hard Stone</t>
        </is>
      </c>
      <c r="F295" s="46" t="n"/>
      <c r="G295" s="49" t="inlineStr">
        <is>
          <t>Rocky Helmet</t>
        </is>
      </c>
      <c r="H295" s="46" t="n"/>
      <c r="I295" s="49" t="inlineStr">
        <is>
          <t>Sitrus Berry</t>
        </is>
      </c>
      <c r="J295" s="46" t="n"/>
      <c r="Q295" s="47" t="inlineStr">
        <is>
          <t>Item</t>
        </is>
      </c>
    </row>
    <row r="296">
      <c r="B296" s="44" t="inlineStr">
        <is>
          <t>Smart Trainer</t>
        </is>
      </c>
      <c r="E296" s="62" t="inlineStr">
        <is>
          <t>Rock Throw</t>
        </is>
      </c>
      <c r="F296" s="46" t="n"/>
      <c r="G296" s="62" t="inlineStr">
        <is>
          <t>Rock Throw</t>
        </is>
      </c>
      <c r="H296" s="46" t="n"/>
      <c r="I296" s="51" t="inlineStr">
        <is>
          <t>Headbutt</t>
        </is>
      </c>
      <c r="J296" s="46" t="n"/>
      <c r="Q296" s="47" t="inlineStr">
        <is>
          <t>Moves</t>
        </is>
      </c>
    </row>
    <row r="297">
      <c r="E297" s="51" t="inlineStr">
        <is>
          <t>Headbutt</t>
        </is>
      </c>
      <c r="F297" s="46" t="n"/>
      <c r="G297" s="53" t="inlineStr">
        <is>
          <t>Mud Bomb</t>
        </is>
      </c>
      <c r="H297" s="46" t="n"/>
      <c r="I297" s="62" t="inlineStr">
        <is>
          <t>Rock Slide</t>
        </is>
      </c>
      <c r="J297" s="46" t="n"/>
    </row>
    <row r="298">
      <c r="E298" s="65" t="inlineStr">
        <is>
          <t>Karate Chop</t>
        </is>
      </c>
      <c r="F298" s="46" t="n"/>
      <c r="G298" s="51" t="inlineStr">
        <is>
          <t>Headbutt</t>
        </is>
      </c>
      <c r="H298" s="46" t="n"/>
      <c r="I298" s="65" t="inlineStr">
        <is>
          <t>Seismic Toss</t>
        </is>
      </c>
      <c r="J298" s="46" t="n"/>
    </row>
    <row r="299">
      <c r="E299" s="53" t="inlineStr">
        <is>
          <t>Dig</t>
        </is>
      </c>
      <c r="F299" s="46" t="n"/>
      <c r="G299" s="51" t="inlineStr">
        <is>
          <t>Self-Destruct</t>
        </is>
      </c>
      <c r="H299" s="46" t="n"/>
      <c r="I299" s="56" t="inlineStr">
        <is>
          <t>-</t>
        </is>
      </c>
      <c r="J299" s="46" t="n"/>
    </row>
    <row r="301" ht="20" customHeight="1">
      <c r="B301" s="40" t="inlineStr">
        <is>
          <t>Hiker</t>
        </is>
      </c>
      <c r="C301" s="41" t="n"/>
      <c r="D301" s="41" t="n"/>
      <c r="E301" s="42" t="inlineStr">
        <is>
          <t>Hiker Marc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IFERROR(_xlfn.IMAGE("https://play.pokemonshowdown.com/sprites/gen5/geodude.png"),"")</f>
        <v/>
      </c>
      <c r="G302" s="43">
        <f>IFERROR(_xlfn.IMAGE("https://play.pokemonshowdown.com/sprites/gen5/geodude.png"),"")</f>
        <v/>
      </c>
      <c r="I302" s="43">
        <f>IFERROR(_xlfn.IMAGE("https://play.pokemonshowdown.com/sprites/gen5/nosepass.png"),"")</f>
        <v/>
      </c>
      <c r="Q302" s="44" t="inlineStr">
        <is>
          <t>Forced on sight (range 3)
Items: Potion</t>
        </is>
      </c>
    </row>
    <row r="303">
      <c r="E303" s="45" t="inlineStr">
        <is>
          <t>Lv 20 Geodude</t>
        </is>
      </c>
      <c r="F303" s="46" t="n"/>
      <c r="G303" s="45" t="inlineStr">
        <is>
          <t>Lv 20 Geodude</t>
        </is>
      </c>
      <c r="H303" s="46" t="n"/>
      <c r="I303" s="45" t="inlineStr">
        <is>
          <t>Lv 20 Nosepass</t>
        </is>
      </c>
      <c r="J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Rough Skin</t>
        </is>
      </c>
      <c r="G304" s="48" t="inlineStr">
        <is>
          <t>Hardy</t>
        </is>
      </c>
      <c r="H304" s="48" t="inlineStr">
        <is>
          <t>Rough Skin</t>
        </is>
      </c>
      <c r="I304" s="48" t="inlineStr">
        <is>
          <t>Hardy</t>
        </is>
      </c>
      <c r="J304" s="48" t="inlineStr">
        <is>
          <t>Solid Rock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Hard Stone</t>
        </is>
      </c>
      <c r="F305" s="46" t="n"/>
      <c r="G305" s="49" t="inlineStr">
        <is>
          <t>Rocky Helmet</t>
        </is>
      </c>
      <c r="H305" s="46" t="n"/>
      <c r="I305" s="49" t="inlineStr">
        <is>
          <t>Sitrus Berry</t>
        </is>
      </c>
      <c r="J305" s="46" t="n"/>
      <c r="Q305" s="47" t="inlineStr">
        <is>
          <t>Item</t>
        </is>
      </c>
    </row>
    <row r="306">
      <c r="B306" s="44" t="inlineStr">
        <is>
          <t>Smart Trainer</t>
        </is>
      </c>
      <c r="E306" s="62" t="inlineStr">
        <is>
          <t>Rock Throw</t>
        </is>
      </c>
      <c r="F306" s="46" t="n"/>
      <c r="G306" s="62" t="inlineStr">
        <is>
          <t>Rock Throw</t>
        </is>
      </c>
      <c r="H306" s="46" t="n"/>
      <c r="I306" s="51" t="inlineStr">
        <is>
          <t>Headbutt</t>
        </is>
      </c>
      <c r="J306" s="46" t="n"/>
      <c r="Q306" s="47" t="inlineStr">
        <is>
          <t>Moves</t>
        </is>
      </c>
    </row>
    <row r="307">
      <c r="E307" s="51" t="inlineStr">
        <is>
          <t>Headbutt</t>
        </is>
      </c>
      <c r="F307" s="46" t="n"/>
      <c r="G307" s="53" t="inlineStr">
        <is>
          <t>Mud Bomb</t>
        </is>
      </c>
      <c r="H307" s="46" t="n"/>
      <c r="I307" s="62" t="inlineStr">
        <is>
          <t>Rock Slide</t>
        </is>
      </c>
      <c r="J307" s="46" t="n"/>
    </row>
    <row r="308">
      <c r="E308" s="65" t="inlineStr">
        <is>
          <t>Karate Chop</t>
        </is>
      </c>
      <c r="F308" s="46" t="n"/>
      <c r="G308" s="51" t="inlineStr">
        <is>
          <t>Headbutt</t>
        </is>
      </c>
      <c r="H308" s="46" t="n"/>
      <c r="I308" s="65" t="inlineStr">
        <is>
          <t>Seismic Toss</t>
        </is>
      </c>
      <c r="J308" s="46" t="n"/>
    </row>
    <row r="309">
      <c r="E309" s="53" t="inlineStr">
        <is>
          <t>Dig</t>
        </is>
      </c>
      <c r="F309" s="46" t="n"/>
      <c r="G309" s="51" t="inlineStr">
        <is>
          <t>Self-Destruct</t>
        </is>
      </c>
      <c r="H309" s="46" t="n"/>
      <c r="I309" s="66" t="inlineStr">
        <is>
          <t>Iron Head</t>
        </is>
      </c>
      <c r="J309" s="46" t="n"/>
    </row>
    <row r="311" ht="20" customHeight="1">
      <c r="B311" s="40" t="inlineStr">
        <is>
          <t>Youngster</t>
        </is>
      </c>
      <c r="C311" s="41" t="n"/>
      <c r="D311" s="41" t="n"/>
      <c r="E311" s="42" t="inlineStr">
        <is>
          <t>Youngster Tommy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IFERROR(_xlfn.IMAGE("https://play.pokemonshowdown.com/sprites/gen5/geodude.png"),"")</f>
        <v/>
      </c>
      <c r="G312" s="43">
        <f>IFERROR(_xlfn.IMAGE("https://play.pokemonshowdown.com/sprites/gen5/geodude.png"),"")</f>
        <v/>
      </c>
      <c r="I312" s="43">
        <f>IFERROR(_xlfn.IMAGE("https://play.pokemonshowdown.com/sprites/gen5/nosepass.png"),"")</f>
        <v/>
      </c>
      <c r="Q312" s="44" t="inlineStr">
        <is>
          <t>Forced on sight (range 3)
Items: Potion</t>
        </is>
      </c>
    </row>
    <row r="313">
      <c r="E313" s="45" t="inlineStr">
        <is>
          <t>Lv 19 Geodude</t>
        </is>
      </c>
      <c r="F313" s="46" t="n"/>
      <c r="G313" s="45" t="inlineStr">
        <is>
          <t>Lv 19 Geodude</t>
        </is>
      </c>
      <c r="H313" s="46" t="n"/>
      <c r="I313" s="45" t="inlineStr">
        <is>
          <t>Lv 19 Nosepass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Rough Skin</t>
        </is>
      </c>
      <c r="G314" s="48" t="inlineStr">
        <is>
          <t>Hardy</t>
        </is>
      </c>
      <c r="H314" s="48" t="inlineStr">
        <is>
          <t>Rough Skin</t>
        </is>
      </c>
      <c r="I314" s="48" t="inlineStr">
        <is>
          <t>Hardy</t>
        </is>
      </c>
      <c r="J314" s="48" t="inlineStr">
        <is>
          <t>Solid Rock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Hard Stone</t>
        </is>
      </c>
      <c r="F315" s="46" t="n"/>
      <c r="G315" s="49" t="inlineStr">
        <is>
          <t>Rocky Helmet</t>
        </is>
      </c>
      <c r="H315" s="46" t="n"/>
      <c r="I315" s="49" t="inlineStr">
        <is>
          <t>Sitrus Berry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62" t="inlineStr">
        <is>
          <t>Rock Throw</t>
        </is>
      </c>
      <c r="F316" s="46" t="n"/>
      <c r="G316" s="62" t="inlineStr">
        <is>
          <t>Rock Throw</t>
        </is>
      </c>
      <c r="H316" s="46" t="n"/>
      <c r="I316" s="51" t="inlineStr">
        <is>
          <t>Headbutt</t>
        </is>
      </c>
      <c r="J316" s="46" t="n"/>
      <c r="Q316" s="47" t="inlineStr">
        <is>
          <t>Moves</t>
        </is>
      </c>
    </row>
    <row r="317">
      <c r="E317" s="51" t="inlineStr">
        <is>
          <t>Headbutt</t>
        </is>
      </c>
      <c r="F317" s="46" t="n"/>
      <c r="G317" s="53" t="inlineStr">
        <is>
          <t>Mud Bomb</t>
        </is>
      </c>
      <c r="H317" s="46" t="n"/>
      <c r="I317" s="62" t="inlineStr">
        <is>
          <t>Rock Slide</t>
        </is>
      </c>
      <c r="J317" s="46" t="n"/>
    </row>
    <row r="318">
      <c r="E318" s="65" t="inlineStr">
        <is>
          <t>Karate Chop</t>
        </is>
      </c>
      <c r="F318" s="46" t="n"/>
      <c r="G318" s="51" t="inlineStr">
        <is>
          <t>Headbutt</t>
        </is>
      </c>
      <c r="H318" s="46" t="n"/>
      <c r="I318" s="65" t="inlineStr">
        <is>
          <t>Seismic Toss</t>
        </is>
      </c>
      <c r="J318" s="46" t="n"/>
    </row>
    <row r="319">
      <c r="E319" s="53" t="inlineStr">
        <is>
          <t>Dig</t>
        </is>
      </c>
      <c r="F319" s="46" t="n"/>
      <c r="G319" s="51" t="inlineStr">
        <is>
          <t>Self-Destruct</t>
        </is>
      </c>
      <c r="H319" s="46" t="n"/>
      <c r="I319" s="66" t="inlineStr">
        <is>
          <t>Iron Head</t>
        </is>
      </c>
      <c r="J319" s="46" t="n"/>
    </row>
    <row r="321" ht="20" customHeight="1">
      <c r="B321" s="40" t="inlineStr">
        <is>
          <t>Leader</t>
        </is>
      </c>
      <c r="C321" s="41" t="n"/>
      <c r="D321" s="41" t="n"/>
      <c r="E321" s="42" t="inlineStr">
        <is>
          <t>Leader Roxanne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IFERROR(_xlfn.IMAGE("https://play.pokemonshowdown.com/sprites/gen5/geodude.png"),"")</f>
        <v/>
      </c>
      <c r="G322" s="43">
        <f>IFERROR(_xlfn.IMAGE("https://play.pokemonshowdown.com/sprites/gen5/geodude.png"),"")</f>
        <v/>
      </c>
      <c r="I322" s="43">
        <f>IFERROR(_xlfn.IMAGE("https://play.pokemonshowdown.com/sprites/gen5/aron.png"),"")</f>
        <v/>
      </c>
      <c r="K322" s="43">
        <f>IFERROR(_xlfn.IMAGE("https://play.pokemonshowdown.com/sprites/gen5/nosepass.png"),"")</f>
        <v/>
      </c>
      <c r="Q322" s="44" t="inlineStr">
        <is>
          <t>Mandatory
Items: Super Potion / Super Potion</t>
        </is>
      </c>
    </row>
    <row r="323">
      <c r="E323" s="45" t="inlineStr">
        <is>
          <t>Lv 20 Geodude</t>
        </is>
      </c>
      <c r="F323" s="46" t="n"/>
      <c r="G323" s="45" t="inlineStr">
        <is>
          <t>Lv 21 Geodude</t>
        </is>
      </c>
      <c r="H323" s="46" t="n"/>
      <c r="I323" s="45" t="inlineStr">
        <is>
          <t>Lv 22 Aron</t>
        </is>
      </c>
      <c r="J323" s="46" t="n"/>
      <c r="K323" s="45" t="inlineStr">
        <is>
          <t>Lv 23 Nosepass</t>
        </is>
      </c>
      <c r="L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G324" s="48" t="inlineStr">
        <is>
          <t>Hardy</t>
        </is>
      </c>
      <c r="H324" s="48" t="inlineStr">
        <is>
          <t>Rough Skin</t>
        </is>
      </c>
      <c r="I324" s="48" t="inlineStr">
        <is>
          <t>Hardy</t>
        </is>
      </c>
      <c r="J324" s="48" t="inlineStr">
        <is>
          <t>Rock Head</t>
        </is>
      </c>
      <c r="K324" s="48" t="inlineStr">
        <is>
          <t>Hardy</t>
        </is>
      </c>
      <c r="L324" s="48" t="inlineStr">
        <is>
          <t>Solid Rock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Hard Stone</t>
        </is>
      </c>
      <c r="F325" s="46" t="n"/>
      <c r="G325" s="49" t="inlineStr">
        <is>
          <t>Rocky Helmet</t>
        </is>
      </c>
      <c r="H325" s="46" t="n"/>
      <c r="I325" s="49" t="inlineStr">
        <is>
          <t>Life Orb</t>
        </is>
      </c>
      <c r="J325" s="46" t="n"/>
      <c r="K325" s="49" t="inlineStr">
        <is>
          <t>Wide Lens</t>
        </is>
      </c>
      <c r="L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2" t="inlineStr">
        <is>
          <t>Rock Throw</t>
        </is>
      </c>
      <c r="F326" s="46" t="n"/>
      <c r="G326" s="62" t="inlineStr">
        <is>
          <t>Rock Throw</t>
        </is>
      </c>
      <c r="H326" s="46" t="n"/>
      <c r="I326" s="66" t="inlineStr">
        <is>
          <t>Iron Head</t>
        </is>
      </c>
      <c r="J326" s="46" t="n"/>
      <c r="K326" s="62" t="inlineStr">
        <is>
          <t>Rock Slide</t>
        </is>
      </c>
      <c r="L326" s="46" t="n"/>
      <c r="Q326" s="47" t="inlineStr">
        <is>
          <t>Moves</t>
        </is>
      </c>
    </row>
    <row r="327">
      <c r="E327" s="53" t="inlineStr">
        <is>
          <t>Dig</t>
        </is>
      </c>
      <c r="F327" s="46" t="n"/>
      <c r="G327" s="53" t="inlineStr">
        <is>
          <t>Mud Bomb</t>
        </is>
      </c>
      <c r="H327" s="46" t="n"/>
      <c r="I327" s="51" t="inlineStr">
        <is>
          <t>Headbutt</t>
        </is>
      </c>
      <c r="J327" s="46" t="n"/>
      <c r="K327" s="66" t="inlineStr">
        <is>
          <t>Iron Head</t>
        </is>
      </c>
      <c r="L327" s="46" t="n"/>
    </row>
    <row r="328">
      <c r="E328" s="51" t="inlineStr">
        <is>
          <t>Headbutt</t>
        </is>
      </c>
      <c r="F328" s="46" t="n"/>
      <c r="G328" s="51" t="inlineStr">
        <is>
          <t>Headbutt</t>
        </is>
      </c>
      <c r="H328" s="46" t="n"/>
      <c r="I328" s="51" t="inlineStr">
        <is>
          <t>Take Down</t>
        </is>
      </c>
      <c r="J328" s="46" t="n"/>
      <c r="K328" s="65" t="inlineStr">
        <is>
          <t>Seismic Toss</t>
        </is>
      </c>
      <c r="L328" s="46" t="n"/>
    </row>
    <row r="329">
      <c r="E329" s="65" t="inlineStr">
        <is>
          <t>Karate Chop</t>
        </is>
      </c>
      <c r="F329" s="46" t="n"/>
      <c r="G329" s="51" t="inlineStr">
        <is>
          <t>Self-Destruct</t>
        </is>
      </c>
      <c r="H329" s="46" t="n"/>
      <c r="I329" s="66" t="inlineStr">
        <is>
          <t>Flash Cannon</t>
        </is>
      </c>
      <c r="J329" s="46" t="n"/>
      <c r="K329" s="51" t="inlineStr">
        <is>
          <t>Headbutt</t>
        </is>
      </c>
      <c r="L329" s="46" t="n"/>
    </row>
  </sheetData>
  <mergeCells count="573">
    <mergeCell ref="B231:D231"/>
    <mergeCell ref="B284:D287"/>
    <mergeCell ref="B222:D225"/>
    <mergeCell ref="E71:F71"/>
    <mergeCell ref="E142:F142"/>
    <mergeCell ref="G71:H71"/>
    <mergeCell ref="E313:F313"/>
    <mergeCell ref="B53:D53"/>
    <mergeCell ref="E234:F234"/>
    <mergeCell ref="G307:H307"/>
    <mergeCell ref="E227:Q227"/>
    <mergeCell ref="E8:F8"/>
    <mergeCell ref="I302:J302"/>
    <mergeCell ref="E73:F73"/>
    <mergeCell ref="E244:F244"/>
    <mergeCell ref="E171:F171"/>
    <mergeCell ref="E137:F137"/>
    <mergeCell ref="G66:H66"/>
    <mergeCell ref="E308:F308"/>
    <mergeCell ref="E173:F173"/>
    <mergeCell ref="E229:F229"/>
    <mergeCell ref="B241:D241"/>
    <mergeCell ref="Q252:Q255"/>
    <mergeCell ref="G229:H229"/>
    <mergeCell ref="B305:D305"/>
    <mergeCell ref="Q74:Q77"/>
    <mergeCell ref="E1:Q1"/>
    <mergeCell ref="E168:F168"/>
    <mergeCell ref="I328:J328"/>
    <mergeCell ref="K328:L328"/>
    <mergeCell ref="E155:Q155"/>
    <mergeCell ref="Q262:Q265"/>
    <mergeCell ref="B118:D121"/>
    <mergeCell ref="E53:F53"/>
    <mergeCell ref="B289:Q289"/>
    <mergeCell ref="E326:F326"/>
    <mergeCell ref="Q326:Q329"/>
    <mergeCell ref="E117:F117"/>
    <mergeCell ref="E55:F55"/>
    <mergeCell ref="E67:F67"/>
    <mergeCell ref="B73:D73"/>
    <mergeCell ref="G67:H67"/>
    <mergeCell ref="B192:D195"/>
    <mergeCell ref="E303:F303"/>
    <mergeCell ref="G61:H61"/>
    <mergeCell ref="E219:F219"/>
    <mergeCell ref="E161:F161"/>
    <mergeCell ref="B79:Q79"/>
    <mergeCell ref="G283:H283"/>
    <mergeCell ref="I283:J283"/>
    <mergeCell ref="B201:D201"/>
    <mergeCell ref="B139:D139"/>
    <mergeCell ref="G298:H298"/>
    <mergeCell ref="G285:H285"/>
    <mergeCell ref="E247:Q247"/>
    <mergeCell ref="E252:F252"/>
    <mergeCell ref="I285:J285"/>
    <mergeCell ref="Q192:Q195"/>
    <mergeCell ref="E316:F316"/>
    <mergeCell ref="Q316:Q319"/>
    <mergeCell ref="B321:D321"/>
    <mergeCell ref="E76:F76"/>
    <mergeCell ref="G76:H76"/>
    <mergeCell ref="E174:F174"/>
    <mergeCell ref="E239:F239"/>
    <mergeCell ref="B21:D21"/>
    <mergeCell ref="E251:F251"/>
    <mergeCell ref="G9:H9"/>
    <mergeCell ref="E18:F18"/>
    <mergeCell ref="E189:F189"/>
    <mergeCell ref="I295:J295"/>
    <mergeCell ref="E238:F238"/>
    <mergeCell ref="G238:H238"/>
    <mergeCell ref="G232:H232"/>
    <mergeCell ref="G303:H303"/>
    <mergeCell ref="E27:Q27"/>
    <mergeCell ref="B145:D145"/>
    <mergeCell ref="G11:H11"/>
    <mergeCell ref="B181:D181"/>
    <mergeCell ref="G296:H296"/>
    <mergeCell ref="E91:Q91"/>
    <mergeCell ref="E92:F92"/>
    <mergeCell ref="B283:D283"/>
    <mergeCell ref="I296:J296"/>
    <mergeCell ref="B5:Q5"/>
    <mergeCell ref="E29:F29"/>
    <mergeCell ref="E205:F205"/>
    <mergeCell ref="E265:F265"/>
    <mergeCell ref="I298:J298"/>
    <mergeCell ref="E31:F31"/>
    <mergeCell ref="E329:F329"/>
    <mergeCell ref="Q44:Q47"/>
    <mergeCell ref="G87:H87"/>
    <mergeCell ref="G329:H329"/>
    <mergeCell ref="B242:D245"/>
    <mergeCell ref="E77:F77"/>
    <mergeCell ref="E133:F133"/>
    <mergeCell ref="E108:F108"/>
    <mergeCell ref="E95:F95"/>
    <mergeCell ref="E89:F89"/>
    <mergeCell ref="G95:H95"/>
    <mergeCell ref="G89:H89"/>
    <mergeCell ref="B113:D113"/>
    <mergeCell ref="E306:F306"/>
    <mergeCell ref="G64:H64"/>
    <mergeCell ref="E162:F162"/>
    <mergeCell ref="G306:H306"/>
    <mergeCell ref="G51:H51"/>
    <mergeCell ref="Q306:Q309"/>
    <mergeCell ref="B311:D311"/>
    <mergeCell ref="B74:D77"/>
    <mergeCell ref="E257:Q257"/>
    <mergeCell ref="E258:F258"/>
    <mergeCell ref="E24:F24"/>
    <mergeCell ref="E195:F195"/>
    <mergeCell ref="E322:F322"/>
    <mergeCell ref="E309:F309"/>
    <mergeCell ref="E188:F188"/>
    <mergeCell ref="E88:F88"/>
    <mergeCell ref="Q96:Q99"/>
    <mergeCell ref="E126:F126"/>
    <mergeCell ref="E81:Q81"/>
    <mergeCell ref="E82:F82"/>
    <mergeCell ref="E253:F253"/>
    <mergeCell ref="G82:H82"/>
    <mergeCell ref="E259:F259"/>
    <mergeCell ref="Q284:Q287"/>
    <mergeCell ref="I286:J286"/>
    <mergeCell ref="E19:F19"/>
    <mergeCell ref="B150:D153"/>
    <mergeCell ref="G19:H19"/>
    <mergeCell ref="B326:D329"/>
    <mergeCell ref="G317:H317"/>
    <mergeCell ref="I75:J75"/>
    <mergeCell ref="E182:F182"/>
    <mergeCell ref="I317:J317"/>
    <mergeCell ref="B165:Q165"/>
    <mergeCell ref="B95:D95"/>
    <mergeCell ref="G83:H83"/>
    <mergeCell ref="E269:Q269"/>
    <mergeCell ref="E319:F319"/>
    <mergeCell ref="G319:H319"/>
    <mergeCell ref="G235:H235"/>
    <mergeCell ref="I297:J297"/>
    <mergeCell ref="K326:L326"/>
    <mergeCell ref="E135:Q135"/>
    <mergeCell ref="B197:D197"/>
    <mergeCell ref="G14:H14"/>
    <mergeCell ref="I312:J312"/>
    <mergeCell ref="E179:F179"/>
    <mergeCell ref="I299:J299"/>
    <mergeCell ref="B261:D261"/>
    <mergeCell ref="B27:D27"/>
    <mergeCell ref="E159:F159"/>
    <mergeCell ref="E208:F208"/>
    <mergeCell ref="E97:F97"/>
    <mergeCell ref="G159:H159"/>
    <mergeCell ref="E59:Q59"/>
    <mergeCell ref="E109:F109"/>
    <mergeCell ref="E47:F47"/>
    <mergeCell ref="E139:F139"/>
    <mergeCell ref="G161:H161"/>
    <mergeCell ref="B316:D319"/>
    <mergeCell ref="E203:F203"/>
    <mergeCell ref="G228:H228"/>
    <mergeCell ref="Q160:Q163"/>
    <mergeCell ref="E321:Q321"/>
    <mergeCell ref="E125:Q125"/>
    <mergeCell ref="Q274:Q277"/>
    <mergeCell ref="E217:Q217"/>
    <mergeCell ref="B279:D279"/>
    <mergeCell ref="G292:H292"/>
    <mergeCell ref="I292:J292"/>
    <mergeCell ref="E63:F63"/>
    <mergeCell ref="B140:D143"/>
    <mergeCell ref="I71:J71"/>
    <mergeCell ref="I307:J307"/>
    <mergeCell ref="E261:F261"/>
    <mergeCell ref="G108:H108"/>
    <mergeCell ref="G231:H231"/>
    <mergeCell ref="E325:F325"/>
    <mergeCell ref="G325:H325"/>
    <mergeCell ref="E119:F119"/>
    <mergeCell ref="B159:D159"/>
    <mergeCell ref="E85:F85"/>
    <mergeCell ref="G318:H318"/>
    <mergeCell ref="E327:F327"/>
    <mergeCell ref="G85:H85"/>
    <mergeCell ref="E183:F183"/>
    <mergeCell ref="I318:J318"/>
    <mergeCell ref="G183:H183"/>
    <mergeCell ref="B44:D47"/>
    <mergeCell ref="B167:D167"/>
    <mergeCell ref="E22:F22"/>
    <mergeCell ref="E193:F193"/>
    <mergeCell ref="E93:F93"/>
    <mergeCell ref="G22:H22"/>
    <mergeCell ref="G193:H193"/>
    <mergeCell ref="E198:F198"/>
    <mergeCell ref="E264:F264"/>
    <mergeCell ref="E49:Q49"/>
    <mergeCell ref="B37:Q37"/>
    <mergeCell ref="G185:H185"/>
    <mergeCell ref="E207:Q207"/>
    <mergeCell ref="G86:H86"/>
    <mergeCell ref="E101:Q101"/>
    <mergeCell ref="E113:Q113"/>
    <mergeCell ref="G178:H178"/>
    <mergeCell ref="E209:F209"/>
    <mergeCell ref="E147:F147"/>
    <mergeCell ref="E280:F280"/>
    <mergeCell ref="E274:F274"/>
    <mergeCell ref="B269:D269"/>
    <mergeCell ref="B187:D187"/>
    <mergeCell ref="E40:F40"/>
    <mergeCell ref="E211:F211"/>
    <mergeCell ref="G162:H162"/>
    <mergeCell ref="B251:D251"/>
    <mergeCell ref="A1:D3"/>
    <mergeCell ref="E275:F275"/>
    <mergeCell ref="G33:H33"/>
    <mergeCell ref="G35:H35"/>
    <mergeCell ref="G302:H302"/>
    <mergeCell ref="B59:D59"/>
    <mergeCell ref="Q212:Q215"/>
    <mergeCell ref="B295:D295"/>
    <mergeCell ref="I308:J308"/>
    <mergeCell ref="E291:Q291"/>
    <mergeCell ref="G99:H99"/>
    <mergeCell ref="E66:F66"/>
    <mergeCell ref="I74:J74"/>
    <mergeCell ref="E130:F130"/>
    <mergeCell ref="E197:Q197"/>
    <mergeCell ref="E160:F160"/>
    <mergeCell ref="Q130:Q133"/>
    <mergeCell ref="E141:F141"/>
    <mergeCell ref="E328:F328"/>
    <mergeCell ref="E132:F132"/>
    <mergeCell ref="G157:H157"/>
    <mergeCell ref="G328:H328"/>
    <mergeCell ref="E224:F224"/>
    <mergeCell ref="E107:F107"/>
    <mergeCell ref="B32:D35"/>
    <mergeCell ref="E143:F143"/>
    <mergeCell ref="B211:D211"/>
    <mergeCell ref="B177:D177"/>
    <mergeCell ref="B96:D99"/>
    <mergeCell ref="I313:J313"/>
    <mergeCell ref="G263:H263"/>
    <mergeCell ref="G323:H323"/>
    <mergeCell ref="I323:J323"/>
    <mergeCell ref="K323:L323"/>
    <mergeCell ref="E46:F46"/>
    <mergeCell ref="E39:Q39"/>
    <mergeCell ref="E61:F61"/>
    <mergeCell ref="Q232:Q235"/>
    <mergeCell ref="E279:Q279"/>
    <mergeCell ref="E54:F54"/>
    <mergeCell ref="G54:H54"/>
    <mergeCell ref="E41:F41"/>
    <mergeCell ref="E212:F212"/>
    <mergeCell ref="E283:F283"/>
    <mergeCell ref="E277:F277"/>
    <mergeCell ref="Q296:Q299"/>
    <mergeCell ref="G106:H106"/>
    <mergeCell ref="E56:F56"/>
    <mergeCell ref="G56:H56"/>
    <mergeCell ref="B117:D117"/>
    <mergeCell ref="E43:F43"/>
    <mergeCell ref="G105:H105"/>
    <mergeCell ref="E214:F214"/>
    <mergeCell ref="E285:F285"/>
    <mergeCell ref="G107:H107"/>
    <mergeCell ref="E7:Q7"/>
    <mergeCell ref="B69:D69"/>
    <mergeCell ref="E293:F293"/>
    <mergeCell ref="B22:D25"/>
    <mergeCell ref="E295:F295"/>
    <mergeCell ref="E9:F9"/>
    <mergeCell ref="B86:D89"/>
    <mergeCell ref="E232:F232"/>
    <mergeCell ref="Q118:Q121"/>
    <mergeCell ref="E11:F11"/>
    <mergeCell ref="E169:F169"/>
    <mergeCell ref="E225:F225"/>
    <mergeCell ref="B237:D237"/>
    <mergeCell ref="E296:F296"/>
    <mergeCell ref="Q182:Q185"/>
    <mergeCell ref="E271:F271"/>
    <mergeCell ref="G29:H29"/>
    <mergeCell ref="G265:H265"/>
    <mergeCell ref="B301:D301"/>
    <mergeCell ref="E177:Q177"/>
    <mergeCell ref="E273:F273"/>
    <mergeCell ref="G31:H31"/>
    <mergeCell ref="I329:J329"/>
    <mergeCell ref="K329:L329"/>
    <mergeCell ref="B11:D11"/>
    <mergeCell ref="K322:L322"/>
    <mergeCell ref="G97:H97"/>
    <mergeCell ref="E64:F64"/>
    <mergeCell ref="E51:F51"/>
    <mergeCell ref="E156:F156"/>
    <mergeCell ref="Q64:Q67"/>
    <mergeCell ref="E153:F153"/>
    <mergeCell ref="G57:H57"/>
    <mergeCell ref="G184:H184"/>
    <mergeCell ref="E65:F65"/>
    <mergeCell ref="B130:D133"/>
    <mergeCell ref="E157:F157"/>
    <mergeCell ref="E284:F284"/>
    <mergeCell ref="E222:F222"/>
    <mergeCell ref="G284:H284"/>
    <mergeCell ref="I284:J284"/>
    <mergeCell ref="B232:D235"/>
    <mergeCell ref="B135:D135"/>
    <mergeCell ref="B227:D227"/>
    <mergeCell ref="E286:F286"/>
    <mergeCell ref="Q172:Q175"/>
    <mergeCell ref="B291:D291"/>
    <mergeCell ref="E75:F75"/>
    <mergeCell ref="E146:F146"/>
    <mergeCell ref="G75:H75"/>
    <mergeCell ref="E317:F317"/>
    <mergeCell ref="E233:F233"/>
    <mergeCell ref="E298:F298"/>
    <mergeCell ref="E12:F12"/>
    <mergeCell ref="G12:H12"/>
    <mergeCell ref="E248:F248"/>
    <mergeCell ref="E175:F175"/>
    <mergeCell ref="Q12:Q15"/>
    <mergeCell ref="E235:F235"/>
    <mergeCell ref="E297:F297"/>
    <mergeCell ref="G297:H297"/>
    <mergeCell ref="B17:D17"/>
    <mergeCell ref="E14:F14"/>
    <mergeCell ref="E185:F185"/>
    <mergeCell ref="E312:F312"/>
    <mergeCell ref="G70:H70"/>
    <mergeCell ref="G241:H241"/>
    <mergeCell ref="G312:H312"/>
    <mergeCell ref="I70:J70"/>
    <mergeCell ref="E299:F299"/>
    <mergeCell ref="G299:H299"/>
    <mergeCell ref="B160:D163"/>
    <mergeCell ref="B212:D215"/>
    <mergeCell ref="G293:H293"/>
    <mergeCell ref="I293:J293"/>
    <mergeCell ref="B217:D217"/>
    <mergeCell ref="G243:H243"/>
    <mergeCell ref="I305:J305"/>
    <mergeCell ref="E201:F201"/>
    <mergeCell ref="B85:D85"/>
    <mergeCell ref="G65:H65"/>
    <mergeCell ref="G192:H192"/>
    <mergeCell ref="E172:F172"/>
    <mergeCell ref="K327:L327"/>
    <mergeCell ref="E25:F25"/>
    <mergeCell ref="G25:H25"/>
    <mergeCell ref="Q140:Q143"/>
    <mergeCell ref="E302:F302"/>
    <mergeCell ref="G60:H60"/>
    <mergeCell ref="E223:F223"/>
    <mergeCell ref="Q106:Q109"/>
    <mergeCell ref="E237:Q237"/>
    <mergeCell ref="B296:D299"/>
    <mergeCell ref="G287:H287"/>
    <mergeCell ref="E83:F83"/>
    <mergeCell ref="E187:Q187"/>
    <mergeCell ref="E254:F254"/>
    <mergeCell ref="B64:D67"/>
    <mergeCell ref="I281:J281"/>
    <mergeCell ref="I287:J287"/>
    <mergeCell ref="B306:D309"/>
    <mergeCell ref="E301:Q301"/>
    <mergeCell ref="E318:F318"/>
    <mergeCell ref="E13:F13"/>
    <mergeCell ref="G13:H13"/>
    <mergeCell ref="E249:F249"/>
    <mergeCell ref="E149:F149"/>
    <mergeCell ref="E114:F114"/>
    <mergeCell ref="Q22:Q25"/>
    <mergeCell ref="E241:F241"/>
    <mergeCell ref="E15:F15"/>
    <mergeCell ref="E86:F86"/>
    <mergeCell ref="G15:H15"/>
    <mergeCell ref="E191:F191"/>
    <mergeCell ref="B325:D325"/>
    <mergeCell ref="G313:H313"/>
    <mergeCell ref="E178:F178"/>
    <mergeCell ref="Q86:Q89"/>
    <mergeCell ref="G234:H234"/>
    <mergeCell ref="G305:H305"/>
    <mergeCell ref="B91:D91"/>
    <mergeCell ref="E315:F315"/>
    <mergeCell ref="G73:H73"/>
    <mergeCell ref="B111:Q111"/>
    <mergeCell ref="G315:H315"/>
    <mergeCell ref="I73:J73"/>
    <mergeCell ref="I315:J315"/>
    <mergeCell ref="B155:D155"/>
    <mergeCell ref="B149:D149"/>
    <mergeCell ref="B247:D247"/>
    <mergeCell ref="B267:Q267"/>
    <mergeCell ref="E106:F106"/>
    <mergeCell ref="B101:D101"/>
    <mergeCell ref="E33:F33"/>
    <mergeCell ref="E204:F204"/>
    <mergeCell ref="G8:H8"/>
    <mergeCell ref="E231:F231"/>
    <mergeCell ref="E35:F35"/>
    <mergeCell ref="E262:F262"/>
    <mergeCell ref="G262:H262"/>
    <mergeCell ref="G308:H308"/>
    <mergeCell ref="E28:F28"/>
    <mergeCell ref="G53:H53"/>
    <mergeCell ref="G28:H28"/>
    <mergeCell ref="G326:H326"/>
    <mergeCell ref="B12:D15"/>
    <mergeCell ref="I326:J326"/>
    <mergeCell ref="E74:F74"/>
    <mergeCell ref="E245:F245"/>
    <mergeCell ref="G74:H74"/>
    <mergeCell ref="G239:H239"/>
    <mergeCell ref="G92:H92"/>
    <mergeCell ref="E17:Q17"/>
    <mergeCell ref="B315:D315"/>
    <mergeCell ref="I303:J303"/>
    <mergeCell ref="B81:D81"/>
    <mergeCell ref="E199:F199"/>
    <mergeCell ref="E255:F255"/>
    <mergeCell ref="E242:F242"/>
    <mergeCell ref="G242:H242"/>
    <mergeCell ref="E21:F21"/>
    <mergeCell ref="E192:F192"/>
    <mergeCell ref="E263:F263"/>
    <mergeCell ref="G21:H21"/>
    <mergeCell ref="E323:F323"/>
    <mergeCell ref="G244:H244"/>
    <mergeCell ref="E129:F129"/>
    <mergeCell ref="E23:F23"/>
    <mergeCell ref="E194:F194"/>
    <mergeCell ref="G23:H23"/>
    <mergeCell ref="G194:H194"/>
    <mergeCell ref="G316:H316"/>
    <mergeCell ref="E181:F181"/>
    <mergeCell ref="I316:J316"/>
    <mergeCell ref="G181:H181"/>
    <mergeCell ref="E131:F131"/>
    <mergeCell ref="G160:H160"/>
    <mergeCell ref="E87:F87"/>
    <mergeCell ref="B257:D257"/>
    <mergeCell ref="I76:J76"/>
    <mergeCell ref="G245:H245"/>
    <mergeCell ref="E145:Q145"/>
    <mergeCell ref="Q54:Q57"/>
    <mergeCell ref="G18:H18"/>
    <mergeCell ref="G189:H189"/>
    <mergeCell ref="E34:F34"/>
    <mergeCell ref="E105:F105"/>
    <mergeCell ref="G34:H34"/>
    <mergeCell ref="E276:F276"/>
    <mergeCell ref="E99:F99"/>
    <mergeCell ref="E270:F270"/>
    <mergeCell ref="E163:F163"/>
    <mergeCell ref="G163:H163"/>
    <mergeCell ref="B125:D125"/>
    <mergeCell ref="B182:D185"/>
    <mergeCell ref="B274:D277"/>
    <mergeCell ref="E136:F136"/>
    <mergeCell ref="Q222:Q225"/>
    <mergeCell ref="E115:F115"/>
    <mergeCell ref="B105:D105"/>
    <mergeCell ref="B43:D43"/>
    <mergeCell ref="E102:F102"/>
    <mergeCell ref="G102:H102"/>
    <mergeCell ref="E2:Q2"/>
    <mergeCell ref="G77:H77"/>
    <mergeCell ref="I77:J77"/>
    <mergeCell ref="E127:F127"/>
    <mergeCell ref="B171:D171"/>
    <mergeCell ref="I306:J306"/>
    <mergeCell ref="G233:H233"/>
    <mergeCell ref="B252:D255"/>
    <mergeCell ref="G191:H191"/>
    <mergeCell ref="E202:F202"/>
    <mergeCell ref="G258:H258"/>
    <mergeCell ref="Q202:Q205"/>
    <mergeCell ref="B106:D109"/>
    <mergeCell ref="B207:D207"/>
    <mergeCell ref="G24:H24"/>
    <mergeCell ref="G195:H195"/>
    <mergeCell ref="G322:H322"/>
    <mergeCell ref="I322:J322"/>
    <mergeCell ref="G309:H309"/>
    <mergeCell ref="I309:J309"/>
    <mergeCell ref="G88:H88"/>
    <mergeCell ref="B262:D265"/>
    <mergeCell ref="G259:H259"/>
    <mergeCell ref="Q32:Q35"/>
    <mergeCell ref="E120:F120"/>
    <mergeCell ref="B172:D175"/>
    <mergeCell ref="B31:D31"/>
    <mergeCell ref="B273:D273"/>
    <mergeCell ref="G261:H261"/>
    <mergeCell ref="E184:F184"/>
    <mergeCell ref="B39:D39"/>
    <mergeCell ref="E50:F50"/>
    <mergeCell ref="E121:F121"/>
    <mergeCell ref="I319:J319"/>
    <mergeCell ref="E213:F213"/>
    <mergeCell ref="E151:F151"/>
    <mergeCell ref="B191:D191"/>
    <mergeCell ref="E150:F150"/>
    <mergeCell ref="G179:H179"/>
    <mergeCell ref="E44:F44"/>
    <mergeCell ref="E215:F215"/>
    <mergeCell ref="Q150:Q153"/>
    <mergeCell ref="B54:D57"/>
    <mergeCell ref="B49:D49"/>
    <mergeCell ref="E103:F103"/>
    <mergeCell ref="E152:F152"/>
    <mergeCell ref="G103:H103"/>
    <mergeCell ref="E3:Q3"/>
    <mergeCell ref="E118:F118"/>
    <mergeCell ref="B63:D63"/>
    <mergeCell ref="B221:D221"/>
    <mergeCell ref="E70:F70"/>
    <mergeCell ref="E57:F57"/>
    <mergeCell ref="E228:F228"/>
    <mergeCell ref="E32:F32"/>
    <mergeCell ref="G32:H32"/>
    <mergeCell ref="E305:F305"/>
    <mergeCell ref="G63:H63"/>
    <mergeCell ref="E243:F243"/>
    <mergeCell ref="E292:F292"/>
    <mergeCell ref="G50:H50"/>
    <mergeCell ref="G286:H286"/>
    <mergeCell ref="E96:F96"/>
    <mergeCell ref="G96:H96"/>
    <mergeCell ref="E307:F307"/>
    <mergeCell ref="Q242:Q245"/>
    <mergeCell ref="E98:F98"/>
    <mergeCell ref="G98:H98"/>
    <mergeCell ref="I325:J325"/>
    <mergeCell ref="K325:L325"/>
    <mergeCell ref="E140:F140"/>
    <mergeCell ref="B123:Q123"/>
    <mergeCell ref="G156:H156"/>
    <mergeCell ref="G327:H327"/>
    <mergeCell ref="I327:J327"/>
    <mergeCell ref="E221:F221"/>
    <mergeCell ref="B202:D205"/>
    <mergeCell ref="G93:H93"/>
    <mergeCell ref="G264:H264"/>
    <mergeCell ref="E60:F60"/>
    <mergeCell ref="E45:F45"/>
    <mergeCell ref="E287:F287"/>
    <mergeCell ref="E281:F281"/>
    <mergeCell ref="B7:D7"/>
    <mergeCell ref="B129:D129"/>
    <mergeCell ref="G281:H281"/>
    <mergeCell ref="G55:H55"/>
    <mergeCell ref="G188:H188"/>
    <mergeCell ref="G182:H182"/>
    <mergeCell ref="E218:F218"/>
    <mergeCell ref="G109:H109"/>
    <mergeCell ref="G280:H280"/>
    <mergeCell ref="I280:J280"/>
    <mergeCell ref="E69:Q69"/>
    <mergeCell ref="E311:Q311"/>
    <mergeCell ref="E167:Q167"/>
    <mergeCell ref="G295:H29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2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IFERROR(_xlfn.IMAGE("https://play.pokemonshowdown.com/sprites/gen5/slaking.png"),"")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Slaking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Own Tempo</t>
        </is>
      </c>
      <c r="G10" s="48" t="inlineStr">
        <is>
          <t>Hardy</t>
        </is>
      </c>
      <c r="H10" s="48" t="inlineStr">
        <is>
          <t>Own Tempo</t>
        </is>
      </c>
      <c r="I10" s="48" t="inlineStr">
        <is>
          <t>Hardy</t>
        </is>
      </c>
      <c r="J10" s="48" t="inlineStr">
        <is>
          <t>Poison Point</t>
        </is>
      </c>
      <c r="K10" s="48" t="inlineStr">
        <is>
          <t>Hardy</t>
        </is>
      </c>
      <c r="L10" s="48" t="inlineStr">
        <is>
          <t>Intimidate</t>
        </is>
      </c>
      <c r="M10" s="48" t="inlineStr">
        <is>
          <t>Hardy</t>
        </is>
      </c>
      <c r="N10" s="48" t="inlineStr">
        <is>
          <t>Guts</t>
        </is>
      </c>
      <c r="O10" s="48" t="inlineStr">
        <is>
          <t>Hardy</t>
        </is>
      </c>
      <c r="P10" s="48" t="inlineStr">
        <is>
          <t>Slow Start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Sitrus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Slash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Bite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Rustboro City - Gym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Leader</t>
        </is>
      </c>
      <c r="C19" s="41" t="n"/>
      <c r="D19" s="41" t="n"/>
      <c r="E19" s="42" t="inlineStr">
        <is>
          <t>Leader Roxanne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IFERROR(_xlfn.IMAGE("https://play.pokemonshowdown.com/sprites/gen5/geodude.png"),"")</f>
        <v/>
      </c>
      <c r="G20" s="43">
        <f>IFERROR(_xlfn.IMAGE("https://play.pokemonshowdown.com/sprites/gen5/geodude.png"),"")</f>
        <v/>
      </c>
      <c r="I20" s="43">
        <f>IFERROR(_xlfn.IMAGE("https://play.pokemonshowdown.com/sprites/gen5/aron.png"),"")</f>
        <v/>
      </c>
      <c r="K20" s="43">
        <f>IFERROR(_xlfn.IMAGE("https://play.pokemonshowdown.com/sprites/gen5/nosepass.png"),"")</f>
        <v/>
      </c>
      <c r="Q20" s="44" t="inlineStr">
        <is>
          <t>Mandatory
Items: Super Potion / Super Potion</t>
        </is>
      </c>
    </row>
    <row r="21">
      <c r="E21" s="45" t="inlineStr">
        <is>
          <t>Lv 20 Geodude</t>
        </is>
      </c>
      <c r="F21" s="46" t="n"/>
      <c r="G21" s="45" t="inlineStr">
        <is>
          <t>Lv 21 Geodude</t>
        </is>
      </c>
      <c r="H21" s="46" t="n"/>
      <c r="I21" s="45" t="inlineStr">
        <is>
          <t>Lv 22 Aron</t>
        </is>
      </c>
      <c r="J21" s="46" t="n"/>
      <c r="K21" s="45" t="inlineStr">
        <is>
          <t>Lv 23 Nosepass</t>
        </is>
      </c>
      <c r="L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Rough Skin</t>
        </is>
      </c>
      <c r="G22" s="48" t="inlineStr">
        <is>
          <t>Hardy</t>
        </is>
      </c>
      <c r="H22" s="48" t="inlineStr">
        <is>
          <t>Rough Skin</t>
        </is>
      </c>
      <c r="I22" s="48" t="inlineStr">
        <is>
          <t>Hardy</t>
        </is>
      </c>
      <c r="J22" s="48" t="inlineStr">
        <is>
          <t>Rock Head</t>
        </is>
      </c>
      <c r="K22" s="48" t="inlineStr">
        <is>
          <t>Hardy</t>
        </is>
      </c>
      <c r="L22" s="48" t="inlineStr">
        <is>
          <t>Solid Rock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Hard Stone</t>
        </is>
      </c>
      <c r="F23" s="46" t="n"/>
      <c r="G23" s="49" t="inlineStr">
        <is>
          <t>Rocky Helmet</t>
        </is>
      </c>
      <c r="H23" s="46" t="n"/>
      <c r="I23" s="49" t="inlineStr">
        <is>
          <t>Life Orb</t>
        </is>
      </c>
      <c r="J23" s="46" t="n"/>
      <c r="K23" s="49" t="inlineStr">
        <is>
          <t>Wide Lens</t>
        </is>
      </c>
      <c r="L23" s="46" t="n"/>
      <c r="Q23" s="47" t="inlineStr">
        <is>
          <t>Item</t>
        </is>
      </c>
    </row>
    <row r="24">
      <c r="B24" s="44" t="inlineStr">
        <is>
          <t>Smart Trainer</t>
        </is>
      </c>
      <c r="E24" s="62" t="inlineStr">
        <is>
          <t>Rock Throw</t>
        </is>
      </c>
      <c r="F24" s="46" t="n"/>
      <c r="G24" s="62" t="inlineStr">
        <is>
          <t>Rock Throw</t>
        </is>
      </c>
      <c r="H24" s="46" t="n"/>
      <c r="I24" s="66" t="inlineStr">
        <is>
          <t>Iron Head</t>
        </is>
      </c>
      <c r="J24" s="46" t="n"/>
      <c r="K24" s="62" t="inlineStr">
        <is>
          <t>Rock Slide</t>
        </is>
      </c>
      <c r="L24" s="46" t="n"/>
      <c r="Q24" s="47" t="inlineStr">
        <is>
          <t>Moves</t>
        </is>
      </c>
    </row>
    <row r="25">
      <c r="E25" s="53" t="inlineStr">
        <is>
          <t>Dig</t>
        </is>
      </c>
      <c r="F25" s="46" t="n"/>
      <c r="G25" s="53" t="inlineStr">
        <is>
          <t>Mud Bomb</t>
        </is>
      </c>
      <c r="H25" s="46" t="n"/>
      <c r="I25" s="51" t="inlineStr">
        <is>
          <t>Headbutt</t>
        </is>
      </c>
      <c r="J25" s="46" t="n"/>
      <c r="K25" s="66" t="inlineStr">
        <is>
          <t>Iron Head</t>
        </is>
      </c>
      <c r="L25" s="46" t="n"/>
    </row>
    <row r="26">
      <c r="E26" s="51" t="inlineStr">
        <is>
          <t>Headbutt</t>
        </is>
      </c>
      <c r="F26" s="46" t="n"/>
      <c r="G26" s="51" t="inlineStr">
        <is>
          <t>Headbutt</t>
        </is>
      </c>
      <c r="H26" s="46" t="n"/>
      <c r="I26" s="51" t="inlineStr">
        <is>
          <t>Take Down</t>
        </is>
      </c>
      <c r="J26" s="46" t="n"/>
      <c r="K26" s="65" t="inlineStr">
        <is>
          <t>Seismic Toss</t>
        </is>
      </c>
      <c r="L26" s="46" t="n"/>
    </row>
    <row r="27">
      <c r="E27" s="65" t="inlineStr">
        <is>
          <t>Karate Chop</t>
        </is>
      </c>
      <c r="F27" s="46" t="n"/>
      <c r="G27" s="51" t="inlineStr">
        <is>
          <t>Self-Destruct</t>
        </is>
      </c>
      <c r="H27" s="46" t="n"/>
      <c r="I27" s="66" t="inlineStr">
        <is>
          <t>Flash Cannon</t>
        </is>
      </c>
      <c r="J27" s="46" t="n"/>
      <c r="K27" s="51" t="inlineStr">
        <is>
          <t>Headbutt</t>
        </is>
      </c>
      <c r="L27" s="46" t="n"/>
    </row>
    <row r="29" ht="24" customHeight="1">
      <c r="B29" s="38" t="inlineStr">
        <is>
          <t>Dewford Town - Gym   (Split 3)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Brawly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IFERROR(_xlfn.IMAGE("https://play.pokemonshowdown.com/sprites/gen5/machop.png"),"")</f>
        <v/>
      </c>
      <c r="G32" s="43">
        <f>IFERROR(_xlfn.IMAGE("https://play.pokemonshowdown.com/sprites/gen5/meditite.png"),"")</f>
        <v/>
      </c>
      <c r="I32" s="43">
        <f>IFERROR(_xlfn.IMAGE("https://play.pokemonshowdown.com/sprites/gen5/makuhita.png"),"")</f>
        <v/>
      </c>
      <c r="Q32" s="44" t="inlineStr">
        <is>
          <t>Mandatory
Items: Super Potion / Super Potion</t>
        </is>
      </c>
    </row>
    <row r="33">
      <c r="E33" s="45" t="inlineStr">
        <is>
          <t>Lv 16 Machop</t>
        </is>
      </c>
      <c r="F33" s="46" t="n"/>
      <c r="G33" s="45" t="inlineStr">
        <is>
          <t>Lv 16 Meditite</t>
        </is>
      </c>
      <c r="H33" s="46" t="n"/>
      <c r="I33" s="45" t="inlineStr">
        <is>
          <t>Lv 19 Makuhita</t>
        </is>
      </c>
      <c r="J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No Guard</t>
        </is>
      </c>
      <c r="G34" s="48" t="inlineStr">
        <is>
          <t>Hardy</t>
        </is>
      </c>
      <c r="H34" s="48" t="inlineStr">
        <is>
          <t>Pure Power</t>
        </is>
      </c>
      <c r="I34" s="48" t="inlineStr">
        <is>
          <t>Hardy</t>
        </is>
      </c>
      <c r="J34" s="48" t="inlineStr">
        <is>
          <t>Guts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(None)</t>
        </is>
      </c>
      <c r="F35" s="46" t="n"/>
      <c r="G35" s="49" t="inlineStr">
        <is>
          <t>(None)</t>
        </is>
      </c>
      <c r="H35" s="46" t="n"/>
      <c r="I35" s="49" t="inlineStr">
        <is>
          <t>Sitrus Berry</t>
        </is>
      </c>
      <c r="J35" s="46" t="n"/>
      <c r="Q35" s="47" t="inlineStr">
        <is>
          <t>Item</t>
        </is>
      </c>
    </row>
    <row r="36">
      <c r="B36" s="44" t="inlineStr">
        <is>
          <t>Smart Trainer</t>
        </is>
      </c>
      <c r="E36" s="65" t="inlineStr">
        <is>
          <t>Karate Chop</t>
        </is>
      </c>
      <c r="F36" s="46" t="n"/>
      <c r="G36" s="65" t="inlineStr">
        <is>
          <t>Focus Punch</t>
        </is>
      </c>
      <c r="H36" s="46" t="n"/>
      <c r="I36" s="65" t="inlineStr">
        <is>
          <t>Arm Thrust</t>
        </is>
      </c>
      <c r="J36" s="46" t="n"/>
      <c r="Q36" s="47" t="inlineStr">
        <is>
          <t>Moves</t>
        </is>
      </c>
    </row>
    <row r="37">
      <c r="E37" s="65" t="inlineStr">
        <is>
          <t>Low Kick</t>
        </is>
      </c>
      <c r="F37" s="46" t="n"/>
      <c r="G37" s="63" t="inlineStr">
        <is>
          <t>Light Screen</t>
        </is>
      </c>
      <c r="H37" s="46" t="n"/>
      <c r="I37" s="65" t="inlineStr">
        <is>
          <t>Vital Throw</t>
        </is>
      </c>
      <c r="J37" s="46" t="n"/>
    </row>
    <row r="38">
      <c r="E38" s="65" t="inlineStr">
        <is>
          <t>Seismic Toss</t>
        </is>
      </c>
      <c r="F38" s="46" t="n"/>
      <c r="G38" s="63" t="inlineStr">
        <is>
          <t>Reflect</t>
        </is>
      </c>
      <c r="H38" s="46" t="n"/>
      <c r="I38" s="65" t="inlineStr">
        <is>
          <t>Reversal</t>
        </is>
      </c>
      <c r="J38" s="46" t="n"/>
    </row>
    <row r="39">
      <c r="E39" s="65" t="inlineStr">
        <is>
          <t>Bulk Up</t>
        </is>
      </c>
      <c r="F39" s="46" t="n"/>
      <c r="G39" s="65" t="inlineStr">
        <is>
          <t>Bulk Up</t>
        </is>
      </c>
      <c r="H39" s="46" t="n"/>
      <c r="I39" s="65" t="inlineStr">
        <is>
          <t>Bulk Up</t>
        </is>
      </c>
      <c r="J39" s="46" t="n"/>
    </row>
    <row r="41" ht="24" customHeight="1">
      <c r="B41" s="38" t="inlineStr">
        <is>
          <t>Mauville City - Gym   (Split 4)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Wattson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IFERROR(_xlfn.IMAGE("https://play.pokemonshowdown.com/sprites/gen5/voltorb.png"),"")</f>
        <v/>
      </c>
      <c r="G44" s="43">
        <f>IFERROR(_xlfn.IMAGE("https://play.pokemonshowdown.com/sprites/gen5/electrike.png"),"")</f>
        <v/>
      </c>
      <c r="I44" s="43">
        <f>IFERROR(_xlfn.IMAGE("https://play.pokemonshowdown.com/sprites/gen5/magneton.png"),"")</f>
        <v/>
      </c>
      <c r="K44" s="43">
        <f>IFERROR(_xlfn.IMAGE("https://play.pokemonshowdown.com/sprites/gen5/manectric.png"),"")</f>
        <v/>
      </c>
      <c r="Q44" s="44" t="inlineStr">
        <is>
          <t>Mandatory
Items: Super Potion / Super Potion</t>
        </is>
      </c>
    </row>
    <row r="45">
      <c r="E45" s="45" t="inlineStr">
        <is>
          <t>Lv 20 Voltorb</t>
        </is>
      </c>
      <c r="F45" s="46" t="n"/>
      <c r="G45" s="45" t="inlineStr">
        <is>
          <t>Lv 20 Electrike</t>
        </is>
      </c>
      <c r="H45" s="46" t="n"/>
      <c r="I45" s="45" t="inlineStr">
        <is>
          <t>Lv 22 Magneton</t>
        </is>
      </c>
      <c r="J45" s="46" t="n"/>
      <c r="K45" s="45" t="inlineStr">
        <is>
          <t>Lv 24 Manectric</t>
        </is>
      </c>
      <c r="L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Aftermath</t>
        </is>
      </c>
      <c r="G46" s="48" t="inlineStr">
        <is>
          <t>Hardy</t>
        </is>
      </c>
      <c r="H46" s="48" t="inlineStr">
        <is>
          <t>Lightning Rod</t>
        </is>
      </c>
      <c r="I46" s="48" t="inlineStr">
        <is>
          <t>Hardy</t>
        </is>
      </c>
      <c r="J46" s="48" t="inlineStr">
        <is>
          <t>Magnet Pull</t>
        </is>
      </c>
      <c r="K46" s="48" t="inlineStr">
        <is>
          <t>Hardy</t>
        </is>
      </c>
      <c r="L46" s="48" t="inlineStr">
        <is>
          <t>Lightning Rod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(None)</t>
        </is>
      </c>
      <c r="J47" s="46" t="n"/>
      <c r="K47" s="49" t="inlineStr">
        <is>
          <t>Sitrus Berry</t>
        </is>
      </c>
      <c r="L47" s="46" t="n"/>
      <c r="Q47" s="47" t="inlineStr">
        <is>
          <t>Item</t>
        </is>
      </c>
    </row>
    <row r="48">
      <c r="B48" s="44" t="inlineStr">
        <is>
          <t>Smart Trainer</t>
        </is>
      </c>
      <c r="E48" s="62" t="inlineStr">
        <is>
          <t>Rollout</t>
        </is>
      </c>
      <c r="F48" s="46" t="n"/>
      <c r="G48" s="52" t="inlineStr">
        <is>
          <t>Shock Wave</t>
        </is>
      </c>
      <c r="H48" s="46" t="n"/>
      <c r="I48" s="51" t="inlineStr">
        <is>
          <t>Supersonic</t>
        </is>
      </c>
      <c r="J48" s="46" t="n"/>
      <c r="K48" s="51" t="inlineStr">
        <is>
          <t>Quick Attack</t>
        </is>
      </c>
      <c r="L48" s="46" t="n"/>
      <c r="Q48" s="47" t="inlineStr">
        <is>
          <t>Moves</t>
        </is>
      </c>
    </row>
    <row r="49">
      <c r="E49" s="52" t="inlineStr">
        <is>
          <t>Spark</t>
        </is>
      </c>
      <c r="F49" s="46" t="n"/>
      <c r="G49" s="51" t="inlineStr">
        <is>
          <t>Leer</t>
        </is>
      </c>
      <c r="H49" s="46" t="n"/>
      <c r="I49" s="52" t="inlineStr">
        <is>
          <t>Shock Wave</t>
        </is>
      </c>
      <c r="J49" s="46" t="n"/>
      <c r="K49" s="52" t="inlineStr">
        <is>
          <t>Thunder Wave</t>
        </is>
      </c>
      <c r="L49" s="46" t="n"/>
    </row>
    <row r="50">
      <c r="E50" s="51" t="inlineStr">
        <is>
          <t>Self Destruct</t>
        </is>
      </c>
      <c r="F50" s="46" t="n"/>
      <c r="G50" s="51" t="inlineStr">
        <is>
          <t>Quick Attack</t>
        </is>
      </c>
      <c r="H50" s="46" t="n"/>
      <c r="I50" s="52" t="inlineStr">
        <is>
          <t>Thunder Wave</t>
        </is>
      </c>
      <c r="J50" s="46" t="n"/>
      <c r="K50" s="52" t="inlineStr">
        <is>
          <t>Shock Wave</t>
        </is>
      </c>
      <c r="L50" s="46" t="n"/>
    </row>
    <row r="51">
      <c r="E51" s="52" t="inlineStr">
        <is>
          <t>Shock Wave</t>
        </is>
      </c>
      <c r="F51" s="46" t="n"/>
      <c r="G51" s="51" t="inlineStr">
        <is>
          <t>Howl</t>
        </is>
      </c>
      <c r="H51" s="46" t="n"/>
      <c r="I51" s="51" t="inlineStr">
        <is>
          <t>Sonic Boom</t>
        </is>
      </c>
      <c r="J51" s="46" t="n"/>
      <c r="K51" s="51" t="inlineStr">
        <is>
          <t>Howl</t>
        </is>
      </c>
      <c r="L51" s="46" t="n"/>
    </row>
    <row r="53" ht="24" customHeight="1">
      <c r="B53" s="38" t="inlineStr">
        <is>
          <t>Mt Chimney   (Split 5)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Magma Leader</t>
        </is>
      </c>
      <c r="C55" s="41" t="n"/>
      <c r="D55" s="41" t="n"/>
      <c r="E55" s="42" t="inlineStr">
        <is>
          <t>Magma Leader Maxie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IFERROR(_xlfn.IMAGE("https://play.pokemonshowdown.com/sprites/gen5/mightyena.png"),"")</f>
        <v/>
      </c>
      <c r="G56" s="43">
        <f>IFERROR(_xlfn.IMAGE("https://play.pokemonshowdown.com/sprites/gen5/zubat.png"),"")</f>
        <v/>
      </c>
      <c r="I56" s="43">
        <f>IFERROR(_xlfn.IMAGE("https://play.pokemonshowdown.com/sprites/gen5/camerupt.png"),"")</f>
        <v/>
      </c>
      <c r="Q56" s="44" t="inlineStr">
        <is>
          <t>Optional
Items: Super Potion / Super Potion</t>
        </is>
      </c>
    </row>
    <row r="57">
      <c r="E57" s="45" t="inlineStr">
        <is>
          <t>Lv 24 Mightyena</t>
        </is>
      </c>
      <c r="F57" s="46" t="n"/>
      <c r="G57" s="45" t="inlineStr">
        <is>
          <t>Lv 24 Zubat</t>
        </is>
      </c>
      <c r="H57" s="46" t="n"/>
      <c r="I57" s="45" t="inlineStr">
        <is>
          <t>Lv 25 Camerupt</t>
        </is>
      </c>
      <c r="J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Intimidate</t>
        </is>
      </c>
      <c r="G58" s="48" t="inlineStr">
        <is>
          <t>Hardy</t>
        </is>
      </c>
      <c r="H58" s="48" t="inlineStr">
        <is>
          <t>Inner Focus</t>
        </is>
      </c>
      <c r="I58" s="48" t="inlineStr">
        <is>
          <t>Hardy</t>
        </is>
      </c>
      <c r="J58" s="48" t="inlineStr">
        <is>
          <t>Magma Armor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51" t="inlineStr">
        <is>
          <t>Yawn</t>
        </is>
      </c>
      <c r="F60" s="46" t="n"/>
      <c r="G60" s="60" t="inlineStr">
        <is>
          <t>Wing Attack</t>
        </is>
      </c>
      <c r="H60" s="46" t="n"/>
      <c r="I60" s="53" t="inlineStr">
        <is>
          <t>Bulldoze</t>
        </is>
      </c>
      <c r="J60" s="46" t="n"/>
      <c r="Q60" s="47" t="inlineStr">
        <is>
          <t>Moves</t>
        </is>
      </c>
    </row>
    <row r="61">
      <c r="E61" s="50" t="inlineStr">
        <is>
          <t>Bite</t>
        </is>
      </c>
      <c r="F61" s="46" t="n"/>
      <c r="G61" s="55" t="inlineStr">
        <is>
          <t>Poison Sting</t>
        </is>
      </c>
      <c r="H61" s="46" t="n"/>
      <c r="I61" s="58" t="inlineStr">
        <is>
          <t>Flare Blitz</t>
        </is>
      </c>
      <c r="J61" s="46" t="n"/>
    </row>
    <row r="62">
      <c r="E62" s="51" t="inlineStr">
        <is>
          <t>Odor Sleuth</t>
        </is>
      </c>
      <c r="F62" s="46" t="n"/>
      <c r="G62" s="66" t="inlineStr">
        <is>
          <t>Steel Wing</t>
        </is>
      </c>
      <c r="H62" s="46" t="n"/>
      <c r="I62" s="51" t="inlineStr">
        <is>
          <t>Self Destruct</t>
        </is>
      </c>
      <c r="J62" s="46" t="n"/>
    </row>
    <row r="63">
      <c r="E63" s="50" t="inlineStr">
        <is>
          <t>Assurance</t>
        </is>
      </c>
      <c r="F63" s="46" t="n"/>
      <c r="G63" s="50" t="inlineStr">
        <is>
          <t>Bite</t>
        </is>
      </c>
      <c r="H63" s="46" t="n"/>
      <c r="I63" s="53" t="inlineStr">
        <is>
          <t>Earth Power</t>
        </is>
      </c>
      <c r="J63" s="46" t="n"/>
    </row>
    <row r="65" ht="24" customHeight="1">
      <c r="B65" s="38" t="inlineStr">
        <is>
          <t>Magma Hideout - 4F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IFERROR(_xlfn.IMAGE("https://play.pokemonshowdown.com/sprites/gen5/crobat.png"),"")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37 Mightyena</t>
        </is>
      </c>
      <c r="F69" s="46" t="n"/>
      <c r="G69" s="45" t="inlineStr">
        <is>
          <t>Lv 38 Crobat</t>
        </is>
      </c>
      <c r="H69" s="46" t="n"/>
      <c r="I69" s="45" t="inlineStr">
        <is>
          <t>Lv 39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Odor Sleuth</t>
        </is>
      </c>
      <c r="F72" s="46" t="n"/>
      <c r="G72" s="50" t="inlineStr">
        <is>
          <t>Bite</t>
        </is>
      </c>
      <c r="H72" s="46" t="n"/>
      <c r="I72" s="53" t="inlineStr">
        <is>
          <t>Earth Power</t>
        </is>
      </c>
      <c r="J72" s="46" t="n"/>
      <c r="Q72" s="47" t="inlineStr">
        <is>
          <t>Moves</t>
        </is>
      </c>
    </row>
    <row r="73">
      <c r="E73" s="50" t="inlineStr">
        <is>
          <t>Assurance</t>
        </is>
      </c>
      <c r="F73" s="46" t="n"/>
      <c r="G73" s="66" t="inlineStr">
        <is>
          <t>Steel Wing</t>
        </is>
      </c>
      <c r="H73" s="46" t="n"/>
      <c r="I73" s="62" t="inlineStr">
        <is>
          <t>Rock Slide</t>
        </is>
      </c>
      <c r="J73" s="46" t="n"/>
    </row>
    <row r="74">
      <c r="E74" s="52" t="inlineStr">
        <is>
          <t>Thunder Fang</t>
        </is>
      </c>
      <c r="F74" s="46" t="n"/>
      <c r="G74" s="60" t="inlineStr">
        <is>
          <t>Aerial Ace</t>
        </is>
      </c>
      <c r="H74" s="46" t="n"/>
      <c r="I74" s="58" t="inlineStr">
        <is>
          <t>Lava Plume</t>
        </is>
      </c>
      <c r="J74" s="46" t="n"/>
    </row>
    <row r="75">
      <c r="E75" s="55" t="inlineStr">
        <is>
          <t>Poison Fang</t>
        </is>
      </c>
      <c r="F75" s="46" t="n"/>
      <c r="G75" s="51" t="inlineStr">
        <is>
          <t>Whirlwind</t>
        </is>
      </c>
      <c r="H75" s="46" t="n"/>
      <c r="I75" s="51" t="inlineStr">
        <is>
          <t>Explosion</t>
        </is>
      </c>
      <c r="J75" s="46" t="n"/>
    </row>
    <row r="77" ht="24" customHeight="1">
      <c r="B77" s="38" t="inlineStr">
        <is>
          <t>Lavaridge Town - Gym - 1F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Leader</t>
        </is>
      </c>
      <c r="C79" s="41" t="n"/>
      <c r="D79" s="41" t="n"/>
      <c r="E79" s="42" t="inlineStr">
        <is>
          <t>Leader Flannery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IFERROR(_xlfn.IMAGE("https://play.pokemonshowdown.com/sprites/gen5/numel.png"),"")</f>
        <v/>
      </c>
      <c r="G80" s="43">
        <f>IFERROR(_xlfn.IMAGE("https://play.pokemonshowdown.com/sprites/gen5/slugma.png"),"")</f>
        <v/>
      </c>
      <c r="I80" s="43">
        <f>IFERROR(_xlfn.IMAGE("https://play.pokemonshowdown.com/sprites/gen5/camerupt.png"),"")</f>
        <v/>
      </c>
      <c r="K80" s="43">
        <f>IFERROR(_xlfn.IMAGE("https://play.pokemonshowdown.com/sprites/gen5/torkoal.png"),"")</f>
        <v/>
      </c>
      <c r="Q80" s="44" t="inlineStr">
        <is>
          <t>Mandatory
Items: Hyper Potion / Hyper Potion</t>
        </is>
      </c>
    </row>
    <row r="81">
      <c r="E81" s="45" t="inlineStr">
        <is>
          <t>Lv 24 Numel</t>
        </is>
      </c>
      <c r="F81" s="46" t="n"/>
      <c r="G81" s="45" t="inlineStr">
        <is>
          <t>Lv 24 Slugma</t>
        </is>
      </c>
      <c r="H81" s="46" t="n"/>
      <c r="I81" s="45" t="inlineStr">
        <is>
          <t>Lv 26 Camerupt</t>
        </is>
      </c>
      <c r="J81" s="46" t="n"/>
      <c r="K81" s="45" t="inlineStr">
        <is>
          <t>Lv 29 Torkoal</t>
        </is>
      </c>
      <c r="L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Oblivious</t>
        </is>
      </c>
      <c r="G82" s="48" t="inlineStr">
        <is>
          <t>Hardy</t>
        </is>
      </c>
      <c r="H82" s="48" t="inlineStr">
        <is>
          <t>Magma Armor</t>
        </is>
      </c>
      <c r="I82" s="48" t="inlineStr">
        <is>
          <t>Hardy</t>
        </is>
      </c>
      <c r="J82" s="48" t="inlineStr">
        <is>
          <t>Magma Armor</t>
        </is>
      </c>
      <c r="K82" s="48" t="inlineStr">
        <is>
          <t>Hardy</t>
        </is>
      </c>
      <c r="L82" s="48" t="inlineStr">
        <is>
          <t>White Smoke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K83" s="49" t="inlineStr">
        <is>
          <t>White Herb</t>
        </is>
      </c>
      <c r="L83" s="46" t="n"/>
      <c r="Q83" s="47" t="inlineStr">
        <is>
          <t>Item</t>
        </is>
      </c>
    </row>
    <row r="84">
      <c r="B84" s="44" t="inlineStr">
        <is>
          <t>Smart Trainer</t>
        </is>
      </c>
      <c r="E84" s="58" t="inlineStr">
        <is>
          <t>Overheat</t>
        </is>
      </c>
      <c r="F84" s="46" t="n"/>
      <c r="G84" s="58" t="inlineStr">
        <is>
          <t>Overheat</t>
        </is>
      </c>
      <c r="H84" s="46" t="n"/>
      <c r="I84" s="58" t="inlineStr">
        <is>
          <t>Overheat</t>
        </is>
      </c>
      <c r="J84" s="46" t="n"/>
      <c r="K84" s="58" t="inlineStr">
        <is>
          <t>Overheat</t>
        </is>
      </c>
      <c r="L84" s="46" t="n"/>
      <c r="Q84" s="47" t="inlineStr">
        <is>
          <t>Moves</t>
        </is>
      </c>
    </row>
    <row r="85">
      <c r="E85" s="51" t="inlineStr">
        <is>
          <t>Take Down</t>
        </is>
      </c>
      <c r="F85" s="46" t="n"/>
      <c r="G85" s="55" t="inlineStr">
        <is>
          <t>Smog</t>
        </is>
      </c>
      <c r="H85" s="46" t="n"/>
      <c r="I85" s="51" t="inlineStr">
        <is>
          <t>Tackle</t>
        </is>
      </c>
      <c r="J85" s="46" t="n"/>
      <c r="K85" s="58" t="inlineStr">
        <is>
          <t>Sunny Day</t>
        </is>
      </c>
      <c r="L85" s="46" t="n"/>
    </row>
    <row r="86">
      <c r="E86" s="53" t="inlineStr">
        <is>
          <t>Magnitude</t>
        </is>
      </c>
      <c r="F86" s="46" t="n"/>
      <c r="G86" s="63" t="inlineStr">
        <is>
          <t>Light Screen</t>
        </is>
      </c>
      <c r="H86" s="46" t="n"/>
      <c r="I86" s="58" t="inlineStr">
        <is>
          <t>Sunny Day</t>
        </is>
      </c>
      <c r="J86" s="46" t="n"/>
      <c r="K86" s="51" t="inlineStr">
        <is>
          <t>Body Slam</t>
        </is>
      </c>
      <c r="L86" s="46" t="n"/>
    </row>
    <row r="87">
      <c r="E87" s="58" t="inlineStr">
        <is>
          <t>Sunny Day</t>
        </is>
      </c>
      <c r="F87" s="46" t="n"/>
      <c r="G87" s="58" t="inlineStr">
        <is>
          <t>Sunny Day</t>
        </is>
      </c>
      <c r="H87" s="46" t="n"/>
      <c r="I87" s="51" t="inlineStr">
        <is>
          <t>Attract</t>
        </is>
      </c>
      <c r="J87" s="46" t="n"/>
      <c r="K87" s="51" t="inlineStr">
        <is>
          <t>Attract</t>
        </is>
      </c>
      <c r="L87" s="46" t="n"/>
    </row>
    <row r="89" ht="24" customHeight="1">
      <c r="B89" s="38" t="inlineStr">
        <is>
          <t>Fortree City - Gym   (Split 6)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Winona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IFERROR(_xlfn.IMAGE("https://play.pokemonshowdown.com/sprites/gen5/swablu.png"),"")</f>
        <v/>
      </c>
      <c r="G92" s="43">
        <f>IFERROR(_xlfn.IMAGE("https://play.pokemonshowdown.com/sprites/gen5/tropius.png"),"")</f>
        <v/>
      </c>
      <c r="I92" s="43">
        <f>IFERROR(_xlfn.IMAGE("https://play.pokemonshowdown.com/sprites/gen5/pelipper.png"),"")</f>
        <v/>
      </c>
      <c r="K92" s="43">
        <f>IFERROR(_xlfn.IMAGE("https://play.pokemonshowdown.com/sprites/gen5/skarmory.png"),"")</f>
        <v/>
      </c>
      <c r="M92" s="43">
        <f>IFERROR(_xlfn.IMAGE("https://play.pokemonshowdown.com/sprites/gen5/altaria.png"),"")</f>
        <v/>
      </c>
      <c r="Q92" s="44" t="inlineStr">
        <is>
          <t>Mandatory
Items: Hyper Potion / Hyper Potion</t>
        </is>
      </c>
    </row>
    <row r="93">
      <c r="E93" s="45" t="inlineStr">
        <is>
          <t>Lv 29 Swablu</t>
        </is>
      </c>
      <c r="F93" s="46" t="n"/>
      <c r="G93" s="45" t="inlineStr">
        <is>
          <t>Lv 29 Tropius</t>
        </is>
      </c>
      <c r="H93" s="46" t="n"/>
      <c r="I93" s="45" t="inlineStr">
        <is>
          <t>Lv 30 Pelipper</t>
        </is>
      </c>
      <c r="J93" s="46" t="n"/>
      <c r="K93" s="45" t="inlineStr">
        <is>
          <t>Lv 31 Skarmory</t>
        </is>
      </c>
      <c r="L93" s="46" t="n"/>
      <c r="M93" s="45" t="inlineStr">
        <is>
          <t>Lv 33 Altaria</t>
        </is>
      </c>
      <c r="N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Natural Cure</t>
        </is>
      </c>
      <c r="G94" s="48" t="inlineStr">
        <is>
          <t>Hardy</t>
        </is>
      </c>
      <c r="H94" s="48" t="inlineStr">
        <is>
          <t>Chlorophyll</t>
        </is>
      </c>
      <c r="I94" s="48" t="inlineStr">
        <is>
          <t>Hardy</t>
        </is>
      </c>
      <c r="J94" s="48" t="inlineStr">
        <is>
          <t>Unburden</t>
        </is>
      </c>
      <c r="K94" s="48" t="inlineStr">
        <is>
          <t>Hardy</t>
        </is>
      </c>
      <c r="L94" s="48" t="inlineStr">
        <is>
          <t>Filter</t>
        </is>
      </c>
      <c r="M94" s="48" t="inlineStr">
        <is>
          <t>Hardy</t>
        </is>
      </c>
      <c r="N94" s="48" t="inlineStr">
        <is>
          <t>Serene Grace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(None)</t>
        </is>
      </c>
      <c r="L95" s="46" t="n"/>
      <c r="M95" s="49" t="inlineStr">
        <is>
          <t>Oran Berry</t>
        </is>
      </c>
      <c r="N95" s="46" t="n"/>
      <c r="Q95" s="47" t="inlineStr">
        <is>
          <t>Item</t>
        </is>
      </c>
    </row>
    <row r="96">
      <c r="B96" s="44" t="inlineStr">
        <is>
          <t>Smart Trainer</t>
        </is>
      </c>
      <c r="E96" s="51" t="inlineStr">
        <is>
          <t>Perish Song</t>
        </is>
      </c>
      <c r="F96" s="46" t="n"/>
      <c r="G96" s="58" t="inlineStr">
        <is>
          <t>Sunny Day</t>
        </is>
      </c>
      <c r="H96" s="46" t="n"/>
      <c r="I96" s="61" t="inlineStr">
        <is>
          <t>Water Gun</t>
        </is>
      </c>
      <c r="J96" s="46" t="n"/>
      <c r="K96" s="53" t="inlineStr">
        <is>
          <t>Sand Attack</t>
        </is>
      </c>
      <c r="L96" s="46" t="n"/>
      <c r="M96" s="53" t="inlineStr">
        <is>
          <t>Earthquake</t>
        </is>
      </c>
      <c r="N96" s="46" t="n"/>
      <c r="Q96" s="47" t="inlineStr">
        <is>
          <t>Moves</t>
        </is>
      </c>
    </row>
    <row r="97">
      <c r="E97" s="60" t="inlineStr">
        <is>
          <t>Mirror Move</t>
        </is>
      </c>
      <c r="F97" s="46" t="n"/>
      <c r="G97" s="60" t="inlineStr">
        <is>
          <t>Aerial Ace</t>
        </is>
      </c>
      <c r="H97" s="46" t="n"/>
      <c r="I97" s="51" t="inlineStr">
        <is>
          <t>Supersonic</t>
        </is>
      </c>
      <c r="J97" s="46" t="n"/>
      <c r="K97" s="51" t="inlineStr">
        <is>
          <t>Fury Attack</t>
        </is>
      </c>
      <c r="L97" s="46" t="n"/>
      <c r="M97" s="68" t="inlineStr">
        <is>
          <t>Dragon Breath</t>
        </is>
      </c>
      <c r="N97" s="46" t="n"/>
    </row>
    <row r="98">
      <c r="E98" s="51" t="inlineStr">
        <is>
          <t>Safeguard</t>
        </is>
      </c>
      <c r="F98" s="46" t="n"/>
      <c r="G98" s="59" t="inlineStr">
        <is>
          <t>Solar Beam</t>
        </is>
      </c>
      <c r="H98" s="46" t="n"/>
      <c r="I98" s="51" t="inlineStr">
        <is>
          <t>Protect</t>
        </is>
      </c>
      <c r="J98" s="46" t="n"/>
      <c r="K98" s="66" t="inlineStr">
        <is>
          <t>Steel Wing</t>
        </is>
      </c>
      <c r="L98" s="46" t="n"/>
      <c r="M98" s="68" t="inlineStr">
        <is>
          <t>Dragon Dance</t>
        </is>
      </c>
      <c r="N98" s="46" t="n"/>
    </row>
    <row r="99">
      <c r="E99" s="60" t="inlineStr">
        <is>
          <t>Aerial Ace</t>
        </is>
      </c>
      <c r="F99" s="46" t="n"/>
      <c r="G99" s="59" t="inlineStr">
        <is>
          <t>Synthesis</t>
        </is>
      </c>
      <c r="H99" s="46" t="n"/>
      <c r="I99" s="60" t="inlineStr">
        <is>
          <t>Aerial Ace</t>
        </is>
      </c>
      <c r="J99" s="46" t="n"/>
      <c r="K99" s="60" t="inlineStr">
        <is>
          <t>Aerial Ace</t>
        </is>
      </c>
      <c r="L99" s="46" t="n"/>
      <c r="M99" s="60" t="inlineStr">
        <is>
          <t>Aerial Ace</t>
        </is>
      </c>
      <c r="N99" s="46" t="n"/>
    </row>
    <row r="101" ht="24" customHeight="1">
      <c r="B101" s="38" t="inlineStr">
        <is>
          <t>Mossdeep City - Space Center - 2F   (Split 7)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Magma Leader</t>
        </is>
      </c>
      <c r="C103" s="41" t="n"/>
      <c r="D103" s="41" t="n"/>
      <c r="E103" s="42" t="inlineStr">
        <is>
          <t>Magma Leader Maxie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IFERROR(_xlfn.IMAGE("https://play.pokemonshowdown.com/sprites/gen5/mightyena.png"),"")</f>
        <v/>
      </c>
      <c r="G104" s="43">
        <f>IFERROR(_xlfn.IMAGE("https://play.pokemonshowdown.com/sprites/gen5/crobat.png"),"")</f>
        <v/>
      </c>
      <c r="I104" s="43">
        <f>IFERROR(_xlfn.IMAGE("https://play.pokemonshowdown.com/sprites/gen5/camerupt.png"),"")</f>
        <v/>
      </c>
    </row>
    <row r="105">
      <c r="E105" s="45" t="inlineStr">
        <is>
          <t>Lv 42 Mightyena</t>
        </is>
      </c>
      <c r="F105" s="46" t="n"/>
      <c r="G105" s="45" t="inlineStr">
        <is>
          <t>Lv 43 Crobat</t>
        </is>
      </c>
      <c r="H105" s="46" t="n"/>
      <c r="I105" s="45" t="inlineStr">
        <is>
          <t>Lv 44 Camerupt</t>
        </is>
      </c>
      <c r="J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Intimidate</t>
        </is>
      </c>
      <c r="G106" s="48" t="inlineStr">
        <is>
          <t>Hardy</t>
        </is>
      </c>
      <c r="H106" s="48" t="inlineStr">
        <is>
          <t>Inner Focus</t>
        </is>
      </c>
      <c r="I106" s="48" t="inlineStr">
        <is>
          <t>Hardy</t>
        </is>
      </c>
      <c r="J106" s="48" t="inlineStr">
        <is>
          <t>Magma Armor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0" t="inlineStr">
        <is>
          <t>Assurance</t>
        </is>
      </c>
      <c r="F108" s="46" t="n"/>
      <c r="G108" s="66" t="inlineStr">
        <is>
          <t>Steel Wing</t>
        </is>
      </c>
      <c r="H108" s="46" t="n"/>
      <c r="I108" s="53" t="inlineStr">
        <is>
          <t>Earth Power</t>
        </is>
      </c>
      <c r="J108" s="46" t="n"/>
      <c r="Q108" s="47" t="inlineStr">
        <is>
          <t>Moves</t>
        </is>
      </c>
    </row>
    <row r="109">
      <c r="E109" s="52" t="inlineStr">
        <is>
          <t>Thunder Fang</t>
        </is>
      </c>
      <c r="F109" s="46" t="n"/>
      <c r="G109" s="60" t="inlineStr">
        <is>
          <t>Aerial Ace</t>
        </is>
      </c>
      <c r="H109" s="46" t="n"/>
      <c r="I109" s="62" t="inlineStr">
        <is>
          <t>Rock Slide</t>
        </is>
      </c>
      <c r="J109" s="46" t="n"/>
    </row>
    <row r="110">
      <c r="E110" s="55" t="inlineStr">
        <is>
          <t>Poison Fang</t>
        </is>
      </c>
      <c r="F110" s="46" t="n"/>
      <c r="G110" s="51" t="inlineStr">
        <is>
          <t>Whirlwind</t>
        </is>
      </c>
      <c r="H110" s="46" t="n"/>
      <c r="I110" s="58" t="inlineStr">
        <is>
          <t>Lava Plume</t>
        </is>
      </c>
      <c r="J110" s="46" t="n"/>
    </row>
    <row r="111">
      <c r="E111" s="50" t="inlineStr">
        <is>
          <t>Beat Up</t>
        </is>
      </c>
      <c r="F111" s="46" t="n"/>
      <c r="G111" s="67" t="inlineStr">
        <is>
          <t>Confuse Ray</t>
        </is>
      </c>
      <c r="H111" s="46" t="n"/>
      <c r="I111" s="51" t="inlineStr">
        <is>
          <t>Explosion</t>
        </is>
      </c>
      <c r="J111" s="46" t="n"/>
    </row>
    <row r="113" ht="24" customHeight="1">
      <c r="B113" s="38" t="inlineStr">
        <is>
          <t>Mossdeep City - Gym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Leader</t>
        </is>
      </c>
      <c r="C115" s="41" t="n"/>
      <c r="D115" s="41" t="n"/>
      <c r="E115" s="42" t="inlineStr">
        <is>
          <t>Leader Tate&amp;Liza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IFERROR(_xlfn.IMAGE("https://play.pokemonshowdown.com/sprites/gen5/claydol.png"),"")</f>
        <v/>
      </c>
      <c r="G116" s="43">
        <f>IFERROR(_xlfn.IMAGE("https://play.pokemonshowdown.com/sprites/gen5/xatu.png"),"")</f>
        <v/>
      </c>
      <c r="I116" s="43">
        <f>IFERROR(_xlfn.IMAGE("https://play.pokemonshowdown.com/sprites/gen5/lunatone.png"),"")</f>
        <v/>
      </c>
      <c r="K116" s="43">
        <f>IFERROR(_xlfn.IMAGE("https://play.pokemonshowdown.com/sprites/gen5/solrock.png"),"")</f>
        <v/>
      </c>
      <c r="Q116" s="44" t="inlineStr">
        <is>
          <t>DOUBLE BATTLE
Mandatory
Items: Hyper Potion / Hyper Potion / Hyper Potion / Hyper Potion</t>
        </is>
      </c>
    </row>
    <row r="117">
      <c r="E117" s="45" t="inlineStr">
        <is>
          <t>Lv 41 Claydol</t>
        </is>
      </c>
      <c r="F117" s="46" t="n"/>
      <c r="G117" s="45" t="inlineStr">
        <is>
          <t>Lv 41 Xatu</t>
        </is>
      </c>
      <c r="H117" s="46" t="n"/>
      <c r="I117" s="45" t="inlineStr">
        <is>
          <t>Lv 42 Lunatone</t>
        </is>
      </c>
      <c r="J117" s="46" t="n"/>
      <c r="K117" s="45" t="inlineStr">
        <is>
          <t>Lv 42 Solrock</t>
        </is>
      </c>
      <c r="L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Levitate</t>
        </is>
      </c>
      <c r="G118" s="48" t="inlineStr">
        <is>
          <t>Hardy</t>
        </is>
      </c>
      <c r="H118" s="48" t="inlineStr">
        <is>
          <t>Magic Guard</t>
        </is>
      </c>
      <c r="I118" s="48" t="inlineStr">
        <is>
          <t>Hardy</t>
        </is>
      </c>
      <c r="J118" s="48" t="inlineStr">
        <is>
          <t>Levitate</t>
        </is>
      </c>
      <c r="K118" s="48" t="inlineStr">
        <is>
          <t>Hardy</t>
        </is>
      </c>
      <c r="L118" s="48" t="inlineStr">
        <is>
          <t>Levitate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Sitrus Berry</t>
        </is>
      </c>
      <c r="J119" s="46" t="n"/>
      <c r="K119" s="49" t="inlineStr">
        <is>
          <t>Sitrus Berry</t>
        </is>
      </c>
      <c r="L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3" t="inlineStr">
        <is>
          <t>Earthquake</t>
        </is>
      </c>
      <c r="F120" s="46" t="n"/>
      <c r="G120" s="63" t="inlineStr">
        <is>
          <t>Psychic</t>
        </is>
      </c>
      <c r="H120" s="46" t="n"/>
      <c r="I120" s="63" t="inlineStr">
        <is>
          <t>Light Screen</t>
        </is>
      </c>
      <c r="J120" s="46" t="n"/>
      <c r="K120" s="58" t="inlineStr">
        <is>
          <t>Sunny Day</t>
        </is>
      </c>
      <c r="L120" s="46" t="n"/>
      <c r="Q120" s="47" t="inlineStr">
        <is>
          <t>Moves</t>
        </is>
      </c>
    </row>
    <row r="121">
      <c r="E121" s="62" t="inlineStr">
        <is>
          <t>Ancient Power</t>
        </is>
      </c>
      <c r="F121" s="46" t="n"/>
      <c r="G121" s="58" t="inlineStr">
        <is>
          <t>Sunny Day</t>
        </is>
      </c>
      <c r="H121" s="46" t="n"/>
      <c r="I121" s="63" t="inlineStr">
        <is>
          <t>Psychic</t>
        </is>
      </c>
      <c r="J121" s="46" t="n"/>
      <c r="K121" s="59" t="inlineStr">
        <is>
          <t>Solar Beam</t>
        </is>
      </c>
      <c r="L121" s="46" t="n"/>
    </row>
    <row r="122">
      <c r="E122" s="63" t="inlineStr">
        <is>
          <t>Psychic</t>
        </is>
      </c>
      <c r="F122" s="46" t="n"/>
      <c r="G122" s="67" t="inlineStr">
        <is>
          <t>Confuse Ray</t>
        </is>
      </c>
      <c r="H122" s="46" t="n"/>
      <c r="I122" s="63" t="inlineStr">
        <is>
          <t>Hypnosis</t>
        </is>
      </c>
      <c r="J122" s="46" t="n"/>
      <c r="K122" s="63" t="inlineStr">
        <is>
          <t>Psychic</t>
        </is>
      </c>
      <c r="L122" s="46" t="n"/>
    </row>
    <row r="123">
      <c r="E123" s="63" t="inlineStr">
        <is>
          <t>Light Screen</t>
        </is>
      </c>
      <c r="F123" s="46" t="n"/>
      <c r="G123" s="63" t="inlineStr">
        <is>
          <t>Calm Mind</t>
        </is>
      </c>
      <c r="H123" s="46" t="n"/>
      <c r="I123" s="63" t="inlineStr">
        <is>
          <t>Calm Mind</t>
        </is>
      </c>
      <c r="J123" s="46" t="n"/>
      <c r="K123" s="58" t="inlineStr">
        <is>
          <t>Flamethrower</t>
        </is>
      </c>
      <c r="L123" s="46" t="n"/>
    </row>
    <row r="125" ht="24" customHeight="1">
      <c r="B125" s="38" t="inlineStr">
        <is>
          <t>Seafloor Cavern - Room 9   (Split 8)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Aqua Leader</t>
        </is>
      </c>
      <c r="C127" s="41" t="n"/>
      <c r="D127" s="41" t="n"/>
      <c r="E127" s="42" t="inlineStr">
        <is>
          <t>Aqua Leader Archie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IFERROR(_xlfn.IMAGE("https://play.pokemonshowdown.com/sprites/gen5/mightyena.png"),"")</f>
        <v/>
      </c>
      <c r="G128" s="43">
        <f>IFERROR(_xlfn.IMAGE("https://play.pokemonshowdown.com/sprites/gen5/crobat.png"),"")</f>
        <v/>
      </c>
      <c r="I128" s="43">
        <f>IFERROR(_xlfn.IMAGE("https://play.pokemonshowdown.com/sprites/gen5/sharpedo.png"),"")</f>
        <v/>
      </c>
      <c r="Q128" s="44" t="inlineStr">
        <is>
          <t>Items: Super Potion / Super Potion</t>
        </is>
      </c>
    </row>
    <row r="129">
      <c r="E129" s="45" t="inlineStr">
        <is>
          <t>Lv 41 Mightyena</t>
        </is>
      </c>
      <c r="F129" s="46" t="n"/>
      <c r="G129" s="45" t="inlineStr">
        <is>
          <t>Lv 41 Crobat</t>
        </is>
      </c>
      <c r="H129" s="46" t="n"/>
      <c r="I129" s="45" t="inlineStr">
        <is>
          <t>Lv 43 Sharpedo</t>
        </is>
      </c>
      <c r="J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Intimidate</t>
        </is>
      </c>
      <c r="G130" s="48" t="inlineStr">
        <is>
          <t>Hardy</t>
        </is>
      </c>
      <c r="H130" s="48" t="inlineStr">
        <is>
          <t>Inner Focus</t>
        </is>
      </c>
      <c r="I130" s="48" t="inlineStr">
        <is>
          <t>Hardy</t>
        </is>
      </c>
      <c r="J130" s="48" t="inlineStr">
        <is>
          <t>Tinted Lens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(None)</t>
        </is>
      </c>
      <c r="J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Odor Sleuth</t>
        </is>
      </c>
      <c r="F132" s="46" t="n"/>
      <c r="G132" s="66" t="inlineStr">
        <is>
          <t>Steel Wing</t>
        </is>
      </c>
      <c r="H132" s="46" t="n"/>
      <c r="I132" s="61" t="inlineStr">
        <is>
          <t>Aqua Cutter</t>
        </is>
      </c>
      <c r="J132" s="46" t="n"/>
      <c r="Q132" s="47" t="inlineStr">
        <is>
          <t>Moves</t>
        </is>
      </c>
    </row>
    <row r="133">
      <c r="E133" s="50" t="inlineStr">
        <is>
          <t>Assurance</t>
        </is>
      </c>
      <c r="F133" s="46" t="n"/>
      <c r="G133" s="60" t="inlineStr">
        <is>
          <t>Aerial Ace</t>
        </is>
      </c>
      <c r="H133" s="46" t="n"/>
      <c r="I133" s="51" t="inlineStr">
        <is>
          <t>Hyper Fang</t>
        </is>
      </c>
      <c r="J133" s="46" t="n"/>
    </row>
    <row r="134">
      <c r="E134" s="52" t="inlineStr">
        <is>
          <t>Thunder Fang</t>
        </is>
      </c>
      <c r="F134" s="46" t="n"/>
      <c r="G134" s="51" t="inlineStr">
        <is>
          <t>Whirlwind</t>
        </is>
      </c>
      <c r="H134" s="46" t="n"/>
      <c r="I134" s="61" t="inlineStr">
        <is>
          <t>Water Pulse</t>
        </is>
      </c>
      <c r="J134" s="46" t="n"/>
    </row>
    <row r="135">
      <c r="E135" s="55" t="inlineStr">
        <is>
          <t>Poison Fang</t>
        </is>
      </c>
      <c r="F135" s="46" t="n"/>
      <c r="G135" s="67" t="inlineStr">
        <is>
          <t>Confuse Ray</t>
        </is>
      </c>
      <c r="H135" s="46" t="n"/>
      <c r="I135" s="50" t="inlineStr">
        <is>
          <t>Pursuit</t>
        </is>
      </c>
      <c r="J135" s="46" t="n"/>
    </row>
    <row r="137" ht="24" customHeight="1">
      <c r="B137" s="38" t="inlineStr">
        <is>
          <t>Sootopolis City - Gym - 1F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Leader</t>
        </is>
      </c>
      <c r="C139" s="41" t="n"/>
      <c r="D139" s="41" t="n"/>
      <c r="E139" s="42" t="inlineStr">
        <is>
          <t>Leader Juan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IFERROR(_xlfn.IMAGE("https://play.pokemonshowdown.com/sprites/gen5/luvdisc.png"),"")</f>
        <v/>
      </c>
      <c r="G140" s="43">
        <f>IFERROR(_xlfn.IMAGE("https://play.pokemonshowdown.com/sprites/gen5/whiscash.png"),"")</f>
        <v/>
      </c>
      <c r="I140" s="43">
        <f>IFERROR(_xlfn.IMAGE("https://play.pokemonshowdown.com/sprites/gen5/sealeo.png"),"")</f>
        <v/>
      </c>
      <c r="K140" s="43">
        <f>IFERROR(_xlfn.IMAGE("https://play.pokemonshowdown.com/sprites/gen5/crawdaunt.png"),"")</f>
        <v/>
      </c>
      <c r="M140" s="43">
        <f>IFERROR(_xlfn.IMAGE("https://play.pokemonshowdown.com/sprites/gen5/kingdra.png"),"")</f>
        <v/>
      </c>
      <c r="Q140" s="44" t="inlineStr">
        <is>
          <t>Mandatory
Items: Hyper Potion / Hyper Potion</t>
        </is>
      </c>
    </row>
    <row r="141">
      <c r="E141" s="45" t="inlineStr">
        <is>
          <t>Lv 41 Luvdisc</t>
        </is>
      </c>
      <c r="F141" s="46" t="n"/>
      <c r="G141" s="45" t="inlineStr">
        <is>
          <t>Lv 41 Whiscash</t>
        </is>
      </c>
      <c r="H141" s="46" t="n"/>
      <c r="I141" s="45" t="inlineStr">
        <is>
          <t>Lv 43 Sealeo</t>
        </is>
      </c>
      <c r="J141" s="46" t="n"/>
      <c r="K141" s="45" t="inlineStr">
        <is>
          <t>Lv 43 Crawdaunt</t>
        </is>
      </c>
      <c r="L141" s="46" t="n"/>
      <c r="M141" s="45" t="inlineStr">
        <is>
          <t>Lv 46 Kingdra</t>
        </is>
      </c>
      <c r="N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Swift Swim</t>
        </is>
      </c>
      <c r="G142" s="48" t="inlineStr">
        <is>
          <t>Hardy</t>
        </is>
      </c>
      <c r="H142" s="48" t="inlineStr">
        <is>
          <t>Hydration</t>
        </is>
      </c>
      <c r="I142" s="48" t="inlineStr">
        <is>
          <t>Hardy</t>
        </is>
      </c>
      <c r="J142" s="48" t="inlineStr">
        <is>
          <t>Ice Body</t>
        </is>
      </c>
      <c r="K142" s="48" t="inlineStr">
        <is>
          <t>Hardy</t>
        </is>
      </c>
      <c r="L142" s="48" t="inlineStr">
        <is>
          <t>Adaptability</t>
        </is>
      </c>
      <c r="M142" s="48" t="inlineStr">
        <is>
          <t>Hardy</t>
        </is>
      </c>
      <c r="N142" s="48" t="inlineStr">
        <is>
          <t>Swift Swim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K143" s="49" t="inlineStr">
        <is>
          <t>(None)</t>
        </is>
      </c>
      <c r="L143" s="46" t="n"/>
      <c r="M143" s="49" t="inlineStr">
        <is>
          <t>Chesto Berry</t>
        </is>
      </c>
      <c r="N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Pulse</t>
        </is>
      </c>
      <c r="F144" s="46" t="n"/>
      <c r="G144" s="61" t="inlineStr">
        <is>
          <t>Rain Dance</t>
        </is>
      </c>
      <c r="H144" s="46" t="n"/>
      <c r="I144" s="51" t="inlineStr">
        <is>
          <t>Encore</t>
        </is>
      </c>
      <c r="J144" s="46" t="n"/>
      <c r="K144" s="61" t="inlineStr">
        <is>
          <t>Water Pulse</t>
        </is>
      </c>
      <c r="L144" s="46" t="n"/>
      <c r="M144" s="61" t="inlineStr">
        <is>
          <t>Water Pulse</t>
        </is>
      </c>
      <c r="N144" s="46" t="n"/>
      <c r="Q144" s="47" t="inlineStr">
        <is>
          <t>Moves</t>
        </is>
      </c>
    </row>
    <row r="145">
      <c r="E145" s="51" t="inlineStr">
        <is>
          <t>Attract</t>
        </is>
      </c>
      <c r="F145" s="46" t="n"/>
      <c r="G145" s="61" t="inlineStr">
        <is>
          <t>Water Pulse</t>
        </is>
      </c>
      <c r="H145" s="46" t="n"/>
      <c r="I145" s="51" t="inlineStr">
        <is>
          <t>Body Slam</t>
        </is>
      </c>
      <c r="J145" s="46" t="n"/>
      <c r="K145" s="61" t="inlineStr">
        <is>
          <t>Crabhammer</t>
        </is>
      </c>
      <c r="L145" s="46" t="n"/>
      <c r="M145" s="51" t="inlineStr">
        <is>
          <t>Double Team</t>
        </is>
      </c>
      <c r="N145" s="46" t="n"/>
    </row>
    <row r="146">
      <c r="E146" s="51" t="inlineStr">
        <is>
          <t>Sweet Kiss</t>
        </is>
      </c>
      <c r="F146" s="46" t="n"/>
      <c r="G146" s="63" t="inlineStr">
        <is>
          <t>Amnesia</t>
        </is>
      </c>
      <c r="H146" s="46" t="n"/>
      <c r="I146" s="64" t="inlineStr">
        <is>
          <t>Aurora Beam</t>
        </is>
      </c>
      <c r="J146" s="46" t="n"/>
      <c r="K146" s="50" t="inlineStr">
        <is>
          <t>Taunt</t>
        </is>
      </c>
      <c r="L146" s="46" t="n"/>
      <c r="M146" s="64" t="inlineStr">
        <is>
          <t>Ice Beam</t>
        </is>
      </c>
      <c r="N146" s="46" t="n"/>
    </row>
    <row r="147">
      <c r="E147" s="51" t="inlineStr">
        <is>
          <t>Flail</t>
        </is>
      </c>
      <c r="F147" s="46" t="n"/>
      <c r="G147" s="53" t="inlineStr">
        <is>
          <t>Earthquake</t>
        </is>
      </c>
      <c r="H147" s="46" t="n"/>
      <c r="I147" s="61" t="inlineStr">
        <is>
          <t>Water Pulse</t>
        </is>
      </c>
      <c r="J147" s="46" t="n"/>
      <c r="K147" s="51" t="inlineStr">
        <is>
          <t>Leer</t>
        </is>
      </c>
      <c r="L147" s="46" t="n"/>
      <c r="M147" s="63" t="inlineStr">
        <is>
          <t>Rest</t>
        </is>
      </c>
      <c r="N147" s="46" t="n"/>
    </row>
    <row r="149" ht="24" customHeight="1">
      <c r="B149" s="38" t="inlineStr">
        <is>
          <t>Ever Grande City - Sidneys Room   (Elite Four &amp; Champion)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Elite Four</t>
        </is>
      </c>
      <c r="C151" s="41" t="n"/>
      <c r="D151" s="41" t="n"/>
      <c r="E151" s="42" t="inlineStr">
        <is>
          <t>Elite Four Sidney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IFERROR(_xlfn.IMAGE("https://play.pokemonshowdown.com/sprites/gen5/mightyena.png"),"")</f>
        <v/>
      </c>
      <c r="G152" s="43">
        <f>IFERROR(_xlfn.IMAGE("https://play.pokemonshowdown.com/sprites/gen5/shiftry.png"),"")</f>
        <v/>
      </c>
      <c r="I152" s="43">
        <f>IFERROR(_xlfn.IMAGE("https://play.pokemonshowdown.com/sprites/gen5/cacturne.png"),"")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IFERROR(_xlfn.IMAGE("https://play.pokemonshowdown.com/sprites/gen5/absol.png"),"")</f>
        <v/>
      </c>
      <c r="Q152" s="44" t="inlineStr">
        <is>
          <t>Optional
Items: Full Restore / Full Restore</t>
        </is>
      </c>
    </row>
    <row r="153">
      <c r="E153" s="45" t="inlineStr">
        <is>
          <t>Lv 46 Mightyena</t>
        </is>
      </c>
      <c r="F153" s="46" t="n"/>
      <c r="G153" s="45" t="inlineStr">
        <is>
          <t>Lv 48 Shiftry</t>
        </is>
      </c>
      <c r="H153" s="46" t="n"/>
      <c r="I153" s="45" t="inlineStr">
        <is>
          <t>Lv 46 Cacturne</t>
        </is>
      </c>
      <c r="J153" s="46" t="n"/>
      <c r="K153" s="45" t="inlineStr">
        <is>
          <t>Lv 48 Crawdaunt</t>
        </is>
      </c>
      <c r="L153" s="46" t="n"/>
      <c r="M153" s="45" t="inlineStr">
        <is>
          <t>Lv 49 Absol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Intimidate</t>
        </is>
      </c>
      <c r="G154" s="48" t="inlineStr">
        <is>
          <t>Hardy</t>
        </is>
      </c>
      <c r="H154" s="48" t="inlineStr">
        <is>
          <t>Chlorophyll</t>
        </is>
      </c>
      <c r="I154" s="48" t="inlineStr">
        <is>
          <t>Hardy</t>
        </is>
      </c>
      <c r="J154" s="48" t="inlineStr">
        <is>
          <t>Sand Veil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Super Luck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Sitrus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51" t="inlineStr">
        <is>
          <t>Roar</t>
        </is>
      </c>
      <c r="F156" s="46" t="n"/>
      <c r="G156" s="50" t="inlineStr">
        <is>
          <t>Torment</t>
        </is>
      </c>
      <c r="H156" s="46" t="n"/>
      <c r="I156" s="59" t="inlineStr">
        <is>
          <t>Leech Seed</t>
        </is>
      </c>
      <c r="J156" s="46" t="n"/>
      <c r="K156" s="61" t="inlineStr">
        <is>
          <t>Surf</t>
        </is>
      </c>
      <c r="L156" s="46" t="n"/>
      <c r="M156" s="60" t="inlineStr">
        <is>
          <t>Aerial Ace</t>
        </is>
      </c>
      <c r="N156" s="46" t="n"/>
      <c r="Q156" s="47" t="inlineStr">
        <is>
          <t>Moves</t>
        </is>
      </c>
    </row>
    <row r="157">
      <c r="E157" s="51" t="inlineStr">
        <is>
          <t>Double Edge</t>
        </is>
      </c>
      <c r="F157" s="46" t="n"/>
      <c r="G157" s="51" t="inlineStr">
        <is>
          <t>Double Team</t>
        </is>
      </c>
      <c r="H157" s="46" t="n"/>
      <c r="I157" s="50" t="inlineStr">
        <is>
          <t>Feint Attack</t>
        </is>
      </c>
      <c r="J157" s="46" t="n"/>
      <c r="K157" s="51" t="inlineStr">
        <is>
          <t>Swords Dance</t>
        </is>
      </c>
      <c r="L157" s="46" t="n"/>
      <c r="M157" s="62" t="inlineStr">
        <is>
          <t>Rock Slide</t>
        </is>
      </c>
      <c r="N157" s="46" t="n"/>
    </row>
    <row r="158">
      <c r="E158" s="53" t="inlineStr">
        <is>
          <t>Sand Attack</t>
        </is>
      </c>
      <c r="F158" s="46" t="n"/>
      <c r="G158" s="51" t="inlineStr">
        <is>
          <t>Swagger</t>
        </is>
      </c>
      <c r="H158" s="46" t="n"/>
      <c r="I158" s="59" t="inlineStr">
        <is>
          <t>Needle Arm</t>
        </is>
      </c>
      <c r="J158" s="46" t="n"/>
      <c r="K158" s="51" t="inlineStr">
        <is>
          <t>Strength</t>
        </is>
      </c>
      <c r="L158" s="46" t="n"/>
      <c r="M158" s="51" t="inlineStr">
        <is>
          <t>Swords Dance</t>
        </is>
      </c>
      <c r="N158" s="46" t="n"/>
    </row>
    <row r="159">
      <c r="E159" s="50" t="inlineStr">
        <is>
          <t>Crunch</t>
        </is>
      </c>
      <c r="F159" s="46" t="n"/>
      <c r="G159" s="63" t="inlineStr">
        <is>
          <t>Extrasensory</t>
        </is>
      </c>
      <c r="H159" s="46" t="n"/>
      <c r="I159" s="59" t="inlineStr">
        <is>
          <t>Cotton Spore</t>
        </is>
      </c>
      <c r="J159" s="46" t="n"/>
      <c r="K159" s="51" t="inlineStr">
        <is>
          <t>Facade</t>
        </is>
      </c>
      <c r="L159" s="46" t="n"/>
      <c r="M159" s="51" t="inlineStr">
        <is>
          <t>Slash</t>
        </is>
      </c>
      <c r="N159" s="46" t="n"/>
    </row>
    <row r="161" ht="24" customHeight="1">
      <c r="B161" s="38" t="inlineStr">
        <is>
          <t>Ever Grande City - Phoebes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Phoebe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IFERROR(_xlfn.IMAGE("https://play.pokemonshowdown.com/sprites/gen5/dusclops.png"),"")</f>
        <v/>
      </c>
      <c r="G164" s="43">
        <f>IFERROR(_xlfn.IMAGE("https://play.pokemonshowdown.com/sprites/gen5/banette.png"),"")</f>
        <v/>
      </c>
      <c r="I164" s="43">
        <f>IFERROR(_xlfn.IMAGE("https://play.pokemonshowdown.com/sprites/gen5/sableye.png"),"")</f>
        <v/>
      </c>
      <c r="K164" s="43">
        <f>IFERROR(_xlfn.IMAGE("https://play.pokemonshowdown.com/sprites/gen5/banette.png"),"")</f>
        <v/>
      </c>
      <c r="M164" s="43">
        <f>IFERROR(_xlfn.IMAGE("https://play.pokemonshowdown.com/sprites/gen5/dusclops.png"),"")</f>
        <v/>
      </c>
      <c r="Q164" s="44" t="inlineStr">
        <is>
          <t>Optional
Items: Full Restore / Full Restore</t>
        </is>
      </c>
    </row>
    <row r="165">
      <c r="E165" s="45" t="inlineStr">
        <is>
          <t>Lv 48 Dusclops</t>
        </is>
      </c>
      <c r="F165" s="46" t="n"/>
      <c r="G165" s="45" t="inlineStr">
        <is>
          <t>Lv 49 Banette</t>
        </is>
      </c>
      <c r="H165" s="46" t="n"/>
      <c r="I165" s="45" t="inlineStr">
        <is>
          <t>Lv 50 Sableye</t>
        </is>
      </c>
      <c r="J165" s="46" t="n"/>
      <c r="K165" s="45" t="inlineStr">
        <is>
          <t>Lv 49 Banette</t>
        </is>
      </c>
      <c r="L165" s="46" t="n"/>
      <c r="M165" s="45" t="inlineStr">
        <is>
          <t>Lv 51 Dusclops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Pressure</t>
        </is>
      </c>
      <c r="G166" s="48" t="inlineStr">
        <is>
          <t>Hardy</t>
        </is>
      </c>
      <c r="H166" s="48" t="inlineStr">
        <is>
          <t>Clear Body</t>
        </is>
      </c>
      <c r="I166" s="48" t="inlineStr">
        <is>
          <t>Hardy</t>
        </is>
      </c>
      <c r="J166" s="48" t="inlineStr">
        <is>
          <t>Clear Body</t>
        </is>
      </c>
      <c r="K166" s="48" t="inlineStr">
        <is>
          <t>Hardy</t>
        </is>
      </c>
      <c r="L166" s="48" t="inlineStr">
        <is>
          <t>Clear Body</t>
        </is>
      </c>
      <c r="M166" s="48" t="inlineStr">
        <is>
          <t>Hardy</t>
        </is>
      </c>
      <c r="N166" s="48" t="inlineStr">
        <is>
          <t>Pressure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7" t="inlineStr">
        <is>
          <t>Shadow Punch</t>
        </is>
      </c>
      <c r="F168" s="46" t="n"/>
      <c r="G168" s="67" t="inlineStr">
        <is>
          <t>Shadow Ball</t>
        </is>
      </c>
      <c r="H168" s="46" t="n"/>
      <c r="I168" s="67" t="inlineStr">
        <is>
          <t>Shadow Ball</t>
        </is>
      </c>
      <c r="J168" s="46" t="n"/>
      <c r="K168" s="67" t="inlineStr">
        <is>
          <t>Shadow Ball</t>
        </is>
      </c>
      <c r="L168" s="46" t="n"/>
      <c r="M168" s="67" t="inlineStr">
        <is>
          <t>Shadow Ball</t>
        </is>
      </c>
      <c r="N168" s="46" t="n"/>
      <c r="Q168" s="47" t="inlineStr">
        <is>
          <t>Moves</t>
        </is>
      </c>
    </row>
    <row r="169">
      <c r="E169" s="67" t="inlineStr">
        <is>
          <t>Confuse Ray</t>
        </is>
      </c>
      <c r="F169" s="46" t="n"/>
      <c r="G169" s="67" t="inlineStr">
        <is>
          <t>Grudge</t>
        </is>
      </c>
      <c r="H169" s="46" t="n"/>
      <c r="I169" s="51" t="inlineStr">
        <is>
          <t>Double Team</t>
        </is>
      </c>
      <c r="J169" s="46" t="n"/>
      <c r="K169" s="63" t="inlineStr">
        <is>
          <t>Psychic</t>
        </is>
      </c>
      <c r="L169" s="46" t="n"/>
      <c r="M169" s="64" t="inlineStr">
        <is>
          <t>Ice Beam</t>
        </is>
      </c>
      <c r="N169" s="46" t="n"/>
    </row>
    <row r="170">
      <c r="E170" s="51" t="inlineStr">
        <is>
          <t>Curse</t>
        </is>
      </c>
      <c r="F170" s="46" t="n"/>
      <c r="G170" s="58" t="inlineStr">
        <is>
          <t>Will O Wisp</t>
        </is>
      </c>
      <c r="H170" s="46" t="n"/>
      <c r="I170" s="67" t="inlineStr">
        <is>
          <t>Night Shade</t>
        </is>
      </c>
      <c r="J170" s="46" t="n"/>
      <c r="K170" s="52" t="inlineStr">
        <is>
          <t>Thunderbolt</t>
        </is>
      </c>
      <c r="L170" s="46" t="n"/>
      <c r="M170" s="62" t="inlineStr">
        <is>
          <t>Rock Slide</t>
        </is>
      </c>
      <c r="N170" s="46" t="n"/>
    </row>
    <row r="171">
      <c r="E171" s="51" t="inlineStr">
        <is>
          <t>Protect</t>
        </is>
      </c>
      <c r="F171" s="46" t="n"/>
      <c r="G171" s="50" t="inlineStr">
        <is>
          <t>Feint Attack</t>
        </is>
      </c>
      <c r="H171" s="46" t="n"/>
      <c r="I171" s="50" t="inlineStr">
        <is>
          <t>Feint Attack</t>
        </is>
      </c>
      <c r="J171" s="46" t="n"/>
      <c r="K171" s="51" t="inlineStr">
        <is>
          <t>Facade</t>
        </is>
      </c>
      <c r="L171" s="46" t="n"/>
      <c r="M171" s="53" t="inlineStr">
        <is>
          <t>Earthquake</t>
        </is>
      </c>
      <c r="N171" s="46" t="n"/>
    </row>
    <row r="173" ht="24" customHeight="1">
      <c r="B173" s="38" t="inlineStr">
        <is>
          <t>Ever Grande City - Glacias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Glacia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IFERROR(_xlfn.IMAGE("https://play.pokemonshowdown.com/sprites/gen5/sealeo.png"),"")</f>
        <v/>
      </c>
      <c r="G176" s="43">
        <f>IFERROR(_xlfn.IMAGE("https://play.pokemonshowdown.com/sprites/gen5/glalie.png"),"")</f>
        <v/>
      </c>
      <c r="I176" s="43">
        <f>IFERROR(_xlfn.IMAGE("https://play.pokemonshowdown.com/sprites/gen5/sealeo.png"),"")</f>
        <v/>
      </c>
      <c r="K176" s="43">
        <f>IFERROR(_xlfn.IMAGE("https://play.pokemonshowdown.com/sprites/gen5/glalie.png"),"")</f>
        <v/>
      </c>
      <c r="M176" s="43">
        <f>IFERROR(_xlfn.IMAGE("https://play.pokemonshowdown.com/sprites/gen5/walrein.png"),"")</f>
        <v/>
      </c>
      <c r="Q176" s="44" t="inlineStr">
        <is>
          <t>Optional
Items: Full Restore / Full Restore</t>
        </is>
      </c>
    </row>
    <row r="177">
      <c r="E177" s="45" t="inlineStr">
        <is>
          <t>Lv 50 Sealeo</t>
        </is>
      </c>
      <c r="F177" s="46" t="n"/>
      <c r="G177" s="45" t="inlineStr">
        <is>
          <t>Lv 50 Glalie</t>
        </is>
      </c>
      <c r="H177" s="46" t="n"/>
      <c r="I177" s="45" t="inlineStr">
        <is>
          <t>Lv 52 Sealeo</t>
        </is>
      </c>
      <c r="J177" s="46" t="n"/>
      <c r="K177" s="45" t="inlineStr">
        <is>
          <t>Lv 52 Glalie</t>
        </is>
      </c>
      <c r="L177" s="46" t="n"/>
      <c r="M177" s="45" t="inlineStr">
        <is>
          <t>Lv 53 Walrein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Ice Body</t>
        </is>
      </c>
      <c r="G178" s="48" t="inlineStr">
        <is>
          <t>Hardy</t>
        </is>
      </c>
      <c r="H178" s="48" t="inlineStr">
        <is>
          <t>Solid Rock</t>
        </is>
      </c>
      <c r="I178" s="48" t="inlineStr">
        <is>
          <t>Hardy</t>
        </is>
      </c>
      <c r="J178" s="48" t="inlineStr">
        <is>
          <t>Ice Body</t>
        </is>
      </c>
      <c r="K178" s="48" t="inlineStr">
        <is>
          <t>Hardy</t>
        </is>
      </c>
      <c r="L178" s="48" t="inlineStr">
        <is>
          <t>Solid Rock</t>
        </is>
      </c>
      <c r="M178" s="48" t="inlineStr">
        <is>
          <t>Hardy</t>
        </is>
      </c>
      <c r="N178" s="48" t="inlineStr">
        <is>
          <t>Filter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1" t="inlineStr">
        <is>
          <t>Encore</t>
        </is>
      </c>
      <c r="F180" s="46" t="n"/>
      <c r="G180" s="63" t="inlineStr">
        <is>
          <t>Light Screen</t>
        </is>
      </c>
      <c r="H180" s="46" t="n"/>
      <c r="I180" s="51" t="inlineStr">
        <is>
          <t>Attract</t>
        </is>
      </c>
      <c r="J180" s="46" t="n"/>
      <c r="K180" s="67" t="inlineStr">
        <is>
          <t>Shadow Ball</t>
        </is>
      </c>
      <c r="L180" s="46" t="n"/>
      <c r="M180" s="61" t="inlineStr">
        <is>
          <t>Surf</t>
        </is>
      </c>
      <c r="N180" s="46" t="n"/>
      <c r="Q180" s="47" t="inlineStr">
        <is>
          <t>Moves</t>
        </is>
      </c>
    </row>
    <row r="181">
      <c r="E181" s="51" t="inlineStr">
        <is>
          <t>Body Slam</t>
        </is>
      </c>
      <c r="F181" s="46" t="n"/>
      <c r="G181" s="50" t="inlineStr">
        <is>
          <t>Crunch</t>
        </is>
      </c>
      <c r="H181" s="46" t="n"/>
      <c r="I181" s="51" t="inlineStr">
        <is>
          <t>Double Edge</t>
        </is>
      </c>
      <c r="J181" s="46" t="n"/>
      <c r="K181" s="51" t="inlineStr">
        <is>
          <t>Explosion</t>
        </is>
      </c>
      <c r="L181" s="46" t="n"/>
      <c r="M181" s="51" t="inlineStr">
        <is>
          <t>Body Slam</t>
        </is>
      </c>
      <c r="N181" s="46" t="n"/>
    </row>
    <row r="182">
      <c r="E182" s="64" t="inlineStr">
        <is>
          <t>Hail</t>
        </is>
      </c>
      <c r="F182" s="46" t="n"/>
      <c r="G182" s="64" t="inlineStr">
        <is>
          <t>Icy Wind</t>
        </is>
      </c>
      <c r="H182" s="46" t="n"/>
      <c r="I182" s="64" t="inlineStr">
        <is>
          <t>Hail</t>
        </is>
      </c>
      <c r="J182" s="46" t="n"/>
      <c r="K182" s="64" t="inlineStr">
        <is>
          <t>Hail</t>
        </is>
      </c>
      <c r="L182" s="46" t="n"/>
      <c r="M182" s="64" t="inlineStr">
        <is>
          <t>Ice Beam</t>
        </is>
      </c>
      <c r="N182" s="46" t="n"/>
    </row>
    <row r="183">
      <c r="E183" s="64" t="inlineStr">
        <is>
          <t>Ice Ball</t>
        </is>
      </c>
      <c r="F183" s="46" t="n"/>
      <c r="G183" s="64" t="inlineStr">
        <is>
          <t>Ice Beam</t>
        </is>
      </c>
      <c r="H183" s="46" t="n"/>
      <c r="I183" s="64" t="inlineStr">
        <is>
          <t>Blizzard</t>
        </is>
      </c>
      <c r="J183" s="46" t="n"/>
      <c r="K183" s="64" t="inlineStr">
        <is>
          <t>Ice Beam</t>
        </is>
      </c>
      <c r="L183" s="46" t="n"/>
      <c r="M183" s="64" t="inlineStr">
        <is>
          <t>Sheer Cold</t>
        </is>
      </c>
      <c r="N183" s="46" t="n"/>
    </row>
    <row r="185" ht="24" customHeight="1">
      <c r="B185" s="38" t="inlineStr">
        <is>
          <t>Ever Grande City - Drakes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Drake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IFERROR(_xlfn.IMAGE("https://play.pokemonshowdown.com/sprites/gen5/shelgon.png"),"")</f>
        <v/>
      </c>
      <c r="G188" s="43">
        <f>IFERROR(_xlfn.IMAGE("https://play.pokemonshowdown.com/sprites/gen5/altaria.png"),"")</f>
        <v/>
      </c>
      <c r="I188" s="43">
        <f>IFERROR(_xlfn.IMAGE("https://play.pokemonshowdown.com/sprites/gen5/kingdra.png"),"")</f>
        <v/>
      </c>
      <c r="K188" s="43">
        <f>IFERROR(_xlfn.IMAGE("https://play.pokemonshowdown.com/sprites/gen5/flygon.png"),"")</f>
        <v/>
      </c>
      <c r="M188" s="43">
        <f>IFERROR(_xlfn.IMAGE("https://play.pokemonshowdown.com/sprites/gen5/salamence.png"),"")</f>
        <v/>
      </c>
      <c r="Q188" s="44" t="inlineStr">
        <is>
          <t>Optional
Items: Full Restore / Full Restore</t>
        </is>
      </c>
    </row>
    <row r="189">
      <c r="E189" s="45" t="inlineStr">
        <is>
          <t>Lv 52 Shelgon</t>
        </is>
      </c>
      <c r="F189" s="46" t="n"/>
      <c r="G189" s="45" t="inlineStr">
        <is>
          <t>Lv 54 Altaria</t>
        </is>
      </c>
      <c r="H189" s="46" t="n"/>
      <c r="I189" s="45" t="inlineStr">
        <is>
          <t>Lv 53 Kingdra</t>
        </is>
      </c>
      <c r="J189" s="46" t="n"/>
      <c r="K189" s="45" t="inlineStr">
        <is>
          <t>Lv 53 Flygon</t>
        </is>
      </c>
      <c r="L189" s="46" t="n"/>
      <c r="M189" s="45" t="inlineStr">
        <is>
          <t>Lv 55 Salamence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Rock Head</t>
        </is>
      </c>
      <c r="G190" s="48" t="inlineStr">
        <is>
          <t>Hardy</t>
        </is>
      </c>
      <c r="H190" s="48" t="inlineStr">
        <is>
          <t>Serene Grace</t>
        </is>
      </c>
      <c r="I190" s="48" t="inlineStr">
        <is>
          <t>Hardy</t>
        </is>
      </c>
      <c r="J190" s="48" t="inlineStr">
        <is>
          <t>Swift Swim</t>
        </is>
      </c>
      <c r="K190" s="48" t="inlineStr">
        <is>
          <t>Hardy</t>
        </is>
      </c>
      <c r="L190" s="48" t="inlineStr">
        <is>
          <t>Levitate</t>
        </is>
      </c>
      <c r="M190" s="48" t="inlineStr">
        <is>
          <t>Hardy</t>
        </is>
      </c>
      <c r="N190" s="48" t="inlineStr">
        <is>
          <t>Intimidate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62" t="inlineStr">
        <is>
          <t>Rock Tomb</t>
        </is>
      </c>
      <c r="F192" s="46" t="n"/>
      <c r="G192" s="51" t="inlineStr">
        <is>
          <t>Double Edge</t>
        </is>
      </c>
      <c r="H192" s="46" t="n"/>
      <c r="I192" s="51" t="inlineStr">
        <is>
          <t>Smokescreen</t>
        </is>
      </c>
      <c r="J192" s="46" t="n"/>
      <c r="K192" s="58" t="inlineStr">
        <is>
          <t>Flamethrower</t>
        </is>
      </c>
      <c r="L192" s="46" t="n"/>
      <c r="M192" s="58" t="inlineStr">
        <is>
          <t>Flamethrower</t>
        </is>
      </c>
      <c r="N192" s="46" t="n"/>
      <c r="Q192" s="47" t="inlineStr">
        <is>
          <t>Moves</t>
        </is>
      </c>
    </row>
    <row r="193">
      <c r="E193" s="68" t="inlineStr">
        <is>
          <t>Dragon Claw</t>
        </is>
      </c>
      <c r="F193" s="46" t="n"/>
      <c r="G193" s="68" t="inlineStr">
        <is>
          <t>Dragon Breath</t>
        </is>
      </c>
      <c r="H193" s="46" t="n"/>
      <c r="I193" s="68" t="inlineStr">
        <is>
          <t>Dragon Dance</t>
        </is>
      </c>
      <c r="J193" s="46" t="n"/>
      <c r="K193" s="50" t="inlineStr">
        <is>
          <t>Crunch</t>
        </is>
      </c>
      <c r="L193" s="46" t="n"/>
      <c r="M193" s="68" t="inlineStr">
        <is>
          <t>Dragon Claw</t>
        </is>
      </c>
      <c r="N193" s="46" t="n"/>
    </row>
    <row r="194">
      <c r="E194" s="51" t="inlineStr">
        <is>
          <t>Protect</t>
        </is>
      </c>
      <c r="F194" s="46" t="n"/>
      <c r="G194" s="68" t="inlineStr">
        <is>
          <t>Dragon Dance</t>
        </is>
      </c>
      <c r="H194" s="46" t="n"/>
      <c r="I194" s="61" t="inlineStr">
        <is>
          <t>Surf</t>
        </is>
      </c>
      <c r="J194" s="46" t="n"/>
      <c r="K194" s="68" t="inlineStr">
        <is>
          <t>Dragon Breath</t>
        </is>
      </c>
      <c r="L194" s="46" t="n"/>
      <c r="M194" s="62" t="inlineStr">
        <is>
          <t>Rock Slide</t>
        </is>
      </c>
      <c r="N194" s="46" t="n"/>
    </row>
    <row r="195">
      <c r="E195" s="51" t="inlineStr">
        <is>
          <t>Double Edge</t>
        </is>
      </c>
      <c r="F195" s="46" t="n"/>
      <c r="G195" s="60" t="inlineStr">
        <is>
          <t>Aerial Ace</t>
        </is>
      </c>
      <c r="H195" s="46" t="n"/>
      <c r="I195" s="51" t="inlineStr">
        <is>
          <t>Body Slam</t>
        </is>
      </c>
      <c r="J195" s="46" t="n"/>
      <c r="K195" s="53" t="inlineStr">
        <is>
          <t>Earthquake</t>
        </is>
      </c>
      <c r="L195" s="46" t="n"/>
      <c r="M195" s="50" t="inlineStr">
        <is>
          <t>Crunch</t>
        </is>
      </c>
      <c r="N195" s="46" t="n"/>
    </row>
    <row r="197" ht="24" customHeight="1">
      <c r="B197" s="38" t="inlineStr">
        <is>
          <t>Ever Grande City - Champions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Champion</t>
        </is>
      </c>
      <c r="C199" s="41" t="n"/>
      <c r="D199" s="41" t="n"/>
      <c r="E199" s="42" t="inlineStr">
        <is>
          <t>Champion Wallace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IFERROR(_xlfn.IMAGE("https://play.pokemonshowdown.com/sprites/gen5/wailord.png"),"")</f>
        <v/>
      </c>
      <c r="G200" s="43">
        <f>IFERROR(_xlfn.IMAGE("https://play.pokemonshowdown.com/sprites/gen5/tentacruel.png"),"")</f>
        <v/>
      </c>
      <c r="I200" s="43">
        <f>IFERROR(_xlfn.IMAGE("https://play.pokemonshowdown.com/sprites/gen5/ludicolo.png"),"")</f>
        <v/>
      </c>
      <c r="K200" s="43">
        <f>IFERROR(_xlfn.IMAGE("https://play.pokemonshowdown.com/sprites/gen5/whiscash.png"),"")</f>
        <v/>
      </c>
      <c r="M200" s="43">
        <f>IFERROR(_xlfn.IMAGE("https://play.pokemonshowdown.com/sprites/gen5/gyarados.png"),"")</f>
        <v/>
      </c>
      <c r="O200" s="43">
        <f>IFERROR(_xlfn.IMAGE("https://play.pokemonshowdown.com/sprites/gen5/milotic.png"),"")</f>
        <v/>
      </c>
      <c r="Q200" s="44" t="inlineStr">
        <is>
          <t>Items: Full Restore / Full Restore / Full Restore / Full Restore</t>
        </is>
      </c>
    </row>
    <row r="201">
      <c r="E201" s="45" t="inlineStr">
        <is>
          <t>Lv 57 Wailord</t>
        </is>
      </c>
      <c r="F201" s="46" t="n"/>
      <c r="G201" s="45" t="inlineStr">
        <is>
          <t>Lv 55 Tentacruel</t>
        </is>
      </c>
      <c r="H201" s="46" t="n"/>
      <c r="I201" s="45" t="inlineStr">
        <is>
          <t>Lv 56 Ludicolo</t>
        </is>
      </c>
      <c r="J201" s="46" t="n"/>
      <c r="K201" s="45" t="inlineStr">
        <is>
          <t>Lv 56 Whiscash</t>
        </is>
      </c>
      <c r="L201" s="46" t="n"/>
      <c r="M201" s="45" t="inlineStr">
        <is>
          <t>Lv 56 Gyarados</t>
        </is>
      </c>
      <c r="N201" s="46" t="n"/>
      <c r="O201" s="45" t="inlineStr">
        <is>
          <t>Lv 58 Milotic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Pressure</t>
        </is>
      </c>
      <c r="G202" s="48" t="inlineStr">
        <is>
          <t>Hardy</t>
        </is>
      </c>
      <c r="H202" s="48" t="inlineStr">
        <is>
          <t>Rain Dish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Hydration</t>
        </is>
      </c>
      <c r="M202" s="48" t="inlineStr">
        <is>
          <t>Hardy</t>
        </is>
      </c>
      <c r="N202" s="48" t="inlineStr">
        <is>
          <t>Intimidate</t>
        </is>
      </c>
      <c r="O202" s="48" t="inlineStr">
        <is>
          <t>Hardy</t>
        </is>
      </c>
      <c r="P202" s="48" t="inlineStr">
        <is>
          <t>Filter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Sitrus Berry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1" t="inlineStr">
        <is>
          <t>Rain Dance</t>
        </is>
      </c>
      <c r="F204" s="46" t="n"/>
      <c r="G204" s="55" t="inlineStr">
        <is>
          <t>Toxic</t>
        </is>
      </c>
      <c r="H204" s="46" t="n"/>
      <c r="I204" s="59" t="inlineStr">
        <is>
          <t>Giga Drain</t>
        </is>
      </c>
      <c r="J204" s="46" t="n"/>
      <c r="K204" s="53" t="inlineStr">
        <is>
          <t>Earthquake</t>
        </is>
      </c>
      <c r="L204" s="46" t="n"/>
      <c r="M204" s="68" t="inlineStr">
        <is>
          <t>Dragon Dance</t>
        </is>
      </c>
      <c r="N204" s="46" t="n"/>
      <c r="O204" s="51" t="inlineStr">
        <is>
          <t>Recover</t>
        </is>
      </c>
      <c r="P204" s="46" t="n"/>
      <c r="Q204" s="47" t="inlineStr">
        <is>
          <t>Moves</t>
        </is>
      </c>
    </row>
    <row r="205">
      <c r="E205" s="61" t="inlineStr">
        <is>
          <t>Water Spout</t>
        </is>
      </c>
      <c r="F205" s="46" t="n"/>
      <c r="G205" s="61" t="inlineStr">
        <is>
          <t>Hydro Pump</t>
        </is>
      </c>
      <c r="H205" s="46" t="n"/>
      <c r="I205" s="61" t="inlineStr">
        <is>
          <t>Surf</t>
        </is>
      </c>
      <c r="J205" s="46" t="n"/>
      <c r="K205" s="61" t="inlineStr">
        <is>
          <t>Surf</t>
        </is>
      </c>
      <c r="L205" s="46" t="n"/>
      <c r="M205" s="53" t="inlineStr">
        <is>
          <t>Earthquake</t>
        </is>
      </c>
      <c r="N205" s="46" t="n"/>
      <c r="O205" s="61" t="inlineStr">
        <is>
          <t>Surf</t>
        </is>
      </c>
      <c r="P205" s="46" t="n"/>
    </row>
    <row r="206">
      <c r="E206" s="51" t="inlineStr">
        <is>
          <t>Double Edge</t>
        </is>
      </c>
      <c r="F206" s="46" t="n"/>
      <c r="G206" s="55" t="inlineStr">
        <is>
          <t>Sludge Bomb</t>
        </is>
      </c>
      <c r="H206" s="46" t="n"/>
      <c r="I206" s="59" t="inlineStr">
        <is>
          <t>Leech Seed</t>
        </is>
      </c>
      <c r="J206" s="46" t="n"/>
      <c r="K206" s="63" t="inlineStr">
        <is>
          <t>Amnesia</t>
        </is>
      </c>
      <c r="L206" s="46" t="n"/>
      <c r="M206" s="51" t="inlineStr">
        <is>
          <t>Hyper Beam</t>
        </is>
      </c>
      <c r="N206" s="46" t="n"/>
      <c r="O206" s="64" t="inlineStr">
        <is>
          <t>Ice Beam</t>
        </is>
      </c>
      <c r="P206" s="46" t="n"/>
    </row>
    <row r="207">
      <c r="E207" s="64" t="inlineStr">
        <is>
          <t>Blizzard</t>
        </is>
      </c>
      <c r="F207" s="46" t="n"/>
      <c r="G207" s="64" t="inlineStr">
        <is>
          <t>Ice Beam</t>
        </is>
      </c>
      <c r="H207" s="46" t="n"/>
      <c r="I207" s="51" t="inlineStr">
        <is>
          <t>Double Team</t>
        </is>
      </c>
      <c r="J207" s="46" t="n"/>
      <c r="K207" s="51" t="inlineStr">
        <is>
          <t>Hyper Beam</t>
        </is>
      </c>
      <c r="L207" s="46" t="n"/>
      <c r="M207" s="61" t="inlineStr">
        <is>
          <t>Surf</t>
        </is>
      </c>
      <c r="N207" s="46" t="n"/>
      <c r="O207" s="55" t="inlineStr">
        <is>
          <t>Toxic</t>
        </is>
      </c>
      <c r="P207" s="46" t="n"/>
    </row>
    <row r="209" ht="24" customHeight="1">
      <c r="B209" s="38" t="inlineStr">
        <is>
          <t>Unknown Location (no script reference)   (Unassigned)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Leader</t>
        </is>
      </c>
      <c r="C211" s="41" t="n"/>
      <c r="D211" s="41" t="n"/>
      <c r="E211" s="42" t="inlineStr">
        <is>
          <t>Leader Brawly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IFERROR(_xlfn.IMAGE("https://play.pokemonshowdown.com/sprites/gen5/machamp.png"),"")</f>
        <v/>
      </c>
      <c r="G212" s="43">
        <f>IFERROR(_xlfn.IMAGE("https://play.pokemonshowdown.com/sprites/gen5/meditite.png"),"")</f>
        <v/>
      </c>
      <c r="I212" s="43">
        <f>IFERROR(_xlfn.IMAGE("https://play.pokemonshowdown.com/sprites/gen5/hitmontop.png"),"")</f>
        <v/>
      </c>
      <c r="K212" s="43">
        <f>IFERROR(_xlfn.IMAGE("https://play.pokemonshowdown.com/sprites/gen5/hariyama.png"),"")</f>
        <v/>
      </c>
      <c r="Q212" s="44" t="inlineStr">
        <is>
          <t>DOUBLE BATTLE
Items: Full Restore / Full Restore / Full Restore</t>
        </is>
      </c>
    </row>
    <row r="213">
      <c r="E213" s="45" t="inlineStr">
        <is>
          <t>Lv 33 Machamp</t>
        </is>
      </c>
      <c r="F213" s="46" t="n"/>
      <c r="G213" s="45" t="inlineStr">
        <is>
          <t>Lv 33 Meditite</t>
        </is>
      </c>
      <c r="H213" s="46" t="n"/>
      <c r="I213" s="45" t="inlineStr">
        <is>
          <t>Lv 35 Hitmontop</t>
        </is>
      </c>
      <c r="J213" s="46" t="n"/>
      <c r="K213" s="45" t="inlineStr">
        <is>
          <t>Lv 37 Hariyama</t>
        </is>
      </c>
      <c r="L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No Guard</t>
        </is>
      </c>
      <c r="G214" s="48" t="inlineStr">
        <is>
          <t>Hardy</t>
        </is>
      </c>
      <c r="H214" s="48" t="inlineStr">
        <is>
          <t>Pure Power</t>
        </is>
      </c>
      <c r="I214" s="48" t="inlineStr">
        <is>
          <t>Hardy</t>
        </is>
      </c>
      <c r="J214" s="48" t="inlineStr">
        <is>
          <t>Technician</t>
        </is>
      </c>
      <c r="K214" s="48" t="inlineStr">
        <is>
          <t>Hardy</t>
        </is>
      </c>
      <c r="L214" s="48" t="inlineStr">
        <is>
          <t>Guts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Sitrus Berry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Sitrus Berry</t>
        </is>
      </c>
      <c r="L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5" t="inlineStr">
        <is>
          <t>Karate Chop</t>
        </is>
      </c>
      <c r="F216" s="46" t="n"/>
      <c r="G216" s="63" t="inlineStr">
        <is>
          <t>Psychic</t>
        </is>
      </c>
      <c r="H216" s="46" t="n"/>
      <c r="I216" s="50" t="inlineStr">
        <is>
          <t>Pursuit</t>
        </is>
      </c>
      <c r="J216" s="46" t="n"/>
      <c r="K216" s="51" t="inlineStr">
        <is>
          <t>Fake Out</t>
        </is>
      </c>
      <c r="L216" s="46" t="n"/>
      <c r="Q216" s="47" t="inlineStr">
        <is>
          <t>Moves</t>
        </is>
      </c>
    </row>
    <row r="217">
      <c r="E217" s="62" t="inlineStr">
        <is>
          <t>Rock Slide</t>
        </is>
      </c>
      <c r="F217" s="46" t="n"/>
      <c r="G217" s="63" t="inlineStr">
        <is>
          <t>Light Screen</t>
        </is>
      </c>
      <c r="H217" s="46" t="n"/>
      <c r="I217" s="65" t="inlineStr">
        <is>
          <t>Counter</t>
        </is>
      </c>
      <c r="J217" s="46" t="n"/>
      <c r="K217" s="65" t="inlineStr">
        <is>
          <t>Focus Punch</t>
        </is>
      </c>
      <c r="L217" s="46" t="n"/>
    </row>
    <row r="218">
      <c r="E218" s="65" t="inlineStr">
        <is>
          <t>Focus Punch</t>
        </is>
      </c>
      <c r="F218" s="46" t="n"/>
      <c r="G218" s="63" t="inlineStr">
        <is>
          <t>Reflect</t>
        </is>
      </c>
      <c r="H218" s="46" t="n"/>
      <c r="I218" s="51" t="inlineStr">
        <is>
          <t>Protect</t>
        </is>
      </c>
      <c r="J218" s="46" t="n"/>
      <c r="K218" s="51" t="inlineStr">
        <is>
          <t>Belly Drum</t>
        </is>
      </c>
      <c r="L218" s="46" t="n"/>
    </row>
    <row r="219">
      <c r="E219" s="65" t="inlineStr">
        <is>
          <t>Bulk Up</t>
        </is>
      </c>
      <c r="F219" s="46" t="n"/>
      <c r="G219" s="65" t="inlineStr">
        <is>
          <t>Focus Punch</t>
        </is>
      </c>
      <c r="H219" s="46" t="n"/>
      <c r="I219" s="65" t="inlineStr">
        <is>
          <t>Triple Kick</t>
        </is>
      </c>
      <c r="J219" s="46" t="n"/>
      <c r="K219" s="53" t="inlineStr">
        <is>
          <t>Earthquake</t>
        </is>
      </c>
      <c r="L219" s="46" t="n"/>
    </row>
    <row r="221" ht="20" customHeight="1">
      <c r="B221" s="40" t="inlineStr">
        <is>
          <t>Leader</t>
        </is>
      </c>
      <c r="C221" s="41" t="n"/>
      <c r="D221" s="41" t="n"/>
      <c r="E221" s="42" t="inlineStr">
        <is>
          <t>Leader Brawly (Rematch 2)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IFERROR(_xlfn.IMAGE("https://play.pokemonshowdown.com/sprites/gen5/machamp.png"),"")</f>
        <v/>
      </c>
      <c r="G222" s="43">
        <f>IFERROR(_xlfn.IMAGE("https://play.pokemonshowdown.com/sprites/gen5/medicham.png"),"")</f>
        <v/>
      </c>
      <c r="I222" s="43">
        <f>IFERROR(_xlfn.IMAGE("https://play.pokemonshowdown.com/sprites/gen5/hitmontop.png"),"")</f>
        <v/>
      </c>
      <c r="K222" s="43">
        <f>IFERROR(_xlfn.IMAGE("https://play.pokemonshowdown.com/sprites/gen5/hariyama.png"),"")</f>
        <v/>
      </c>
      <c r="Q222" s="44" t="inlineStr">
        <is>
          <t>DOUBLE BATTLE
Items: Full Restore / Full Restore / Full Restore</t>
        </is>
      </c>
    </row>
    <row r="223">
      <c r="E223" s="45" t="inlineStr">
        <is>
          <t>Lv 38 Machamp</t>
        </is>
      </c>
      <c r="F223" s="46" t="n"/>
      <c r="G223" s="45" t="inlineStr">
        <is>
          <t>Lv 38 Medicham</t>
        </is>
      </c>
      <c r="H223" s="46" t="n"/>
      <c r="I223" s="45" t="inlineStr">
        <is>
          <t>Lv 40 Hitmontop</t>
        </is>
      </c>
      <c r="J223" s="46" t="n"/>
      <c r="K223" s="45" t="inlineStr">
        <is>
          <t>Lv 42 Hariyama</t>
        </is>
      </c>
      <c r="L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No Guard</t>
        </is>
      </c>
      <c r="G224" s="48" t="inlineStr">
        <is>
          <t>Hardy</t>
        </is>
      </c>
      <c r="H224" s="48" t="inlineStr">
        <is>
          <t>Pure Power</t>
        </is>
      </c>
      <c r="I224" s="48" t="inlineStr">
        <is>
          <t>Hardy</t>
        </is>
      </c>
      <c r="J224" s="48" t="inlineStr">
        <is>
          <t>Technician</t>
        </is>
      </c>
      <c r="K224" s="48" t="inlineStr">
        <is>
          <t>Hardy</t>
        </is>
      </c>
      <c r="L224" s="48" t="inlineStr">
        <is>
          <t>Guts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Sitrus Berry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Sitrus Berry</t>
        </is>
      </c>
      <c r="L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5" t="inlineStr">
        <is>
          <t>Karate Chop</t>
        </is>
      </c>
      <c r="F226" s="46" t="n"/>
      <c r="G226" s="63" t="inlineStr">
        <is>
          <t>Psychic</t>
        </is>
      </c>
      <c r="H226" s="46" t="n"/>
      <c r="I226" s="50" t="inlineStr">
        <is>
          <t>Pursuit</t>
        </is>
      </c>
      <c r="J226" s="46" t="n"/>
      <c r="K226" s="51" t="inlineStr">
        <is>
          <t>Fake Out</t>
        </is>
      </c>
      <c r="L226" s="46" t="n"/>
      <c r="Q226" s="47" t="inlineStr">
        <is>
          <t>Moves</t>
        </is>
      </c>
    </row>
    <row r="227">
      <c r="E227" s="62" t="inlineStr">
        <is>
          <t>Rock Slide</t>
        </is>
      </c>
      <c r="F227" s="46" t="n"/>
      <c r="G227" s="63" t="inlineStr">
        <is>
          <t>Light Screen</t>
        </is>
      </c>
      <c r="H227" s="46" t="n"/>
      <c r="I227" s="65" t="inlineStr">
        <is>
          <t>Counter</t>
        </is>
      </c>
      <c r="J227" s="46" t="n"/>
      <c r="K227" s="65" t="inlineStr">
        <is>
          <t>Focus Punch</t>
        </is>
      </c>
      <c r="L227" s="46" t="n"/>
    </row>
    <row r="228">
      <c r="E228" s="65" t="inlineStr">
        <is>
          <t>Focus Punch</t>
        </is>
      </c>
      <c r="F228" s="46" t="n"/>
      <c r="G228" s="63" t="inlineStr">
        <is>
          <t>Reflect</t>
        </is>
      </c>
      <c r="H228" s="46" t="n"/>
      <c r="I228" s="51" t="inlineStr">
        <is>
          <t>Protect</t>
        </is>
      </c>
      <c r="J228" s="46" t="n"/>
      <c r="K228" s="51" t="inlineStr">
        <is>
          <t>Belly Drum</t>
        </is>
      </c>
      <c r="L228" s="46" t="n"/>
    </row>
    <row r="229">
      <c r="E229" s="65" t="inlineStr">
        <is>
          <t>Bulk Up</t>
        </is>
      </c>
      <c r="F229" s="46" t="n"/>
      <c r="G229" s="65" t="inlineStr">
        <is>
          <t>Focus Punch</t>
        </is>
      </c>
      <c r="H229" s="46" t="n"/>
      <c r="I229" s="65" t="inlineStr">
        <is>
          <t>Triple Kick</t>
        </is>
      </c>
      <c r="J229" s="46" t="n"/>
      <c r="K229" s="53" t="inlineStr">
        <is>
          <t>Earthquake</t>
        </is>
      </c>
      <c r="L229" s="46" t="n"/>
    </row>
    <row r="231" ht="20" customHeight="1">
      <c r="B231" s="40" t="inlineStr">
        <is>
          <t>Leader</t>
        </is>
      </c>
      <c r="C231" s="41" t="n"/>
      <c r="D231" s="41" t="n"/>
      <c r="E231" s="42" t="inlineStr">
        <is>
          <t>Leader Brawly (Rematch 3)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IFERROR(_xlfn.IMAGE("https://play.pokemonshowdown.com/sprites/gen5/hitmonchan.png"),"")</f>
        <v/>
      </c>
      <c r="G232" s="43">
        <f>IFERROR(_xlfn.IMAGE("https://play.pokemonshowdown.com/sprites/gen5/machamp.png"),"")</f>
        <v/>
      </c>
      <c r="I232" s="43">
        <f>IFERROR(_xlfn.IMAGE("https://play.pokemonshowdown.com/sprites/gen5/medicham.png"),"")</f>
        <v/>
      </c>
      <c r="K232" s="43">
        <f>IFERROR(_xlfn.IMAGE("https://play.pokemonshowdown.com/sprites/gen5/hitmontop.png"),"")</f>
        <v/>
      </c>
      <c r="M232" s="43">
        <f>IFERROR(_xlfn.IMAGE("https://play.pokemonshowdown.com/sprites/gen5/hariyama.png"),"")</f>
        <v/>
      </c>
      <c r="Q232" s="44" t="inlineStr">
        <is>
          <t>DOUBLE BATTLE
Items: Full Restore / Full Restore / Full Restore</t>
        </is>
      </c>
    </row>
    <row r="233">
      <c r="E233" s="45" t="inlineStr">
        <is>
          <t>Lv 40 Hitmonchan</t>
        </is>
      </c>
      <c r="F233" s="46" t="n"/>
      <c r="G233" s="45" t="inlineStr">
        <is>
          <t>Lv 43 Machamp</t>
        </is>
      </c>
      <c r="H233" s="46" t="n"/>
      <c r="I233" s="45" t="inlineStr">
        <is>
          <t>Lv 43 Medicham</t>
        </is>
      </c>
      <c r="J233" s="46" t="n"/>
      <c r="K233" s="45" t="inlineStr">
        <is>
          <t>Lv 45 Hitmontop</t>
        </is>
      </c>
      <c r="L233" s="46" t="n"/>
      <c r="M233" s="45" t="inlineStr">
        <is>
          <t>Lv 47 Hariyama</t>
        </is>
      </c>
      <c r="N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Scrappy</t>
        </is>
      </c>
      <c r="G234" s="48" t="inlineStr">
        <is>
          <t>Hardy</t>
        </is>
      </c>
      <c r="H234" s="48" t="inlineStr">
        <is>
          <t>No Guard</t>
        </is>
      </c>
      <c r="I234" s="48" t="inlineStr">
        <is>
          <t>Hardy</t>
        </is>
      </c>
      <c r="J234" s="48" t="inlineStr">
        <is>
          <t>Pure Power</t>
        </is>
      </c>
      <c r="K234" s="48" t="inlineStr">
        <is>
          <t>Hardy</t>
        </is>
      </c>
      <c r="L234" s="48" t="inlineStr">
        <is>
          <t>Technician</t>
        </is>
      </c>
      <c r="M234" s="48" t="inlineStr">
        <is>
          <t>Hardy</t>
        </is>
      </c>
      <c r="N234" s="48" t="inlineStr">
        <is>
          <t>Guts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G235" s="49" t="inlineStr">
        <is>
          <t>Sitrus Berry</t>
        </is>
      </c>
      <c r="H235" s="46" t="n"/>
      <c r="I235" s="49" t="inlineStr">
        <is>
          <t>(None)</t>
        </is>
      </c>
      <c r="J235" s="46" t="n"/>
      <c r="K235" s="49" t="inlineStr">
        <is>
          <t>(None)</t>
        </is>
      </c>
      <c r="L235" s="46" t="n"/>
      <c r="M235" s="49" t="inlineStr">
        <is>
          <t>Sitrus Berry</t>
        </is>
      </c>
      <c r="N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Sky Uppercut</t>
        </is>
      </c>
      <c r="F236" s="46" t="n"/>
      <c r="G236" s="65" t="inlineStr">
        <is>
          <t>Karate Chop</t>
        </is>
      </c>
      <c r="H236" s="46" t="n"/>
      <c r="I236" s="65" t="inlineStr">
        <is>
          <t>Focus Punch</t>
        </is>
      </c>
      <c r="J236" s="46" t="n"/>
      <c r="K236" s="50" t="inlineStr">
        <is>
          <t>Pursuit</t>
        </is>
      </c>
      <c r="L236" s="46" t="n"/>
      <c r="M236" s="51" t="inlineStr">
        <is>
          <t>Fake Out</t>
        </is>
      </c>
      <c r="N236" s="46" t="n"/>
      <c r="Q236" s="47" t="inlineStr">
        <is>
          <t>Moves</t>
        </is>
      </c>
    </row>
    <row r="237">
      <c r="E237" s="51" t="inlineStr">
        <is>
          <t>Protect</t>
        </is>
      </c>
      <c r="F237" s="46" t="n"/>
      <c r="G237" s="62" t="inlineStr">
        <is>
          <t>Rock Slide</t>
        </is>
      </c>
      <c r="H237" s="46" t="n"/>
      <c r="I237" s="63" t="inlineStr">
        <is>
          <t>Light Screen</t>
        </is>
      </c>
      <c r="J237" s="46" t="n"/>
      <c r="K237" s="65" t="inlineStr">
        <is>
          <t>Counter</t>
        </is>
      </c>
      <c r="L237" s="46" t="n"/>
      <c r="M237" s="65" t="inlineStr">
        <is>
          <t>Focus Punch</t>
        </is>
      </c>
      <c r="N237" s="46" t="n"/>
    </row>
    <row r="238">
      <c r="E238" s="58" t="inlineStr">
        <is>
          <t>Fire Punch</t>
        </is>
      </c>
      <c r="F238" s="46" t="n"/>
      <c r="G238" s="65" t="inlineStr">
        <is>
          <t>Focus Punch</t>
        </is>
      </c>
      <c r="H238" s="46" t="n"/>
      <c r="I238" s="63" t="inlineStr">
        <is>
          <t>Reflect</t>
        </is>
      </c>
      <c r="J238" s="46" t="n"/>
      <c r="K238" s="51" t="inlineStr">
        <is>
          <t>Protect</t>
        </is>
      </c>
      <c r="L238" s="46" t="n"/>
      <c r="M238" s="51" t="inlineStr">
        <is>
          <t>Belly Drum</t>
        </is>
      </c>
      <c r="N238" s="46" t="n"/>
    </row>
    <row r="239">
      <c r="E239" s="64" t="inlineStr">
        <is>
          <t>Ice Punch</t>
        </is>
      </c>
      <c r="F239" s="46" t="n"/>
      <c r="G239" s="65" t="inlineStr">
        <is>
          <t>Bulk Up</t>
        </is>
      </c>
      <c r="H239" s="46" t="n"/>
      <c r="I239" s="63" t="inlineStr">
        <is>
          <t>Psychic</t>
        </is>
      </c>
      <c r="J239" s="46" t="n"/>
      <c r="K239" s="65" t="inlineStr">
        <is>
          <t>Triple Kick</t>
        </is>
      </c>
      <c r="L239" s="46" t="n"/>
      <c r="M239" s="53" t="inlineStr">
        <is>
          <t>Earthquake</t>
        </is>
      </c>
      <c r="N239" s="46" t="n"/>
    </row>
    <row r="241" ht="20" customHeight="1">
      <c r="B241" s="40" t="inlineStr">
        <is>
          <t>Leader</t>
        </is>
      </c>
      <c r="C241" s="41" t="n"/>
      <c r="D241" s="41" t="n"/>
      <c r="E241" s="42" t="inlineStr">
        <is>
          <t>Leader Brawly (Rematch 4)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IFERROR(_xlfn.IMAGE("https://play.pokemonshowdown.com/sprites/gen5/hitmonlee.png"),"")</f>
        <v/>
      </c>
      <c r="G242" s="43">
        <f>IFERROR(_xlfn.IMAGE("https://play.pokemonshowdown.com/sprites/gen5/hitmonchan.png"),"")</f>
        <v/>
      </c>
      <c r="I242" s="43">
        <f>IFERROR(_xlfn.IMAGE("https://play.pokemonshowdown.com/sprites/gen5/machamp.png"),"")</f>
        <v/>
      </c>
      <c r="K242" s="43">
        <f>IFERROR(_xlfn.IMAGE("https://play.pokemonshowdown.com/sprites/gen5/medicham.png"),"")</f>
        <v/>
      </c>
      <c r="M242" s="43">
        <f>IFERROR(_xlfn.IMAGE("https://play.pokemonshowdown.com/sprites/gen5/hitmontop.png"),"")</f>
        <v/>
      </c>
      <c r="O242" s="43">
        <f>IFERROR(_xlfn.IMAGE("https://play.pokemonshowdown.com/sprites/gen5/hariyama.png"),"")</f>
        <v/>
      </c>
      <c r="Q242" s="44" t="inlineStr">
        <is>
          <t>DOUBLE BATTLE
Items: Full Restore / Full Restore / Full Restore</t>
        </is>
      </c>
    </row>
    <row r="243">
      <c r="E243" s="45" t="inlineStr">
        <is>
          <t>Lv 46 Hitmonlee</t>
        </is>
      </c>
      <c r="F243" s="46" t="n"/>
      <c r="G243" s="45" t="inlineStr">
        <is>
          <t>Lv 46 Hitmonchan</t>
        </is>
      </c>
      <c r="H243" s="46" t="n"/>
      <c r="I243" s="45" t="inlineStr">
        <is>
          <t>Lv 48 Machamp</t>
        </is>
      </c>
      <c r="J243" s="46" t="n"/>
      <c r="K243" s="45" t="inlineStr">
        <is>
          <t>Lv 48 Medicham</t>
        </is>
      </c>
      <c r="L243" s="46" t="n"/>
      <c r="M243" s="45" t="inlineStr">
        <is>
          <t>Lv 50 Hitmontop</t>
        </is>
      </c>
      <c r="N243" s="46" t="n"/>
      <c r="O243" s="45" t="inlineStr">
        <is>
          <t>Lv 52 Hariyama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Quick Feet</t>
        </is>
      </c>
      <c r="G244" s="48" t="inlineStr">
        <is>
          <t>Hardy</t>
        </is>
      </c>
      <c r="H244" s="48" t="inlineStr">
        <is>
          <t>Scrappy</t>
        </is>
      </c>
      <c r="I244" s="48" t="inlineStr">
        <is>
          <t>Hardy</t>
        </is>
      </c>
      <c r="J244" s="48" t="inlineStr">
        <is>
          <t>No Guard</t>
        </is>
      </c>
      <c r="K244" s="48" t="inlineStr">
        <is>
          <t>Hardy</t>
        </is>
      </c>
      <c r="L244" s="48" t="inlineStr">
        <is>
          <t>Pure Power</t>
        </is>
      </c>
      <c r="M244" s="48" t="inlineStr">
        <is>
          <t>Hardy</t>
        </is>
      </c>
      <c r="N244" s="48" t="inlineStr">
        <is>
          <t>Technician</t>
        </is>
      </c>
      <c r="O244" s="48" t="inlineStr">
        <is>
          <t>Hardy</t>
        </is>
      </c>
      <c r="P244" s="48" t="inlineStr">
        <is>
          <t>Guts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Sitrus Berry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Mega Kick</t>
        </is>
      </c>
      <c r="F246" s="46" t="n"/>
      <c r="G246" s="65" t="inlineStr">
        <is>
          <t>Sky Uppercut</t>
        </is>
      </c>
      <c r="H246" s="46" t="n"/>
      <c r="I246" s="65" t="inlineStr">
        <is>
          <t>Cross Chop</t>
        </is>
      </c>
      <c r="J246" s="46" t="n"/>
      <c r="K246" s="65" t="inlineStr">
        <is>
          <t>Focus Punch</t>
        </is>
      </c>
      <c r="L246" s="46" t="n"/>
      <c r="M246" s="50" t="inlineStr">
        <is>
          <t>Pursuit</t>
        </is>
      </c>
      <c r="N246" s="46" t="n"/>
      <c r="O246" s="51" t="inlineStr">
        <is>
          <t>Fake Out</t>
        </is>
      </c>
      <c r="P246" s="46" t="n"/>
      <c r="Q246" s="47" t="inlineStr">
        <is>
          <t>Moves</t>
        </is>
      </c>
    </row>
    <row r="247">
      <c r="E247" s="65" t="inlineStr">
        <is>
          <t>Focus Punch</t>
        </is>
      </c>
      <c r="F247" s="46" t="n"/>
      <c r="G247" s="51" t="inlineStr">
        <is>
          <t>Protect</t>
        </is>
      </c>
      <c r="H247" s="46" t="n"/>
      <c r="I247" s="62" t="inlineStr">
        <is>
          <t>Rock Slide</t>
        </is>
      </c>
      <c r="J247" s="46" t="n"/>
      <c r="K247" s="63" t="inlineStr">
        <is>
          <t>Light Screen</t>
        </is>
      </c>
      <c r="L247" s="46" t="n"/>
      <c r="M247" s="65" t="inlineStr">
        <is>
          <t>Counter</t>
        </is>
      </c>
      <c r="N247" s="46" t="n"/>
      <c r="O247" s="65" t="inlineStr">
        <is>
          <t>Focus Punch</t>
        </is>
      </c>
      <c r="P247" s="46" t="n"/>
    </row>
    <row r="248">
      <c r="E248" s="53" t="inlineStr">
        <is>
          <t>Earthquake</t>
        </is>
      </c>
      <c r="F248" s="46" t="n"/>
      <c r="G248" s="58" t="inlineStr">
        <is>
          <t>Fire Punch</t>
        </is>
      </c>
      <c r="H248" s="46" t="n"/>
      <c r="I248" s="65" t="inlineStr">
        <is>
          <t>Focus Punch</t>
        </is>
      </c>
      <c r="J248" s="46" t="n"/>
      <c r="K248" s="63" t="inlineStr">
        <is>
          <t>Reflect</t>
        </is>
      </c>
      <c r="L248" s="46" t="n"/>
      <c r="M248" s="51" t="inlineStr">
        <is>
          <t>Protect</t>
        </is>
      </c>
      <c r="N248" s="46" t="n"/>
      <c r="O248" s="51" t="inlineStr">
        <is>
          <t>Belly Drum</t>
        </is>
      </c>
      <c r="P248" s="46" t="n"/>
    </row>
    <row r="249">
      <c r="E249" s="65" t="inlineStr">
        <is>
          <t>Bulk Up</t>
        </is>
      </c>
      <c r="F249" s="46" t="n"/>
      <c r="G249" s="64" t="inlineStr">
        <is>
          <t>Ice Punch</t>
        </is>
      </c>
      <c r="H249" s="46" t="n"/>
      <c r="I249" s="65" t="inlineStr">
        <is>
          <t>Bulk Up</t>
        </is>
      </c>
      <c r="J249" s="46" t="n"/>
      <c r="K249" s="63" t="inlineStr">
        <is>
          <t>Psychic</t>
        </is>
      </c>
      <c r="L249" s="46" t="n"/>
      <c r="M249" s="65" t="inlineStr">
        <is>
          <t>Triple Kick</t>
        </is>
      </c>
      <c r="N249" s="46" t="n"/>
      <c r="O249" s="53" t="inlineStr">
        <is>
          <t>Earthquake</t>
        </is>
      </c>
      <c r="P249" s="46" t="n"/>
    </row>
    <row r="251" ht="20" customHeight="1">
      <c r="B251" s="40" t="inlineStr">
        <is>
          <t>Leader</t>
        </is>
      </c>
      <c r="C251" s="41" t="n"/>
      <c r="D251" s="41" t="n"/>
      <c r="E251" s="42" t="inlineStr">
        <is>
          <t>Leader Flannery (Rematch 1)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IFERROR(_xlfn.IMAGE("https://play.pokemonshowdown.com/sprites/gen5/magcargo.png"),"")</f>
        <v/>
      </c>
      <c r="G252" s="43">
        <f>IFERROR(_xlfn.IMAGE("https://play.pokemonshowdown.com/sprites/gen5/ponyta.png"),"")</f>
        <v/>
      </c>
      <c r="I252" s="43">
        <f>IFERROR(_xlfn.IMAGE("https://play.pokemonshowdown.com/sprites/gen5/camerupt.png"),"")</f>
        <v/>
      </c>
      <c r="K252" s="43">
        <f>IFERROR(_xlfn.IMAGE("https://play.pokemonshowdown.com/sprites/gen5/torkoal.png"),"")</f>
        <v/>
      </c>
      <c r="Q252" s="44" t="inlineStr">
        <is>
          <t>DOUBLE BATTLE
Items: Full Restore / Full Restore / Full Restore</t>
        </is>
      </c>
    </row>
    <row r="253">
      <c r="E253" s="45" t="inlineStr">
        <is>
          <t>Lv 38 Magcargo</t>
        </is>
      </c>
      <c r="F253" s="46" t="n"/>
      <c r="G253" s="45" t="inlineStr">
        <is>
          <t>Lv 36 Ponyta</t>
        </is>
      </c>
      <c r="H253" s="46" t="n"/>
      <c r="I253" s="45" t="inlineStr">
        <is>
          <t>Lv 38 Camerupt</t>
        </is>
      </c>
      <c r="J253" s="46" t="n"/>
      <c r="K253" s="45" t="inlineStr">
        <is>
          <t>Lv 40 Torkoal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Magma Armor</t>
        </is>
      </c>
      <c r="G254" s="48" t="inlineStr">
        <is>
          <t>Hardy</t>
        </is>
      </c>
      <c r="H254" s="48" t="inlineStr">
        <is>
          <t>Reckless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White Smoke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White Herb</t>
        </is>
      </c>
      <c r="F255" s="46" t="n"/>
      <c r="G255" s="49" t="inlineStr">
        <is>
          <t>(None)</t>
        </is>
      </c>
      <c r="H255" s="46" t="n"/>
      <c r="I255" s="49" t="inlineStr">
        <is>
          <t>White Herb</t>
        </is>
      </c>
      <c r="J255" s="46" t="n"/>
      <c r="K255" s="49" t="inlineStr">
        <is>
          <t>White Herb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8" t="inlineStr">
        <is>
          <t>Overheat</t>
        </is>
      </c>
      <c r="F256" s="46" t="n"/>
      <c r="G256" s="58" t="inlineStr">
        <is>
          <t>Flamethrower</t>
        </is>
      </c>
      <c r="H256" s="46" t="n"/>
      <c r="I256" s="58" t="inlineStr">
        <is>
          <t>Overheat</t>
        </is>
      </c>
      <c r="J256" s="46" t="n"/>
      <c r="K256" s="58" t="inlineStr">
        <is>
          <t>Overheat</t>
        </is>
      </c>
      <c r="L256" s="46" t="n"/>
      <c r="Q256" s="47" t="inlineStr">
        <is>
          <t>Moves</t>
        </is>
      </c>
    </row>
    <row r="257">
      <c r="E257" s="51" t="inlineStr">
        <is>
          <t>Attract</t>
        </is>
      </c>
      <c r="F257" s="46" t="n"/>
      <c r="G257" s="51" t="inlineStr">
        <is>
          <t>Attract</t>
        </is>
      </c>
      <c r="H257" s="46" t="n"/>
      <c r="I257" s="58" t="inlineStr">
        <is>
          <t>Sunny Day</t>
        </is>
      </c>
      <c r="J257" s="46" t="n"/>
      <c r="K257" s="58" t="inlineStr">
        <is>
          <t>Sunny Day</t>
        </is>
      </c>
      <c r="L257" s="46" t="n"/>
    </row>
    <row r="258">
      <c r="E258" s="63" t="inlineStr">
        <is>
          <t>Light Screen</t>
        </is>
      </c>
      <c r="F258" s="46" t="n"/>
      <c r="G258" s="59" t="inlineStr">
        <is>
          <t>Solar Beam</t>
        </is>
      </c>
      <c r="H258" s="46" t="n"/>
      <c r="I258" s="53" t="inlineStr">
        <is>
          <t>Earthquake</t>
        </is>
      </c>
      <c r="J258" s="46" t="n"/>
      <c r="K258" s="51" t="inlineStr">
        <is>
          <t>Explosion</t>
        </is>
      </c>
      <c r="L258" s="46" t="n"/>
    </row>
    <row r="259">
      <c r="E259" s="62" t="inlineStr">
        <is>
          <t>Rock Slide</t>
        </is>
      </c>
      <c r="F259" s="46" t="n"/>
      <c r="G259" s="60" t="inlineStr">
        <is>
          <t>Bounce</t>
        </is>
      </c>
      <c r="H259" s="46" t="n"/>
      <c r="I259" s="51" t="inlineStr">
        <is>
          <t>Attract</t>
        </is>
      </c>
      <c r="J259" s="46" t="n"/>
      <c r="K259" s="51" t="inlineStr">
        <is>
          <t>Attract</t>
        </is>
      </c>
      <c r="L259" s="46" t="n"/>
    </row>
    <row r="261" ht="20" customHeight="1">
      <c r="B261" s="40" t="inlineStr">
        <is>
          <t>Leader</t>
        </is>
      </c>
      <c r="C261" s="41" t="n"/>
      <c r="D261" s="41" t="n"/>
      <c r="E261" s="42" t="inlineStr">
        <is>
          <t>Leader Flannery (Rematch 2)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IFERROR(_xlfn.IMAGE("https://play.pokemonshowdown.com/sprites/gen5/growlithe.png"),"")</f>
        <v/>
      </c>
      <c r="G262" s="43">
        <f>IFERROR(_xlfn.IMAGE("https://play.pokemonshowdown.com/sprites/gen5/magcargo.png"),"")</f>
        <v/>
      </c>
      <c r="I262" s="43">
        <f>IFERROR(_xlfn.IMAGE("https://play.pokemonshowdown.com/sprites/gen5/ponyta.png"),"")</f>
        <v/>
      </c>
      <c r="K262" s="43">
        <f>IFERROR(_xlfn.IMAGE("https://play.pokemonshowdown.com/sprites/gen5/camerupt.png"),"")</f>
        <v/>
      </c>
      <c r="M262" s="43">
        <f>IFERROR(_xlfn.IMAGE("https://play.pokemonshowdown.com/sprites/gen5/torkoal.png"),"")</f>
        <v/>
      </c>
      <c r="Q262" s="44" t="inlineStr">
        <is>
          <t>DOUBLE BATTLE
Items: Full Restore / Full Restore / Full Restore</t>
        </is>
      </c>
    </row>
    <row r="263">
      <c r="E263" s="45" t="inlineStr">
        <is>
          <t>Lv 41 Growlithe</t>
        </is>
      </c>
      <c r="F263" s="46" t="n"/>
      <c r="G263" s="45" t="inlineStr">
        <is>
          <t>Lv 43 Magcargo</t>
        </is>
      </c>
      <c r="H263" s="46" t="n"/>
      <c r="I263" s="45" t="inlineStr">
        <is>
          <t>Lv 41 Ponyta</t>
        </is>
      </c>
      <c r="J263" s="46" t="n"/>
      <c r="K263" s="45" t="inlineStr">
        <is>
          <t>Lv 43 Camerupt</t>
        </is>
      </c>
      <c r="L263" s="46" t="n"/>
      <c r="M263" s="45" t="inlineStr">
        <is>
          <t>Lv 45 Torkoal</t>
        </is>
      </c>
      <c r="N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Intimidate</t>
        </is>
      </c>
      <c r="G264" s="48" t="inlineStr">
        <is>
          <t>Hardy</t>
        </is>
      </c>
      <c r="H264" s="48" t="inlineStr">
        <is>
          <t>Magma Armor</t>
        </is>
      </c>
      <c r="I264" s="48" t="inlineStr">
        <is>
          <t>Hardy</t>
        </is>
      </c>
      <c r="J264" s="48" t="inlineStr">
        <is>
          <t>Reckless</t>
        </is>
      </c>
      <c r="K264" s="48" t="inlineStr">
        <is>
          <t>Hardy</t>
        </is>
      </c>
      <c r="L264" s="48" t="inlineStr">
        <is>
          <t>Magma Armor</t>
        </is>
      </c>
      <c r="M264" s="48" t="inlineStr">
        <is>
          <t>Hardy</t>
        </is>
      </c>
      <c r="N264" s="48" t="inlineStr">
        <is>
          <t>White Smoke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White Herb</t>
        </is>
      </c>
      <c r="H265" s="46" t="n"/>
      <c r="I265" s="49" t="inlineStr">
        <is>
          <t>(None)</t>
        </is>
      </c>
      <c r="J265" s="46" t="n"/>
      <c r="K265" s="49" t="inlineStr">
        <is>
          <t>White Herb</t>
        </is>
      </c>
      <c r="L265" s="46" t="n"/>
      <c r="M265" s="49" t="inlineStr">
        <is>
          <t>White Herb</t>
        </is>
      </c>
      <c r="N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Helping Hand</t>
        </is>
      </c>
      <c r="F266" s="46" t="n"/>
      <c r="G266" s="58" t="inlineStr">
        <is>
          <t>Overheat</t>
        </is>
      </c>
      <c r="H266" s="46" t="n"/>
      <c r="I266" s="58" t="inlineStr">
        <is>
          <t>Flamethrower</t>
        </is>
      </c>
      <c r="J266" s="46" t="n"/>
      <c r="K266" s="58" t="inlineStr">
        <is>
          <t>Overheat</t>
        </is>
      </c>
      <c r="L266" s="46" t="n"/>
      <c r="M266" s="58" t="inlineStr">
        <is>
          <t>Overheat</t>
        </is>
      </c>
      <c r="N266" s="46" t="n"/>
      <c r="Q266" s="47" t="inlineStr">
        <is>
          <t>Moves</t>
        </is>
      </c>
    </row>
    <row r="267">
      <c r="E267" s="58" t="inlineStr">
        <is>
          <t>Flamethrower</t>
        </is>
      </c>
      <c r="F267" s="46" t="n"/>
      <c r="G267" s="51" t="inlineStr">
        <is>
          <t>Attract</t>
        </is>
      </c>
      <c r="H267" s="46" t="n"/>
      <c r="I267" s="51" t="inlineStr">
        <is>
          <t>Attract</t>
        </is>
      </c>
      <c r="J267" s="46" t="n"/>
      <c r="K267" s="58" t="inlineStr">
        <is>
          <t>Sunny Day</t>
        </is>
      </c>
      <c r="L267" s="46" t="n"/>
      <c r="M267" s="58" t="inlineStr">
        <is>
          <t>Sunny Day</t>
        </is>
      </c>
      <c r="N267" s="46" t="n"/>
    </row>
    <row r="268">
      <c r="E268" s="51" t="inlineStr">
        <is>
          <t>Roar</t>
        </is>
      </c>
      <c r="F268" s="46" t="n"/>
      <c r="G268" s="63" t="inlineStr">
        <is>
          <t>Light Screen</t>
        </is>
      </c>
      <c r="H268" s="46" t="n"/>
      <c r="I268" s="59" t="inlineStr">
        <is>
          <t>Solar Beam</t>
        </is>
      </c>
      <c r="J268" s="46" t="n"/>
      <c r="K268" s="53" t="inlineStr">
        <is>
          <t>Earthquake</t>
        </is>
      </c>
      <c r="L268" s="46" t="n"/>
      <c r="M268" s="51" t="inlineStr">
        <is>
          <t>Explosion</t>
        </is>
      </c>
      <c r="N268" s="46" t="n"/>
    </row>
    <row r="269">
      <c r="E269" s="58" t="inlineStr">
        <is>
          <t>Sunny Day</t>
        </is>
      </c>
      <c r="F269" s="46" t="n"/>
      <c r="G269" s="62" t="inlineStr">
        <is>
          <t>Rock Slide</t>
        </is>
      </c>
      <c r="H269" s="46" t="n"/>
      <c r="I269" s="60" t="inlineStr">
        <is>
          <t>Bounce</t>
        </is>
      </c>
      <c r="J269" s="46" t="n"/>
      <c r="K269" s="51" t="inlineStr">
        <is>
          <t>Attract</t>
        </is>
      </c>
      <c r="L269" s="46" t="n"/>
      <c r="M269" s="51" t="inlineStr">
        <is>
          <t>Attract</t>
        </is>
      </c>
      <c r="N269" s="46" t="n"/>
    </row>
    <row r="271" ht="20" customHeight="1">
      <c r="B271" s="40" t="inlineStr">
        <is>
          <t>Leader</t>
        </is>
      </c>
      <c r="C271" s="41" t="n"/>
      <c r="D271" s="41" t="n"/>
      <c r="E271" s="42" t="inlineStr">
        <is>
          <t>Leader Flannery (Rematch 3)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IFERROR(_xlfn.IMAGE("https://play.pokemonshowdown.com/sprites/gen5/houndour.png"),"")</f>
        <v/>
      </c>
      <c r="G272" s="43">
        <f>IFERROR(_xlfn.IMAGE("https://play.pokemonshowdown.com/sprites/gen5/growlithe.png"),"")</f>
        <v/>
      </c>
      <c r="I272" s="43">
        <f>IFERROR(_xlfn.IMAGE("https://play.pokemonshowdown.com/sprites/gen5/magcargo.png"),"")</f>
        <v/>
      </c>
      <c r="K272" s="43">
        <f>IFERROR(_xlfn.IMAGE("https://play.pokemonshowdown.com/sprites/gen5/rapidash.png"),"")</f>
        <v/>
      </c>
      <c r="M272" s="43">
        <f>IFERROR(_xlfn.IMAGE("https://play.pokemonshowdown.com/sprites/gen5/camerupt.png"),"")</f>
        <v/>
      </c>
      <c r="O272" s="43">
        <f>IFERROR(_xlfn.IMAGE("https://play.pokemonshowdown.com/sprites/gen5/torkoal.png"),"")</f>
        <v/>
      </c>
      <c r="Q272" s="44" t="inlineStr">
        <is>
          <t>DOUBLE BATTLE
Items: Full Restore / Full Restore / Full Restore</t>
        </is>
      </c>
    </row>
    <row r="273">
      <c r="E273" s="45" t="inlineStr">
        <is>
          <t>Lv 46 Houndour</t>
        </is>
      </c>
      <c r="F273" s="46" t="n"/>
      <c r="G273" s="45" t="inlineStr">
        <is>
          <t>Lv 46 Growlithe</t>
        </is>
      </c>
      <c r="H273" s="46" t="n"/>
      <c r="I273" s="45" t="inlineStr">
        <is>
          <t>Lv 48 Magcargo</t>
        </is>
      </c>
      <c r="J273" s="46" t="n"/>
      <c r="K273" s="45" t="inlineStr">
        <is>
          <t>Lv 46 Rapidash</t>
        </is>
      </c>
      <c r="L273" s="46" t="n"/>
      <c r="M273" s="45" t="inlineStr">
        <is>
          <t>Lv 48 Camerupt</t>
        </is>
      </c>
      <c r="N273" s="46" t="n"/>
      <c r="O273" s="45" t="inlineStr">
        <is>
          <t>Lv 50 Torkoal</t>
        </is>
      </c>
      <c r="P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Solar Power</t>
        </is>
      </c>
      <c r="G274" s="48" t="inlineStr">
        <is>
          <t>Hardy</t>
        </is>
      </c>
      <c r="H274" s="48" t="inlineStr">
        <is>
          <t>Intimidate</t>
        </is>
      </c>
      <c r="I274" s="48" t="inlineStr">
        <is>
          <t>Hardy</t>
        </is>
      </c>
      <c r="J274" s="48" t="inlineStr">
        <is>
          <t>Magma Armor</t>
        </is>
      </c>
      <c r="K274" s="48" t="inlineStr">
        <is>
          <t>Hardy</t>
        </is>
      </c>
      <c r="L274" s="48" t="inlineStr">
        <is>
          <t>Reckless</t>
        </is>
      </c>
      <c r="M274" s="48" t="inlineStr">
        <is>
          <t>Hardy</t>
        </is>
      </c>
      <c r="N274" s="48" t="inlineStr">
        <is>
          <t>Magma Armor</t>
        </is>
      </c>
      <c r="O274" s="48" t="inlineStr">
        <is>
          <t>Hardy</t>
        </is>
      </c>
      <c r="P274" s="48" t="inlineStr">
        <is>
          <t>White Smoke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White Herb</t>
        </is>
      </c>
      <c r="J275" s="46" t="n"/>
      <c r="K275" s="49" t="inlineStr">
        <is>
          <t>(None)</t>
        </is>
      </c>
      <c r="L275" s="46" t="n"/>
      <c r="M275" s="49" t="inlineStr">
        <is>
          <t>White Herb</t>
        </is>
      </c>
      <c r="N275" s="46" t="n"/>
      <c r="O275" s="49" t="inlineStr">
        <is>
          <t>White Herb</t>
        </is>
      </c>
      <c r="P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Roar</t>
        </is>
      </c>
      <c r="F276" s="46" t="n"/>
      <c r="G276" s="51" t="inlineStr">
        <is>
          <t>Helping Hand</t>
        </is>
      </c>
      <c r="H276" s="46" t="n"/>
      <c r="I276" s="58" t="inlineStr">
        <is>
          <t>Overheat</t>
        </is>
      </c>
      <c r="J276" s="46" t="n"/>
      <c r="K276" s="58" t="inlineStr">
        <is>
          <t>Flamethrower</t>
        </is>
      </c>
      <c r="L276" s="46" t="n"/>
      <c r="M276" s="58" t="inlineStr">
        <is>
          <t>Overheat</t>
        </is>
      </c>
      <c r="N276" s="46" t="n"/>
      <c r="O276" s="58" t="inlineStr">
        <is>
          <t>Overheat</t>
        </is>
      </c>
      <c r="P276" s="46" t="n"/>
      <c r="Q276" s="47" t="inlineStr">
        <is>
          <t>Moves</t>
        </is>
      </c>
    </row>
    <row r="277">
      <c r="E277" s="59" t="inlineStr">
        <is>
          <t>Solar Beam</t>
        </is>
      </c>
      <c r="F277" s="46" t="n"/>
      <c r="G277" s="58" t="inlineStr">
        <is>
          <t>Flamethrower</t>
        </is>
      </c>
      <c r="H277" s="46" t="n"/>
      <c r="I277" s="51" t="inlineStr">
        <is>
          <t>Attract</t>
        </is>
      </c>
      <c r="J277" s="46" t="n"/>
      <c r="K277" s="51" t="inlineStr">
        <is>
          <t>Attract</t>
        </is>
      </c>
      <c r="L277" s="46" t="n"/>
      <c r="M277" s="58" t="inlineStr">
        <is>
          <t>Sunny Day</t>
        </is>
      </c>
      <c r="N277" s="46" t="n"/>
      <c r="O277" s="58" t="inlineStr">
        <is>
          <t>Sunny Day</t>
        </is>
      </c>
      <c r="P277" s="46" t="n"/>
    </row>
    <row r="278">
      <c r="E278" s="50" t="inlineStr">
        <is>
          <t>Taunt</t>
        </is>
      </c>
      <c r="F278" s="46" t="n"/>
      <c r="G278" s="58" t="inlineStr">
        <is>
          <t>Sunny Day</t>
        </is>
      </c>
      <c r="H278" s="46" t="n"/>
      <c r="I278" s="63" t="inlineStr">
        <is>
          <t>Light Screen</t>
        </is>
      </c>
      <c r="J278" s="46" t="n"/>
      <c r="K278" s="59" t="inlineStr">
        <is>
          <t>Solar Beam</t>
        </is>
      </c>
      <c r="L278" s="46" t="n"/>
      <c r="M278" s="53" t="inlineStr">
        <is>
          <t>Earthquake</t>
        </is>
      </c>
      <c r="N278" s="46" t="n"/>
      <c r="O278" s="51" t="inlineStr">
        <is>
          <t>Explosion</t>
        </is>
      </c>
      <c r="P278" s="46" t="n"/>
    </row>
    <row r="279">
      <c r="E279" s="58" t="inlineStr">
        <is>
          <t>Sunny Day</t>
        </is>
      </c>
      <c r="F279" s="46" t="n"/>
      <c r="G279" s="51" t="inlineStr">
        <is>
          <t>Roar</t>
        </is>
      </c>
      <c r="H279" s="46" t="n"/>
      <c r="I279" s="62" t="inlineStr">
        <is>
          <t>Rock Slide</t>
        </is>
      </c>
      <c r="J279" s="46" t="n"/>
      <c r="K279" s="60" t="inlineStr">
        <is>
          <t>Bounce</t>
        </is>
      </c>
      <c r="L279" s="46" t="n"/>
      <c r="M279" s="51" t="inlineStr">
        <is>
          <t>Attract</t>
        </is>
      </c>
      <c r="N279" s="46" t="n"/>
      <c r="O279" s="51" t="inlineStr">
        <is>
          <t>Attract</t>
        </is>
      </c>
      <c r="P279" s="46" t="n"/>
    </row>
    <row r="281" ht="20" customHeight="1">
      <c r="B281" s="40" t="inlineStr">
        <is>
          <t>Leader</t>
        </is>
      </c>
      <c r="C281" s="41" t="n"/>
      <c r="D281" s="41" t="n"/>
      <c r="E281" s="42" t="inlineStr">
        <is>
          <t>Leader Flannery (Rematch 4)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IFERROR(_xlfn.IMAGE("https://play.pokemonshowdown.com/sprites/gen5/arcanine.png"),"")</f>
        <v/>
      </c>
      <c r="G282" s="43">
        <f>IFERROR(_xlfn.IMAGE("https://play.pokemonshowdown.com/sprites/gen5/magcargo.png"),"")</f>
        <v/>
      </c>
      <c r="I282" s="43">
        <f>IFERROR(_xlfn.IMAGE("https://play.pokemonshowdown.com/sprites/gen5/houndoom.png"),"")</f>
        <v/>
      </c>
      <c r="K282" s="43">
        <f>IFERROR(_xlfn.IMAGE("https://play.pokemonshowdown.com/sprites/gen5/rapidash.png"),"")</f>
        <v/>
      </c>
      <c r="M282" s="43">
        <f>IFERROR(_xlfn.IMAGE("https://play.pokemonshowdown.com/sprites/gen5/camerupt.png"),"")</f>
        <v/>
      </c>
      <c r="O282" s="43">
        <f>IFERROR(_xlfn.IMAGE("https://play.pokemonshowdown.com/sprites/gen5/torkoal.png"),"")</f>
        <v/>
      </c>
      <c r="Q282" s="44" t="inlineStr">
        <is>
          <t>DOUBLE BATTLE
Items: Full Restore / Full Restore / Full Restore</t>
        </is>
      </c>
    </row>
    <row r="283">
      <c r="E283" s="45" t="inlineStr">
        <is>
          <t>Lv 51 Arcanine</t>
        </is>
      </c>
      <c r="F283" s="46" t="n"/>
      <c r="G283" s="45" t="inlineStr">
        <is>
          <t>Lv 53 Magcargo</t>
        </is>
      </c>
      <c r="H283" s="46" t="n"/>
      <c r="I283" s="45" t="inlineStr">
        <is>
          <t>Lv 51 Houndoom</t>
        </is>
      </c>
      <c r="J283" s="46" t="n"/>
      <c r="K283" s="45" t="inlineStr">
        <is>
          <t>Lv 51 Rapidash</t>
        </is>
      </c>
      <c r="L283" s="46" t="n"/>
      <c r="M283" s="45" t="inlineStr">
        <is>
          <t>Lv 53 Camerupt</t>
        </is>
      </c>
      <c r="N283" s="46" t="n"/>
      <c r="O283" s="45" t="inlineStr">
        <is>
          <t>Lv 55 Torkoal</t>
        </is>
      </c>
      <c r="P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Intimidate</t>
        </is>
      </c>
      <c r="G284" s="48" t="inlineStr">
        <is>
          <t>Hardy</t>
        </is>
      </c>
      <c r="H284" s="48" t="inlineStr">
        <is>
          <t>Magma Armor</t>
        </is>
      </c>
      <c r="I284" s="48" t="inlineStr">
        <is>
          <t>Hardy</t>
        </is>
      </c>
      <c r="J284" s="48" t="inlineStr">
        <is>
          <t>Solar Power</t>
        </is>
      </c>
      <c r="K284" s="48" t="inlineStr">
        <is>
          <t>Hardy</t>
        </is>
      </c>
      <c r="L284" s="48" t="inlineStr">
        <is>
          <t>Reckless</t>
        </is>
      </c>
      <c r="M284" s="48" t="inlineStr">
        <is>
          <t>Hardy</t>
        </is>
      </c>
      <c r="N284" s="48" t="inlineStr">
        <is>
          <t>Magma Armor</t>
        </is>
      </c>
      <c r="O284" s="48" t="inlineStr">
        <is>
          <t>Hardy</t>
        </is>
      </c>
      <c r="P284" s="48" t="inlineStr">
        <is>
          <t>White Smoke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White Herb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M285" s="49" t="inlineStr">
        <is>
          <t>White Herb</t>
        </is>
      </c>
      <c r="N285" s="46" t="n"/>
      <c r="O285" s="49" t="inlineStr">
        <is>
          <t>White Herb</t>
        </is>
      </c>
      <c r="P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Helping Hand</t>
        </is>
      </c>
      <c r="F286" s="46" t="n"/>
      <c r="G286" s="58" t="inlineStr">
        <is>
          <t>Overheat</t>
        </is>
      </c>
      <c r="H286" s="46" t="n"/>
      <c r="I286" s="51" t="inlineStr">
        <is>
          <t>Roar</t>
        </is>
      </c>
      <c r="J286" s="46" t="n"/>
      <c r="K286" s="58" t="inlineStr">
        <is>
          <t>Flamethrower</t>
        </is>
      </c>
      <c r="L286" s="46" t="n"/>
      <c r="M286" s="58" t="inlineStr">
        <is>
          <t>Overheat</t>
        </is>
      </c>
      <c r="N286" s="46" t="n"/>
      <c r="O286" s="58" t="inlineStr">
        <is>
          <t>Overheat</t>
        </is>
      </c>
      <c r="P286" s="46" t="n"/>
      <c r="Q286" s="47" t="inlineStr">
        <is>
          <t>Moves</t>
        </is>
      </c>
    </row>
    <row r="287">
      <c r="E287" s="58" t="inlineStr">
        <is>
          <t>Flamethrower</t>
        </is>
      </c>
      <c r="F287" s="46" t="n"/>
      <c r="G287" s="51" t="inlineStr">
        <is>
          <t>Attract</t>
        </is>
      </c>
      <c r="H287" s="46" t="n"/>
      <c r="I287" s="59" t="inlineStr">
        <is>
          <t>Solar Beam</t>
        </is>
      </c>
      <c r="J287" s="46" t="n"/>
      <c r="K287" s="51" t="inlineStr">
        <is>
          <t>Attract</t>
        </is>
      </c>
      <c r="L287" s="46" t="n"/>
      <c r="M287" s="58" t="inlineStr">
        <is>
          <t>Sunny Day</t>
        </is>
      </c>
      <c r="N287" s="46" t="n"/>
      <c r="O287" s="58" t="inlineStr">
        <is>
          <t>Sunny Day</t>
        </is>
      </c>
      <c r="P287" s="46" t="n"/>
    </row>
    <row r="288">
      <c r="E288" s="58" t="inlineStr">
        <is>
          <t>Sunny Day</t>
        </is>
      </c>
      <c r="F288" s="46" t="n"/>
      <c r="G288" s="63" t="inlineStr">
        <is>
          <t>Light Screen</t>
        </is>
      </c>
      <c r="H288" s="46" t="n"/>
      <c r="I288" s="50" t="inlineStr">
        <is>
          <t>Taunt</t>
        </is>
      </c>
      <c r="J288" s="46" t="n"/>
      <c r="K288" s="59" t="inlineStr">
        <is>
          <t>Solar Beam</t>
        </is>
      </c>
      <c r="L288" s="46" t="n"/>
      <c r="M288" s="53" t="inlineStr">
        <is>
          <t>Earthquake</t>
        </is>
      </c>
      <c r="N288" s="46" t="n"/>
      <c r="O288" s="51" t="inlineStr">
        <is>
          <t>Explosion</t>
        </is>
      </c>
      <c r="P288" s="46" t="n"/>
    </row>
    <row r="289">
      <c r="E289" s="51" t="inlineStr">
        <is>
          <t>Roar</t>
        </is>
      </c>
      <c r="F289" s="46" t="n"/>
      <c r="G289" s="62" t="inlineStr">
        <is>
          <t>Rock Slide</t>
        </is>
      </c>
      <c r="H289" s="46" t="n"/>
      <c r="I289" s="58" t="inlineStr">
        <is>
          <t>Sunny Day</t>
        </is>
      </c>
      <c r="J289" s="46" t="n"/>
      <c r="K289" s="60" t="inlineStr">
        <is>
          <t>Bounce</t>
        </is>
      </c>
      <c r="L289" s="46" t="n"/>
      <c r="M289" s="51" t="inlineStr">
        <is>
          <t>Attract</t>
        </is>
      </c>
      <c r="N289" s="46" t="n"/>
      <c r="O289" s="51" t="inlineStr">
        <is>
          <t>Attract</t>
        </is>
      </c>
      <c r="P289" s="46" t="n"/>
    </row>
    <row r="291" ht="20" customHeight="1">
      <c r="B291" s="40" t="inlineStr">
        <is>
          <t>Leader</t>
        </is>
      </c>
      <c r="C291" s="41" t="n"/>
      <c r="D291" s="41" t="n"/>
      <c r="E291" s="42" t="inlineStr">
        <is>
          <t>Leader Juan (Rematch 1)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IFERROR(_xlfn.IMAGE("https://play.pokemonshowdown.com/sprites/gen5/poliwag.png"),"")</f>
        <v/>
      </c>
      <c r="G292" s="43">
        <f>IFERROR(_xlfn.IMAGE("https://play.pokemonshowdown.com/sprites/gen5/whiscash.png"),"")</f>
        <v/>
      </c>
      <c r="I292" s="43">
        <f>IFERROR(_xlfn.IMAGE("https://play.pokemonshowdown.com/sprites/gen5/walrein.png"),"")</f>
        <v/>
      </c>
      <c r="K292" s="43">
        <f>IFERROR(_xlfn.IMAGE("https://play.pokemonshowdown.com/sprites/gen5/crawdaunt.png"),"")</f>
        <v/>
      </c>
      <c r="M292" s="43">
        <f>IFERROR(_xlfn.IMAGE("https://play.pokemonshowdown.com/sprites/gen5/kingdra.png"),"")</f>
        <v/>
      </c>
      <c r="Q292" s="44" t="inlineStr">
        <is>
          <t>DOUBLE BATTLE
Items: Full Restore / Full Restore / Full Restore</t>
        </is>
      </c>
    </row>
    <row r="293">
      <c r="E293" s="45" t="inlineStr">
        <is>
          <t>Lv 46 Poliwag</t>
        </is>
      </c>
      <c r="F293" s="46" t="n"/>
      <c r="G293" s="45" t="inlineStr">
        <is>
          <t>Lv 46 Whiscash</t>
        </is>
      </c>
      <c r="H293" s="46" t="n"/>
      <c r="I293" s="45" t="inlineStr">
        <is>
          <t>Lv 48 Walrein</t>
        </is>
      </c>
      <c r="J293" s="46" t="n"/>
      <c r="K293" s="45" t="inlineStr">
        <is>
          <t>Lv 48 Crawdaunt</t>
        </is>
      </c>
      <c r="L293" s="46" t="n"/>
      <c r="M293" s="45" t="inlineStr">
        <is>
          <t>Lv 51 Kingdra</t>
        </is>
      </c>
      <c r="N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Swift Swim</t>
        </is>
      </c>
      <c r="G294" s="48" t="inlineStr">
        <is>
          <t>Hardy</t>
        </is>
      </c>
      <c r="H294" s="48" t="inlineStr">
        <is>
          <t>Hydration</t>
        </is>
      </c>
      <c r="I294" s="48" t="inlineStr">
        <is>
          <t>Hardy</t>
        </is>
      </c>
      <c r="J294" s="48" t="inlineStr">
        <is>
          <t>Filter</t>
        </is>
      </c>
      <c r="K294" s="48" t="inlineStr">
        <is>
          <t>Hardy</t>
        </is>
      </c>
      <c r="L294" s="48" t="inlineStr">
        <is>
          <t>Adaptability</t>
        </is>
      </c>
      <c r="M294" s="48" t="inlineStr">
        <is>
          <t>Hardy</t>
        </is>
      </c>
      <c r="N294" s="48" t="inlineStr">
        <is>
          <t>Swift Swim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Chesto Berry</t>
        </is>
      </c>
      <c r="L295" s="46" t="n"/>
      <c r="M295" s="49" t="inlineStr">
        <is>
          <t>Chesto Berry</t>
        </is>
      </c>
      <c r="N295" s="46" t="n"/>
      <c r="Q295" s="47" t="inlineStr">
        <is>
          <t>Item</t>
        </is>
      </c>
    </row>
    <row r="296">
      <c r="B296" s="44" t="inlineStr">
        <is>
          <t>Smart Trainer</t>
        </is>
      </c>
      <c r="E296" s="63" t="inlineStr">
        <is>
          <t>Hypnosis</t>
        </is>
      </c>
      <c r="F296" s="46" t="n"/>
      <c r="G296" s="61" t="inlineStr">
        <is>
          <t>Rain Dance</t>
        </is>
      </c>
      <c r="H296" s="46" t="n"/>
      <c r="I296" s="61" t="inlineStr">
        <is>
          <t>Water Pulse</t>
        </is>
      </c>
      <c r="J296" s="46" t="n"/>
      <c r="K296" s="63" t="inlineStr">
        <is>
          <t>Rest</t>
        </is>
      </c>
      <c r="L296" s="46" t="n"/>
      <c r="M296" s="61" t="inlineStr">
        <is>
          <t>Water Pulse</t>
        </is>
      </c>
      <c r="N296" s="46" t="n"/>
      <c r="Q296" s="47" t="inlineStr">
        <is>
          <t>Moves</t>
        </is>
      </c>
    </row>
    <row r="297">
      <c r="E297" s="61" t="inlineStr">
        <is>
          <t>Rain Dance</t>
        </is>
      </c>
      <c r="F297" s="46" t="n"/>
      <c r="G297" s="61" t="inlineStr">
        <is>
          <t>Water Pulse</t>
        </is>
      </c>
      <c r="H297" s="46" t="n"/>
      <c r="I297" s="51" t="inlineStr">
        <is>
          <t>Body Slam</t>
        </is>
      </c>
      <c r="J297" s="46" t="n"/>
      <c r="K297" s="61" t="inlineStr">
        <is>
          <t>Crabhammer</t>
        </is>
      </c>
      <c r="L297" s="46" t="n"/>
      <c r="M297" s="51" t="inlineStr">
        <is>
          <t>Double Team</t>
        </is>
      </c>
      <c r="N297" s="46" t="n"/>
    </row>
    <row r="298">
      <c r="E298" s="51" t="inlineStr">
        <is>
          <t>Protect</t>
        </is>
      </c>
      <c r="F298" s="46" t="n"/>
      <c r="G298" s="51" t="inlineStr">
        <is>
          <t>Double Team</t>
        </is>
      </c>
      <c r="H298" s="46" t="n"/>
      <c r="I298" s="51" t="inlineStr">
        <is>
          <t>Protect</t>
        </is>
      </c>
      <c r="J298" s="46" t="n"/>
      <c r="K298" s="50" t="inlineStr">
        <is>
          <t>Taunt</t>
        </is>
      </c>
      <c r="L298" s="46" t="n"/>
      <c r="M298" s="64" t="inlineStr">
        <is>
          <t>Ice Beam</t>
        </is>
      </c>
      <c r="N298" s="46" t="n"/>
    </row>
    <row r="299">
      <c r="E299" s="61" t="inlineStr">
        <is>
          <t>Hydro Pump</t>
        </is>
      </c>
      <c r="F299" s="46" t="n"/>
      <c r="G299" s="53" t="inlineStr">
        <is>
          <t>Fissure</t>
        </is>
      </c>
      <c r="H299" s="46" t="n"/>
      <c r="I299" s="64" t="inlineStr">
        <is>
          <t>Ice Beam</t>
        </is>
      </c>
      <c r="J299" s="46" t="n"/>
      <c r="K299" s="51" t="inlineStr">
        <is>
          <t>Double Team</t>
        </is>
      </c>
      <c r="L299" s="46" t="n"/>
      <c r="M299" s="63" t="inlineStr">
        <is>
          <t>Rest</t>
        </is>
      </c>
      <c r="N299" s="46" t="n"/>
    </row>
    <row r="301" ht="20" customHeight="1">
      <c r="B301" s="40" t="inlineStr">
        <is>
          <t>Leader</t>
        </is>
      </c>
      <c r="C301" s="41" t="n"/>
      <c r="D301" s="41" t="n"/>
      <c r="E301" s="42" t="inlineStr">
        <is>
          <t>Leader Juan (Rematch 2)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IFERROR(_xlfn.IMAGE("https://play.pokemonshowdown.com/sprites/gen5/poliwhirl.png"),"")</f>
        <v/>
      </c>
      <c r="G302" s="43">
        <f>IFERROR(_xlfn.IMAGE("https://play.pokemonshowdown.com/sprites/gen5/whiscash.png"),"")</f>
        <v/>
      </c>
      <c r="I302" s="43">
        <f>IFERROR(_xlfn.IMAGE("https://play.pokemonshowdown.com/sprites/gen5/walrein.png"),"")</f>
        <v/>
      </c>
      <c r="K302" s="43">
        <f>IFERROR(_xlfn.IMAGE("https://play.pokemonshowdown.com/sprites/gen5/crawdaunt.png"),"")</f>
        <v/>
      </c>
      <c r="M302" s="43">
        <f>IFERROR(_xlfn.IMAGE("https://play.pokemonshowdown.com/sprites/gen5/kingdra.png"),"")</f>
        <v/>
      </c>
      <c r="Q302" s="44" t="inlineStr">
        <is>
          <t>DOUBLE BATTLE
Items: Full Restore / Full Restore / Full Restore</t>
        </is>
      </c>
    </row>
    <row r="303">
      <c r="E303" s="45" t="inlineStr">
        <is>
          <t>Lv 50 Poliwhirl</t>
        </is>
      </c>
      <c r="F303" s="46" t="n"/>
      <c r="G303" s="45" t="inlineStr">
        <is>
          <t>Lv 51 Whiscash</t>
        </is>
      </c>
      <c r="H303" s="46" t="n"/>
      <c r="I303" s="45" t="inlineStr">
        <is>
          <t>Lv 53 Walrein</t>
        </is>
      </c>
      <c r="J303" s="46" t="n"/>
      <c r="K303" s="45" t="inlineStr">
        <is>
          <t>Lv 53 Crawdaunt</t>
        </is>
      </c>
      <c r="L303" s="46" t="n"/>
      <c r="M303" s="45" t="inlineStr">
        <is>
          <t>Lv 56 Kingdra</t>
        </is>
      </c>
      <c r="N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Swift Swim</t>
        </is>
      </c>
      <c r="G304" s="48" t="inlineStr">
        <is>
          <t>Hardy</t>
        </is>
      </c>
      <c r="H304" s="48" t="inlineStr">
        <is>
          <t>Hydration</t>
        </is>
      </c>
      <c r="I304" s="48" t="inlineStr">
        <is>
          <t>Hardy</t>
        </is>
      </c>
      <c r="J304" s="48" t="inlineStr">
        <is>
          <t>Filter</t>
        </is>
      </c>
      <c r="K304" s="48" t="inlineStr">
        <is>
          <t>Hardy</t>
        </is>
      </c>
      <c r="L304" s="48" t="inlineStr">
        <is>
          <t>Adaptability</t>
        </is>
      </c>
      <c r="M304" s="48" t="inlineStr">
        <is>
          <t>Hardy</t>
        </is>
      </c>
      <c r="N304" s="48" t="inlineStr">
        <is>
          <t>Swift Swim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G305" s="49" t="inlineStr">
        <is>
          <t>(None)</t>
        </is>
      </c>
      <c r="H305" s="46" t="n"/>
      <c r="I305" s="49" t="inlineStr">
        <is>
          <t>(None)</t>
        </is>
      </c>
      <c r="J305" s="46" t="n"/>
      <c r="K305" s="49" t="inlineStr">
        <is>
          <t>Chesto Berry</t>
        </is>
      </c>
      <c r="L305" s="46" t="n"/>
      <c r="M305" s="49" t="inlineStr">
        <is>
          <t>Chesto Berry</t>
        </is>
      </c>
      <c r="N305" s="46" t="n"/>
      <c r="Q305" s="47" t="inlineStr">
        <is>
          <t>Item</t>
        </is>
      </c>
    </row>
    <row r="306">
      <c r="B306" s="44" t="inlineStr">
        <is>
          <t>Smart Trainer</t>
        </is>
      </c>
      <c r="E306" s="63" t="inlineStr">
        <is>
          <t>Hypnosis</t>
        </is>
      </c>
      <c r="F306" s="46" t="n"/>
      <c r="G306" s="61" t="inlineStr">
        <is>
          <t>Rain Dance</t>
        </is>
      </c>
      <c r="H306" s="46" t="n"/>
      <c r="I306" s="61" t="inlineStr">
        <is>
          <t>Water Pulse</t>
        </is>
      </c>
      <c r="J306" s="46" t="n"/>
      <c r="K306" s="63" t="inlineStr">
        <is>
          <t>Rest</t>
        </is>
      </c>
      <c r="L306" s="46" t="n"/>
      <c r="M306" s="61" t="inlineStr">
        <is>
          <t>Water Pulse</t>
        </is>
      </c>
      <c r="N306" s="46" t="n"/>
      <c r="Q306" s="47" t="inlineStr">
        <is>
          <t>Moves</t>
        </is>
      </c>
    </row>
    <row r="307">
      <c r="E307" s="61" t="inlineStr">
        <is>
          <t>Rain Dance</t>
        </is>
      </c>
      <c r="F307" s="46" t="n"/>
      <c r="G307" s="61" t="inlineStr">
        <is>
          <t>Water Pulse</t>
        </is>
      </c>
      <c r="H307" s="46" t="n"/>
      <c r="I307" s="51" t="inlineStr">
        <is>
          <t>Body Slam</t>
        </is>
      </c>
      <c r="J307" s="46" t="n"/>
      <c r="K307" s="51" t="inlineStr">
        <is>
          <t>Guillotine</t>
        </is>
      </c>
      <c r="L307" s="46" t="n"/>
      <c r="M307" s="51" t="inlineStr">
        <is>
          <t>Double Team</t>
        </is>
      </c>
      <c r="N307" s="46" t="n"/>
    </row>
    <row r="308">
      <c r="E308" s="51" t="inlineStr">
        <is>
          <t>Protect</t>
        </is>
      </c>
      <c r="F308" s="46" t="n"/>
      <c r="G308" s="51" t="inlineStr">
        <is>
          <t>Double Team</t>
        </is>
      </c>
      <c r="H308" s="46" t="n"/>
      <c r="I308" s="51" t="inlineStr">
        <is>
          <t>Protect</t>
        </is>
      </c>
      <c r="J308" s="46" t="n"/>
      <c r="K308" s="50" t="inlineStr">
        <is>
          <t>Taunt</t>
        </is>
      </c>
      <c r="L308" s="46" t="n"/>
      <c r="M308" s="64" t="inlineStr">
        <is>
          <t>Ice Beam</t>
        </is>
      </c>
      <c r="N308" s="46" t="n"/>
    </row>
    <row r="309">
      <c r="E309" s="61" t="inlineStr">
        <is>
          <t>Hydro Pump</t>
        </is>
      </c>
      <c r="F309" s="46" t="n"/>
      <c r="G309" s="53" t="inlineStr">
        <is>
          <t>Fissure</t>
        </is>
      </c>
      <c r="H309" s="46" t="n"/>
      <c r="I309" s="64" t="inlineStr">
        <is>
          <t>Ice Beam</t>
        </is>
      </c>
      <c r="J309" s="46" t="n"/>
      <c r="K309" s="51" t="inlineStr">
        <is>
          <t>Double Team</t>
        </is>
      </c>
      <c r="L309" s="46" t="n"/>
      <c r="M309" s="63" t="inlineStr">
        <is>
          <t>Rest</t>
        </is>
      </c>
      <c r="N309" s="46" t="n"/>
    </row>
    <row r="311" ht="20" customHeight="1">
      <c r="B311" s="40" t="inlineStr">
        <is>
          <t>Leader</t>
        </is>
      </c>
      <c r="C311" s="41" t="n"/>
      <c r="D311" s="41" t="n"/>
      <c r="E311" s="42" t="inlineStr">
        <is>
          <t>Leader Juan (Rematch 3)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IFERROR(_xlfn.IMAGE("https://play.pokemonshowdown.com/sprites/gen5/lapras.png"),"")</f>
        <v/>
      </c>
      <c r="G312" s="43">
        <f>IFERROR(_xlfn.IMAGE("https://play.pokemonshowdown.com/sprites/gen5/whiscash.png"),"")</f>
        <v/>
      </c>
      <c r="I312" s="43">
        <f>IFERROR(_xlfn.IMAGE("https://play.pokemonshowdown.com/sprites/gen5/poliwhirl.png"),"")</f>
        <v/>
      </c>
      <c r="K312" s="43">
        <f>IFERROR(_xlfn.IMAGE("https://play.pokemonshowdown.com/sprites/gen5/walrein.png"),"")</f>
        <v/>
      </c>
      <c r="M312" s="43">
        <f>IFERROR(_xlfn.IMAGE("https://play.pokemonshowdown.com/sprites/gen5/crawdaunt.png"),"")</f>
        <v/>
      </c>
      <c r="O312" s="43">
        <f>IFERROR(_xlfn.IMAGE("https://play.pokemonshowdown.com/sprites/gen5/kingdra.png"),"")</f>
        <v/>
      </c>
      <c r="Q312" s="44" t="inlineStr">
        <is>
          <t>DOUBLE BATTLE
Items: Full Restore / Full Restore / Full Restore</t>
        </is>
      </c>
    </row>
    <row r="313">
      <c r="E313" s="45" t="inlineStr">
        <is>
          <t>Lv 56 Lapras</t>
        </is>
      </c>
      <c r="F313" s="46" t="n"/>
      <c r="G313" s="45" t="inlineStr">
        <is>
          <t>Lv 58 Whiscash</t>
        </is>
      </c>
      <c r="H313" s="46" t="n"/>
      <c r="I313" s="45" t="inlineStr">
        <is>
          <t>Lv 56 Poliwhirl</t>
        </is>
      </c>
      <c r="J313" s="46" t="n"/>
      <c r="K313" s="45" t="inlineStr">
        <is>
          <t>Lv 58 Walrein</t>
        </is>
      </c>
      <c r="L313" s="46" t="n"/>
      <c r="M313" s="45" t="inlineStr">
        <is>
          <t>Lv 58 Crawdaunt</t>
        </is>
      </c>
      <c r="N313" s="46" t="n"/>
      <c r="O313" s="45" t="inlineStr">
        <is>
          <t>Lv 61 Kingdra</t>
        </is>
      </c>
      <c r="P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Serene Grace</t>
        </is>
      </c>
      <c r="G314" s="48" t="inlineStr">
        <is>
          <t>Hardy</t>
        </is>
      </c>
      <c r="H314" s="48" t="inlineStr">
        <is>
          <t>Hydration</t>
        </is>
      </c>
      <c r="I314" s="48" t="inlineStr">
        <is>
          <t>Hardy</t>
        </is>
      </c>
      <c r="J314" s="48" t="inlineStr">
        <is>
          <t>Swift Swim</t>
        </is>
      </c>
      <c r="K314" s="48" t="inlineStr">
        <is>
          <t>Hardy</t>
        </is>
      </c>
      <c r="L314" s="48" t="inlineStr">
        <is>
          <t>Filter</t>
        </is>
      </c>
      <c r="M314" s="48" t="inlineStr">
        <is>
          <t>Hardy</t>
        </is>
      </c>
      <c r="N314" s="48" t="inlineStr">
        <is>
          <t>Adaptability</t>
        </is>
      </c>
      <c r="O314" s="48" t="inlineStr">
        <is>
          <t>Hardy</t>
        </is>
      </c>
      <c r="P314" s="48" t="inlineStr">
        <is>
          <t>Swift Swim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K315" s="49" t="inlineStr">
        <is>
          <t>(None)</t>
        </is>
      </c>
      <c r="L315" s="46" t="n"/>
      <c r="M315" s="49" t="inlineStr">
        <is>
          <t>Chesto Berry</t>
        </is>
      </c>
      <c r="N315" s="46" t="n"/>
      <c r="O315" s="49" t="inlineStr">
        <is>
          <t>Chesto Berry</t>
        </is>
      </c>
      <c r="P315" s="46" t="n"/>
      <c r="Q315" s="47" t="inlineStr">
        <is>
          <t>Item</t>
        </is>
      </c>
    </row>
    <row r="316">
      <c r="B316" s="44" t="inlineStr">
        <is>
          <t>Smart Trainer</t>
        </is>
      </c>
      <c r="E316" s="61" t="inlineStr">
        <is>
          <t>Hydro Pump</t>
        </is>
      </c>
      <c r="F316" s="46" t="n"/>
      <c r="G316" s="61" t="inlineStr">
        <is>
          <t>Rain Dance</t>
        </is>
      </c>
      <c r="H316" s="46" t="n"/>
      <c r="I316" s="63" t="inlineStr">
        <is>
          <t>Hypnosis</t>
        </is>
      </c>
      <c r="J316" s="46" t="n"/>
      <c r="K316" s="61" t="inlineStr">
        <is>
          <t>Water Pulse</t>
        </is>
      </c>
      <c r="L316" s="46" t="n"/>
      <c r="M316" s="63" t="inlineStr">
        <is>
          <t>Rest</t>
        </is>
      </c>
      <c r="N316" s="46" t="n"/>
      <c r="O316" s="61" t="inlineStr">
        <is>
          <t>Water Pulse</t>
        </is>
      </c>
      <c r="P316" s="46" t="n"/>
      <c r="Q316" s="47" t="inlineStr">
        <is>
          <t>Moves</t>
        </is>
      </c>
    </row>
    <row r="317">
      <c r="E317" s="51" t="inlineStr">
        <is>
          <t>Perish Song</t>
        </is>
      </c>
      <c r="F317" s="46" t="n"/>
      <c r="G317" s="61" t="inlineStr">
        <is>
          <t>Water Pulse</t>
        </is>
      </c>
      <c r="H317" s="46" t="n"/>
      <c r="I317" s="61" t="inlineStr">
        <is>
          <t>Rain Dance</t>
        </is>
      </c>
      <c r="J317" s="46" t="n"/>
      <c r="K317" s="51" t="inlineStr">
        <is>
          <t>Body Slam</t>
        </is>
      </c>
      <c r="L317" s="46" t="n"/>
      <c r="M317" s="51" t="inlineStr">
        <is>
          <t>Guillotine</t>
        </is>
      </c>
      <c r="N317" s="46" t="n"/>
      <c r="O317" s="51" t="inlineStr">
        <is>
          <t>Double Team</t>
        </is>
      </c>
      <c r="P317" s="46" t="n"/>
    </row>
    <row r="318">
      <c r="E318" s="64" t="inlineStr">
        <is>
          <t>Ice Beam</t>
        </is>
      </c>
      <c r="F318" s="46" t="n"/>
      <c r="G318" s="51" t="inlineStr">
        <is>
          <t>Double Team</t>
        </is>
      </c>
      <c r="H318" s="46" t="n"/>
      <c r="I318" s="51" t="inlineStr">
        <is>
          <t>Protect</t>
        </is>
      </c>
      <c r="J318" s="46" t="n"/>
      <c r="K318" s="51" t="inlineStr">
        <is>
          <t>Protect</t>
        </is>
      </c>
      <c r="L318" s="46" t="n"/>
      <c r="M318" s="50" t="inlineStr">
        <is>
          <t>Taunt</t>
        </is>
      </c>
      <c r="N318" s="46" t="n"/>
      <c r="O318" s="64" t="inlineStr">
        <is>
          <t>Ice Beam</t>
        </is>
      </c>
      <c r="P318" s="46" t="n"/>
    </row>
    <row r="319">
      <c r="E319" s="67" t="inlineStr">
        <is>
          <t>Confuse Ray</t>
        </is>
      </c>
      <c r="F319" s="46" t="n"/>
      <c r="G319" s="53" t="inlineStr">
        <is>
          <t>Fissure</t>
        </is>
      </c>
      <c r="H319" s="46" t="n"/>
      <c r="I319" s="61" t="inlineStr">
        <is>
          <t>Hydro Pump</t>
        </is>
      </c>
      <c r="J319" s="46" t="n"/>
      <c r="K319" s="64" t="inlineStr">
        <is>
          <t>Ice Beam</t>
        </is>
      </c>
      <c r="L319" s="46" t="n"/>
      <c r="M319" s="51" t="inlineStr">
        <is>
          <t>Double Team</t>
        </is>
      </c>
      <c r="N319" s="46" t="n"/>
      <c r="O319" s="63" t="inlineStr">
        <is>
          <t>Rest</t>
        </is>
      </c>
      <c r="P319" s="46" t="n"/>
    </row>
    <row r="321" ht="20" customHeight="1">
      <c r="B321" s="40" t="inlineStr">
        <is>
          <t>Leader</t>
        </is>
      </c>
      <c r="C321" s="41" t="n"/>
      <c r="D321" s="41" t="n"/>
      <c r="E321" s="42" t="inlineStr">
        <is>
          <t>Leader Juan (Rematch 4)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IFERROR(_xlfn.IMAGE("https://play.pokemonshowdown.com/sprites/gen5/lapras.png"),"")</f>
        <v/>
      </c>
      <c r="G322" s="43">
        <f>IFERROR(_xlfn.IMAGE("https://play.pokemonshowdown.com/sprites/gen5/whiscash.png"),"")</f>
        <v/>
      </c>
      <c r="I322" s="43">
        <f>IFERROR(_xlfn.IMAGE("https://play.pokemonshowdown.com/sprites/gen5/politoed.png"),"")</f>
        <v/>
      </c>
      <c r="K322" s="43">
        <f>IFERROR(_xlfn.IMAGE("https://play.pokemonshowdown.com/sprites/gen5/walrein.png"),"")</f>
        <v/>
      </c>
      <c r="M322" s="43">
        <f>IFERROR(_xlfn.IMAGE("https://play.pokemonshowdown.com/sprites/gen5/crawdaunt.png"),"")</f>
        <v/>
      </c>
      <c r="O322" s="43">
        <f>IFERROR(_xlfn.IMAGE("https://play.pokemonshowdown.com/sprites/gen5/kingdra.png"),"")</f>
        <v/>
      </c>
      <c r="Q322" s="44" t="inlineStr">
        <is>
          <t>DOUBLE BATTLE
Items: Full Restore / Full Restore / Full Restore</t>
        </is>
      </c>
    </row>
    <row r="323">
      <c r="E323" s="45" t="inlineStr">
        <is>
          <t>Lv 61 Lapras</t>
        </is>
      </c>
      <c r="F323" s="46" t="n"/>
      <c r="G323" s="45" t="inlineStr">
        <is>
          <t>Lv 63 Whiscash</t>
        </is>
      </c>
      <c r="H323" s="46" t="n"/>
      <c r="I323" s="45" t="inlineStr">
        <is>
          <t>Lv 61 Politoed</t>
        </is>
      </c>
      <c r="J323" s="46" t="n"/>
      <c r="K323" s="45" t="inlineStr">
        <is>
          <t>Lv 63 Walrein</t>
        </is>
      </c>
      <c r="L323" s="46" t="n"/>
      <c r="M323" s="45" t="inlineStr">
        <is>
          <t>Lv 63 Crawdaunt</t>
        </is>
      </c>
      <c r="N323" s="46" t="n"/>
      <c r="O323" s="45" t="inlineStr">
        <is>
          <t>Lv 66 Kingdra</t>
        </is>
      </c>
      <c r="P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Serene Grace</t>
        </is>
      </c>
      <c r="G324" s="48" t="inlineStr">
        <is>
          <t>Hardy</t>
        </is>
      </c>
      <c r="H324" s="48" t="inlineStr">
        <is>
          <t>Hydration</t>
        </is>
      </c>
      <c r="I324" s="48" t="inlineStr">
        <is>
          <t>Hardy</t>
        </is>
      </c>
      <c r="J324" s="48" t="inlineStr">
        <is>
          <t>Swift Swim</t>
        </is>
      </c>
      <c r="K324" s="48" t="inlineStr">
        <is>
          <t>Hardy</t>
        </is>
      </c>
      <c r="L324" s="48" t="inlineStr">
        <is>
          <t>Filter</t>
        </is>
      </c>
      <c r="M324" s="48" t="inlineStr">
        <is>
          <t>Hardy</t>
        </is>
      </c>
      <c r="N324" s="48" t="inlineStr">
        <is>
          <t>Adaptability</t>
        </is>
      </c>
      <c r="O324" s="48" t="inlineStr">
        <is>
          <t>Hardy</t>
        </is>
      </c>
      <c r="P324" s="48" t="inlineStr">
        <is>
          <t>Swift Swim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I325" s="49" t="inlineStr">
        <is>
          <t>(None)</t>
        </is>
      </c>
      <c r="J325" s="46" t="n"/>
      <c r="K325" s="49" t="inlineStr">
        <is>
          <t>(None)</t>
        </is>
      </c>
      <c r="L325" s="46" t="n"/>
      <c r="M325" s="49" t="inlineStr">
        <is>
          <t>Chesto Berry</t>
        </is>
      </c>
      <c r="N325" s="46" t="n"/>
      <c r="O325" s="49" t="inlineStr">
        <is>
          <t>Chesto Berry</t>
        </is>
      </c>
      <c r="P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Hydro Pump</t>
        </is>
      </c>
      <c r="F326" s="46" t="n"/>
      <c r="G326" s="61" t="inlineStr">
        <is>
          <t>Rain Dance</t>
        </is>
      </c>
      <c r="H326" s="46" t="n"/>
      <c r="I326" s="63" t="inlineStr">
        <is>
          <t>Hypnosis</t>
        </is>
      </c>
      <c r="J326" s="46" t="n"/>
      <c r="K326" s="61" t="inlineStr">
        <is>
          <t>Water Pulse</t>
        </is>
      </c>
      <c r="L326" s="46" t="n"/>
      <c r="M326" s="63" t="inlineStr">
        <is>
          <t>Rest</t>
        </is>
      </c>
      <c r="N326" s="46" t="n"/>
      <c r="O326" s="61" t="inlineStr">
        <is>
          <t>Water Pulse</t>
        </is>
      </c>
      <c r="P326" s="46" t="n"/>
      <c r="Q326" s="47" t="inlineStr">
        <is>
          <t>Moves</t>
        </is>
      </c>
    </row>
    <row r="327">
      <c r="E327" s="51" t="inlineStr">
        <is>
          <t>Perish Song</t>
        </is>
      </c>
      <c r="F327" s="46" t="n"/>
      <c r="G327" s="61" t="inlineStr">
        <is>
          <t>Water Pulse</t>
        </is>
      </c>
      <c r="H327" s="46" t="n"/>
      <c r="I327" s="61" t="inlineStr">
        <is>
          <t>Rain Dance</t>
        </is>
      </c>
      <c r="J327" s="46" t="n"/>
      <c r="K327" s="51" t="inlineStr">
        <is>
          <t>Body Slam</t>
        </is>
      </c>
      <c r="L327" s="46" t="n"/>
      <c r="M327" s="51" t="inlineStr">
        <is>
          <t>Guillotine</t>
        </is>
      </c>
      <c r="N327" s="46" t="n"/>
      <c r="O327" s="51" t="inlineStr">
        <is>
          <t>Double Team</t>
        </is>
      </c>
      <c r="P327" s="46" t="n"/>
    </row>
    <row r="328">
      <c r="E328" s="64" t="inlineStr">
        <is>
          <t>Ice Beam</t>
        </is>
      </c>
      <c r="F328" s="46" t="n"/>
      <c r="G328" s="51" t="inlineStr">
        <is>
          <t>Double Team</t>
        </is>
      </c>
      <c r="H328" s="46" t="n"/>
      <c r="I328" s="61" t="inlineStr">
        <is>
          <t>Hydro Pump</t>
        </is>
      </c>
      <c r="J328" s="46" t="n"/>
      <c r="K328" s="51" t="inlineStr">
        <is>
          <t>Protect</t>
        </is>
      </c>
      <c r="L328" s="46" t="n"/>
      <c r="M328" s="50" t="inlineStr">
        <is>
          <t>Taunt</t>
        </is>
      </c>
      <c r="N328" s="46" t="n"/>
      <c r="O328" s="64" t="inlineStr">
        <is>
          <t>Ice Beam</t>
        </is>
      </c>
      <c r="P328" s="46" t="n"/>
    </row>
    <row r="329">
      <c r="E329" s="67" t="inlineStr">
        <is>
          <t>Confuse Ray</t>
        </is>
      </c>
      <c r="F329" s="46" t="n"/>
      <c r="G329" s="53" t="inlineStr">
        <is>
          <t>Fissure</t>
        </is>
      </c>
      <c r="H329" s="46" t="n"/>
      <c r="I329" s="51" t="inlineStr">
        <is>
          <t>Perish Song</t>
        </is>
      </c>
      <c r="J329" s="46" t="n"/>
      <c r="K329" s="64" t="inlineStr">
        <is>
          <t>Sheer Cold</t>
        </is>
      </c>
      <c r="L329" s="46" t="n"/>
      <c r="M329" s="51" t="inlineStr">
        <is>
          <t>Double Team</t>
        </is>
      </c>
      <c r="N329" s="46" t="n"/>
      <c r="O329" s="63" t="inlineStr">
        <is>
          <t>Rest</t>
        </is>
      </c>
      <c r="P329" s="46" t="n"/>
    </row>
    <row r="331" ht="20" customHeight="1">
      <c r="B331" s="40" t="inlineStr">
        <is>
          <t>Leader</t>
        </is>
      </c>
      <c r="C331" s="41" t="n"/>
      <c r="D331" s="41" t="n"/>
      <c r="E331" s="42" t="inlineStr">
        <is>
          <t>Leader Norman (Rematch 1)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IFERROR(_xlfn.IMAGE("https://play.pokemonshowdown.com/sprites/gen5/chansey.png"),"")</f>
        <v/>
      </c>
      <c r="G332" s="43">
        <f>IFERROR(_xlfn.IMAGE("https://play.pokemonshowdown.com/sprites/gen5/slaking.png"),"")</f>
        <v/>
      </c>
      <c r="I332" s="43">
        <f>IFERROR(_xlfn.IMAGE("https://play.pokemonshowdown.com/sprites/gen5/spinda.png"),"")</f>
        <v/>
      </c>
      <c r="K332" s="43">
        <f>IFERROR(_xlfn.IMAGE("https://play.pokemonshowdown.com/sprites/gen5/slaking.png"),"")</f>
        <v/>
      </c>
      <c r="Q332" s="44" t="inlineStr">
        <is>
          <t>DOUBLE BATTLE
Items: Full Restore / Full Restore / Full Restore</t>
        </is>
      </c>
    </row>
    <row r="333">
      <c r="E333" s="45" t="inlineStr">
        <is>
          <t>Lv 42 Chansey</t>
        </is>
      </c>
      <c r="F333" s="46" t="n"/>
      <c r="G333" s="45" t="inlineStr">
        <is>
          <t>Lv 42 Slaking</t>
        </is>
      </c>
      <c r="H333" s="46" t="n"/>
      <c r="I333" s="45" t="inlineStr">
        <is>
          <t>Lv 43 Spinda</t>
        </is>
      </c>
      <c r="J333" s="46" t="n"/>
      <c r="K333" s="45" t="inlineStr">
        <is>
          <t>Lv 45 Slaking</t>
        </is>
      </c>
      <c r="L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Natural Cure</t>
        </is>
      </c>
      <c r="G334" s="48" t="inlineStr">
        <is>
          <t>Hardy</t>
        </is>
      </c>
      <c r="H334" s="48" t="inlineStr">
        <is>
          <t>Truant</t>
        </is>
      </c>
      <c r="I334" s="48" t="inlineStr">
        <is>
          <t>Hardy</t>
        </is>
      </c>
      <c r="J334" s="48" t="inlineStr">
        <is>
          <t>Tangled Feet</t>
        </is>
      </c>
      <c r="K334" s="48" t="inlineStr">
        <is>
          <t>Hardy</t>
        </is>
      </c>
      <c r="L334" s="48" t="inlineStr">
        <is>
          <t>Truant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Sitrus Berry</t>
        </is>
      </c>
      <c r="H335" s="46" t="n"/>
      <c r="I335" s="49" t="inlineStr">
        <is>
          <t>(None)</t>
        </is>
      </c>
      <c r="J335" s="46" t="n"/>
      <c r="K335" s="49" t="inlineStr">
        <is>
          <t>Sitrus Berry</t>
        </is>
      </c>
      <c r="L335" s="46" t="n"/>
      <c r="Q335" s="47" t="inlineStr">
        <is>
          <t>Item</t>
        </is>
      </c>
    </row>
    <row r="336">
      <c r="B336" s="44" t="inlineStr">
        <is>
          <t>Smart Trainer</t>
        </is>
      </c>
      <c r="E336" s="63" t="inlineStr">
        <is>
          <t>Light Screen</t>
        </is>
      </c>
      <c r="F336" s="46" t="n"/>
      <c r="G336" s="64" t="inlineStr">
        <is>
          <t>Blizzard</t>
        </is>
      </c>
      <c r="H336" s="46" t="n"/>
      <c r="I336" s="51" t="inlineStr">
        <is>
          <t>Teeter Dance</t>
        </is>
      </c>
      <c r="J336" s="46" t="n"/>
      <c r="K336" s="51" t="inlineStr">
        <is>
          <t>Hyper Beam</t>
        </is>
      </c>
      <c r="L336" s="46" t="n"/>
      <c r="Q336" s="47" t="inlineStr">
        <is>
          <t>Moves</t>
        </is>
      </c>
    </row>
    <row r="337">
      <c r="E337" s="51" t="inlineStr">
        <is>
          <t>Sing</t>
        </is>
      </c>
      <c r="F337" s="46" t="n"/>
      <c r="G337" s="67" t="inlineStr">
        <is>
          <t>Shadow Ball</t>
        </is>
      </c>
      <c r="H337" s="46" t="n"/>
      <c r="I337" s="63" t="inlineStr">
        <is>
          <t>Skill Swap</t>
        </is>
      </c>
      <c r="J337" s="46" t="n"/>
      <c r="K337" s="58" t="inlineStr">
        <is>
          <t>Flamethrower</t>
        </is>
      </c>
      <c r="L337" s="46" t="n"/>
    </row>
    <row r="338">
      <c r="E338" s="63" t="inlineStr">
        <is>
          <t>Skill Swap</t>
        </is>
      </c>
      <c r="F338" s="46" t="n"/>
      <c r="G338" s="51" t="inlineStr">
        <is>
          <t>Double Edge</t>
        </is>
      </c>
      <c r="H338" s="46" t="n"/>
      <c r="I338" s="51" t="inlineStr">
        <is>
          <t>Facade</t>
        </is>
      </c>
      <c r="J338" s="46" t="n"/>
      <c r="K338" s="52" t="inlineStr">
        <is>
          <t>Thunderbolt</t>
        </is>
      </c>
      <c r="L338" s="46" t="n"/>
    </row>
    <row r="339">
      <c r="E339" s="65" t="inlineStr">
        <is>
          <t>Focus Punch</t>
        </is>
      </c>
      <c r="F339" s="46" t="n"/>
      <c r="G339" s="58" t="inlineStr">
        <is>
          <t>Fire Blast</t>
        </is>
      </c>
      <c r="H339" s="46" t="n"/>
      <c r="I339" s="63" t="inlineStr">
        <is>
          <t>Hypnosis</t>
        </is>
      </c>
      <c r="J339" s="46" t="n"/>
      <c r="K339" s="67" t="inlineStr">
        <is>
          <t>Shadow Ball</t>
        </is>
      </c>
      <c r="L339" s="46" t="n"/>
    </row>
    <row r="341" ht="20" customHeight="1">
      <c r="B341" s="40" t="inlineStr">
        <is>
          <t>Leader</t>
        </is>
      </c>
      <c r="C341" s="41" t="n"/>
      <c r="D341" s="41" t="n"/>
      <c r="E341" s="42" t="inlineStr">
        <is>
          <t>Leader Norman (Rematch 2)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IFERROR(_xlfn.IMAGE("https://play.pokemonshowdown.com/sprites/gen5/slaking.png"),"")</f>
        <v/>
      </c>
      <c r="G342" s="43">
        <f>IFERROR(_xlfn.IMAGE("https://play.pokemonshowdown.com/sprites/gen5/chansey.png"),"")</f>
        <v/>
      </c>
      <c r="I342" s="43">
        <f>IFERROR(_xlfn.IMAGE("https://play.pokemonshowdown.com/sprites/gen5/kangaskhan.png"),"")</f>
        <v/>
      </c>
      <c r="K342" s="43">
        <f>IFERROR(_xlfn.IMAGE("https://play.pokemonshowdown.com/sprites/gen5/spinda.png"),"")</f>
        <v/>
      </c>
      <c r="M342" s="43">
        <f>IFERROR(_xlfn.IMAGE("https://play.pokemonshowdown.com/sprites/gen5/slaking.png"),"")</f>
        <v/>
      </c>
      <c r="Q342" s="44" t="inlineStr">
        <is>
          <t>DOUBLE BATTLE
Items: Full Restore / Full Restore / Full Restore</t>
        </is>
      </c>
    </row>
    <row r="343">
      <c r="E343" s="45" t="inlineStr">
        <is>
          <t>Lv 47 Slaking</t>
        </is>
      </c>
      <c r="F343" s="46" t="n"/>
      <c r="G343" s="45" t="inlineStr">
        <is>
          <t>Lv 47 Chansey</t>
        </is>
      </c>
      <c r="H343" s="46" t="n"/>
      <c r="I343" s="45" t="inlineStr">
        <is>
          <t>Lv 45 Kangaskhan</t>
        </is>
      </c>
      <c r="J343" s="46" t="n"/>
      <c r="K343" s="45" t="inlineStr">
        <is>
          <t>Lv 48 Spinda</t>
        </is>
      </c>
      <c r="L343" s="46" t="n"/>
      <c r="M343" s="45" t="inlineStr">
        <is>
          <t>Lv 50 Slaking</t>
        </is>
      </c>
      <c r="N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Truant</t>
        </is>
      </c>
      <c r="G344" s="48" t="inlineStr">
        <is>
          <t>Hardy</t>
        </is>
      </c>
      <c r="H344" s="48" t="inlineStr">
        <is>
          <t>Natural Cure</t>
        </is>
      </c>
      <c r="I344" s="48" t="inlineStr">
        <is>
          <t>Hardy</t>
        </is>
      </c>
      <c r="J344" s="48" t="inlineStr">
        <is>
          <t>Scrappy</t>
        </is>
      </c>
      <c r="K344" s="48" t="inlineStr">
        <is>
          <t>Hardy</t>
        </is>
      </c>
      <c r="L344" s="48" t="inlineStr">
        <is>
          <t>Tangled Feet</t>
        </is>
      </c>
      <c r="M344" s="48" t="inlineStr">
        <is>
          <t>Hardy</t>
        </is>
      </c>
      <c r="N344" s="48" t="inlineStr">
        <is>
          <t>Truant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Sitrus Berry</t>
        </is>
      </c>
      <c r="F345" s="46" t="n"/>
      <c r="G345" s="49" t="inlineStr">
        <is>
          <t>(None)</t>
        </is>
      </c>
      <c r="H345" s="46" t="n"/>
      <c r="I345" s="49" t="inlineStr">
        <is>
          <t>(None)</t>
        </is>
      </c>
      <c r="J345" s="46" t="n"/>
      <c r="K345" s="49" t="inlineStr">
        <is>
          <t>(None)</t>
        </is>
      </c>
      <c r="L345" s="46" t="n"/>
      <c r="M345" s="49" t="inlineStr">
        <is>
          <t>Sitrus Berry</t>
        </is>
      </c>
      <c r="N345" s="46" t="n"/>
      <c r="Q345" s="47" t="inlineStr">
        <is>
          <t>Item</t>
        </is>
      </c>
    </row>
    <row r="346">
      <c r="B346" s="44" t="inlineStr">
        <is>
          <t>Smart Trainer</t>
        </is>
      </c>
      <c r="E346" s="64" t="inlineStr">
        <is>
          <t>Blizzard</t>
        </is>
      </c>
      <c r="F346" s="46" t="n"/>
      <c r="G346" s="63" t="inlineStr">
        <is>
          <t>Light Screen</t>
        </is>
      </c>
      <c r="H346" s="46" t="n"/>
      <c r="I346" s="51" t="inlineStr">
        <is>
          <t>Fake Out</t>
        </is>
      </c>
      <c r="J346" s="46" t="n"/>
      <c r="K346" s="51" t="inlineStr">
        <is>
          <t>Teeter Dance</t>
        </is>
      </c>
      <c r="L346" s="46" t="n"/>
      <c r="M346" s="51" t="inlineStr">
        <is>
          <t>Hyper Beam</t>
        </is>
      </c>
      <c r="N346" s="46" t="n"/>
      <c r="Q346" s="47" t="inlineStr">
        <is>
          <t>Moves</t>
        </is>
      </c>
    </row>
    <row r="347">
      <c r="E347" s="67" t="inlineStr">
        <is>
          <t>Shadow Ball</t>
        </is>
      </c>
      <c r="F347" s="46" t="n"/>
      <c r="G347" s="51" t="inlineStr">
        <is>
          <t>Sing</t>
        </is>
      </c>
      <c r="H347" s="46" t="n"/>
      <c r="I347" s="51" t="inlineStr">
        <is>
          <t>Dizzy Punch</t>
        </is>
      </c>
      <c r="J347" s="46" t="n"/>
      <c r="K347" s="63" t="inlineStr">
        <is>
          <t>Skill Swap</t>
        </is>
      </c>
      <c r="L347" s="46" t="n"/>
      <c r="M347" s="58" t="inlineStr">
        <is>
          <t>Flamethrower</t>
        </is>
      </c>
      <c r="N347" s="46" t="n"/>
    </row>
    <row r="348">
      <c r="E348" s="51" t="inlineStr">
        <is>
          <t>Double Edge</t>
        </is>
      </c>
      <c r="F348" s="46" t="n"/>
      <c r="G348" s="63" t="inlineStr">
        <is>
          <t>Skill Swap</t>
        </is>
      </c>
      <c r="H348" s="46" t="n"/>
      <c r="I348" s="51" t="inlineStr">
        <is>
          <t>Endure</t>
        </is>
      </c>
      <c r="J348" s="46" t="n"/>
      <c r="K348" s="51" t="inlineStr">
        <is>
          <t>Facade</t>
        </is>
      </c>
      <c r="L348" s="46" t="n"/>
      <c r="M348" s="52" t="inlineStr">
        <is>
          <t>Thunderbolt</t>
        </is>
      </c>
      <c r="N348" s="46" t="n"/>
    </row>
    <row r="349">
      <c r="E349" s="58" t="inlineStr">
        <is>
          <t>Fire Blast</t>
        </is>
      </c>
      <c r="F349" s="46" t="n"/>
      <c r="G349" s="65" t="inlineStr">
        <is>
          <t>Focus Punch</t>
        </is>
      </c>
      <c r="H349" s="46" t="n"/>
      <c r="I349" s="65" t="inlineStr">
        <is>
          <t>Reversal</t>
        </is>
      </c>
      <c r="J349" s="46" t="n"/>
      <c r="K349" s="63" t="inlineStr">
        <is>
          <t>Hypnosis</t>
        </is>
      </c>
      <c r="L349" s="46" t="n"/>
      <c r="M349" s="67" t="inlineStr">
        <is>
          <t>Shadow Ball</t>
        </is>
      </c>
      <c r="N349" s="46" t="n"/>
    </row>
    <row r="351" ht="20" customHeight="1">
      <c r="B351" s="40" t="inlineStr">
        <is>
          <t>Leader</t>
        </is>
      </c>
      <c r="C351" s="41" t="n"/>
      <c r="D351" s="41" t="n"/>
      <c r="E351" s="42" t="inlineStr">
        <is>
          <t>Leader Norman (Rematch 3)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IFERROR(_xlfn.IMAGE("https://play.pokemonshowdown.com/sprites/gen5/slaking.png"),"")</f>
        <v/>
      </c>
      <c r="G352" s="43">
        <f>IFERROR(_xlfn.IMAGE("https://play.pokemonshowdown.com/sprites/gen5/blissey.png"),"")</f>
        <v/>
      </c>
      <c r="I352" s="43">
        <f>IFERROR(_xlfn.IMAGE("https://play.pokemonshowdown.com/sprites/gen5/kangaskhan.png"),"")</f>
        <v/>
      </c>
      <c r="K352" s="43">
        <f>IFERROR(_xlfn.IMAGE("https://play.pokemonshowdown.com/sprites/gen5/spinda.png"),"")</f>
        <v/>
      </c>
      <c r="M352" s="43">
        <f>IFERROR(_xlfn.IMAGE("https://play.pokemonshowdown.com/sprites/gen5/slaking.png"),"")</f>
        <v/>
      </c>
      <c r="Q352" s="44" t="inlineStr">
        <is>
          <t>DOUBLE BATTLE
Items: Full Restore / Full Restore / Full Restore</t>
        </is>
      </c>
    </row>
    <row r="353">
      <c r="E353" s="45" t="inlineStr">
        <is>
          <t>Lv 52 Slaking</t>
        </is>
      </c>
      <c r="F353" s="46" t="n"/>
      <c r="G353" s="45" t="inlineStr">
        <is>
          <t>Lv 52 Blissey</t>
        </is>
      </c>
      <c r="H353" s="46" t="n"/>
      <c r="I353" s="45" t="inlineStr">
        <is>
          <t>Lv 50 Kangaskhan</t>
        </is>
      </c>
      <c r="J353" s="46" t="n"/>
      <c r="K353" s="45" t="inlineStr">
        <is>
          <t>Lv 53 Spinda</t>
        </is>
      </c>
      <c r="L353" s="46" t="n"/>
      <c r="M353" s="45" t="inlineStr">
        <is>
          <t>Lv 55 Slaking</t>
        </is>
      </c>
      <c r="N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Truant</t>
        </is>
      </c>
      <c r="G354" s="48" t="inlineStr">
        <is>
          <t>Hardy</t>
        </is>
      </c>
      <c r="H354" s="48" t="inlineStr">
        <is>
          <t>Serene Grace</t>
        </is>
      </c>
      <c r="I354" s="48" t="inlineStr">
        <is>
          <t>Hardy</t>
        </is>
      </c>
      <c r="J354" s="48" t="inlineStr">
        <is>
          <t>Scrappy</t>
        </is>
      </c>
      <c r="K354" s="48" t="inlineStr">
        <is>
          <t>Hardy</t>
        </is>
      </c>
      <c r="L354" s="48" t="inlineStr">
        <is>
          <t>Tangled Feet</t>
        </is>
      </c>
      <c r="M354" s="48" t="inlineStr">
        <is>
          <t>Hardy</t>
        </is>
      </c>
      <c r="N354" s="48" t="inlineStr">
        <is>
          <t>Truant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Sitrus Berry</t>
        </is>
      </c>
      <c r="F355" s="46" t="n"/>
      <c r="G355" s="49" t="inlineStr">
        <is>
          <t>(None)</t>
        </is>
      </c>
      <c r="H355" s="46" t="n"/>
      <c r="I355" s="49" t="inlineStr">
        <is>
          <t>(None)</t>
        </is>
      </c>
      <c r="J355" s="46" t="n"/>
      <c r="K355" s="49" t="inlineStr">
        <is>
          <t>(None)</t>
        </is>
      </c>
      <c r="L355" s="46" t="n"/>
      <c r="M355" s="49" t="inlineStr">
        <is>
          <t>Sitrus Berry</t>
        </is>
      </c>
      <c r="N355" s="46" t="n"/>
      <c r="Q355" s="47" t="inlineStr">
        <is>
          <t>Item</t>
        </is>
      </c>
    </row>
    <row r="356">
      <c r="B356" s="44" t="inlineStr">
        <is>
          <t>Smart Trainer</t>
        </is>
      </c>
      <c r="E356" s="64" t="inlineStr">
        <is>
          <t>Blizzard</t>
        </is>
      </c>
      <c r="F356" s="46" t="n"/>
      <c r="G356" s="63" t="inlineStr">
        <is>
          <t>Light Screen</t>
        </is>
      </c>
      <c r="H356" s="46" t="n"/>
      <c r="I356" s="51" t="inlineStr">
        <is>
          <t>Fake Out</t>
        </is>
      </c>
      <c r="J356" s="46" t="n"/>
      <c r="K356" s="51" t="inlineStr">
        <is>
          <t>Teeter Dance</t>
        </is>
      </c>
      <c r="L356" s="46" t="n"/>
      <c r="M356" s="51" t="inlineStr">
        <is>
          <t>Hyper Beam</t>
        </is>
      </c>
      <c r="N356" s="46" t="n"/>
      <c r="Q356" s="47" t="inlineStr">
        <is>
          <t>Moves</t>
        </is>
      </c>
    </row>
    <row r="357">
      <c r="E357" s="67" t="inlineStr">
        <is>
          <t>Shadow Ball</t>
        </is>
      </c>
      <c r="F357" s="46" t="n"/>
      <c r="G357" s="51" t="inlineStr">
        <is>
          <t>Sing</t>
        </is>
      </c>
      <c r="H357" s="46" t="n"/>
      <c r="I357" s="51" t="inlineStr">
        <is>
          <t>Dizzy Punch</t>
        </is>
      </c>
      <c r="J357" s="46" t="n"/>
      <c r="K357" s="63" t="inlineStr">
        <is>
          <t>Skill Swap</t>
        </is>
      </c>
      <c r="L357" s="46" t="n"/>
      <c r="M357" s="58" t="inlineStr">
        <is>
          <t>Flamethrower</t>
        </is>
      </c>
      <c r="N357" s="46" t="n"/>
    </row>
    <row r="358">
      <c r="E358" s="51" t="inlineStr">
        <is>
          <t>Double Edge</t>
        </is>
      </c>
      <c r="F358" s="46" t="n"/>
      <c r="G358" s="63" t="inlineStr">
        <is>
          <t>Skill Swap</t>
        </is>
      </c>
      <c r="H358" s="46" t="n"/>
      <c r="I358" s="51" t="inlineStr">
        <is>
          <t>Endure</t>
        </is>
      </c>
      <c r="J358" s="46" t="n"/>
      <c r="K358" s="51" t="inlineStr">
        <is>
          <t>Facade</t>
        </is>
      </c>
      <c r="L358" s="46" t="n"/>
      <c r="M358" s="52" t="inlineStr">
        <is>
          <t>Thunderbolt</t>
        </is>
      </c>
      <c r="N358" s="46" t="n"/>
    </row>
    <row r="359">
      <c r="E359" s="58" t="inlineStr">
        <is>
          <t>Fire Blast</t>
        </is>
      </c>
      <c r="F359" s="46" t="n"/>
      <c r="G359" s="65" t="inlineStr">
        <is>
          <t>Focus Punch</t>
        </is>
      </c>
      <c r="H359" s="46" t="n"/>
      <c r="I359" s="65" t="inlineStr">
        <is>
          <t>Reversal</t>
        </is>
      </c>
      <c r="J359" s="46" t="n"/>
      <c r="K359" s="63" t="inlineStr">
        <is>
          <t>Hypnosis</t>
        </is>
      </c>
      <c r="L359" s="46" t="n"/>
      <c r="M359" s="67" t="inlineStr">
        <is>
          <t>Shadow Ball</t>
        </is>
      </c>
      <c r="N359" s="46" t="n"/>
    </row>
    <row r="361" ht="20" customHeight="1">
      <c r="B361" s="40" t="inlineStr">
        <is>
          <t>Leader</t>
        </is>
      </c>
      <c r="C361" s="41" t="n"/>
      <c r="D361" s="41" t="n"/>
      <c r="E361" s="42" t="inlineStr">
        <is>
          <t>Leader Norman (Rematch 4)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IFERROR(_xlfn.IMAGE("https://play.pokemonshowdown.com/sprites/gen5/slaking.png"),"")</f>
        <v/>
      </c>
      <c r="G362" s="43">
        <f>IFERROR(_xlfn.IMAGE("https://play.pokemonshowdown.com/sprites/gen5/blissey.png"),"")</f>
        <v/>
      </c>
      <c r="I362" s="43">
        <f>IFERROR(_xlfn.IMAGE("https://play.pokemonshowdown.com/sprites/gen5/kangaskhan.png"),"")</f>
        <v/>
      </c>
      <c r="K362" s="43">
        <f>IFERROR(_xlfn.IMAGE("https://play.pokemonshowdown.com/sprites/gen5/tauros.png"),"")</f>
        <v/>
      </c>
      <c r="M362" s="43">
        <f>IFERROR(_xlfn.IMAGE("https://play.pokemonshowdown.com/sprites/gen5/spinda.png"),"")</f>
        <v/>
      </c>
      <c r="O362" s="43">
        <f>IFERROR(_xlfn.IMAGE("https://play.pokemonshowdown.com/sprites/gen5/slaking.png"),"")</f>
        <v/>
      </c>
      <c r="Q362" s="44" t="inlineStr">
        <is>
          <t>DOUBLE BATTLE
Items: Full Restore / Full Restore / Full Restore</t>
        </is>
      </c>
    </row>
    <row r="363">
      <c r="E363" s="45" t="inlineStr">
        <is>
          <t>Lv 57 Slaking</t>
        </is>
      </c>
      <c r="F363" s="46" t="n"/>
      <c r="G363" s="45" t="inlineStr">
        <is>
          <t>Lv 57 Blissey</t>
        </is>
      </c>
      <c r="H363" s="46" t="n"/>
      <c r="I363" s="45" t="inlineStr">
        <is>
          <t>Lv 55 Kangaskhan</t>
        </is>
      </c>
      <c r="J363" s="46" t="n"/>
      <c r="K363" s="45" t="inlineStr">
        <is>
          <t>Lv 57 Tauros</t>
        </is>
      </c>
      <c r="L363" s="46" t="n"/>
      <c r="M363" s="45" t="inlineStr">
        <is>
          <t>Lv 58 Spinda</t>
        </is>
      </c>
      <c r="N363" s="46" t="n"/>
      <c r="O363" s="45" t="inlineStr">
        <is>
          <t>Lv 60 Slaking</t>
        </is>
      </c>
      <c r="P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Truant</t>
        </is>
      </c>
      <c r="G364" s="48" t="inlineStr">
        <is>
          <t>Hardy</t>
        </is>
      </c>
      <c r="H364" s="48" t="inlineStr">
        <is>
          <t>Serene Grace</t>
        </is>
      </c>
      <c r="I364" s="48" t="inlineStr">
        <is>
          <t>Hardy</t>
        </is>
      </c>
      <c r="J364" s="48" t="inlineStr">
        <is>
          <t>Scrappy</t>
        </is>
      </c>
      <c r="K364" s="48" t="inlineStr">
        <is>
          <t>Hardy</t>
        </is>
      </c>
      <c r="L364" s="48" t="inlineStr">
        <is>
          <t>Intimidate</t>
        </is>
      </c>
      <c r="M364" s="48" t="inlineStr">
        <is>
          <t>Hardy</t>
        </is>
      </c>
      <c r="N364" s="48" t="inlineStr">
        <is>
          <t>Tangled Feet</t>
        </is>
      </c>
      <c r="O364" s="48" t="inlineStr">
        <is>
          <t>Hardy</t>
        </is>
      </c>
      <c r="P364" s="48" t="inlineStr">
        <is>
          <t>Truant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Sitrus Berry</t>
        </is>
      </c>
      <c r="F365" s="46" t="n"/>
      <c r="G365" s="49" t="inlineStr">
        <is>
          <t>(None)</t>
        </is>
      </c>
      <c r="H365" s="46" t="n"/>
      <c r="I365" s="49" t="inlineStr">
        <is>
          <t>(None)</t>
        </is>
      </c>
      <c r="J365" s="46" t="n"/>
      <c r="K365" s="49" t="inlineStr">
        <is>
          <t>(None)</t>
        </is>
      </c>
      <c r="L365" s="46" t="n"/>
      <c r="M365" s="49" t="inlineStr">
        <is>
          <t>(None)</t>
        </is>
      </c>
      <c r="N365" s="46" t="n"/>
      <c r="O365" s="49" t="inlineStr">
        <is>
          <t>Sitrus Berry</t>
        </is>
      </c>
      <c r="P365" s="46" t="n"/>
      <c r="Q365" s="47" t="inlineStr">
        <is>
          <t>Item</t>
        </is>
      </c>
    </row>
    <row r="366">
      <c r="B366" s="44" t="inlineStr">
        <is>
          <t>Smart Trainer</t>
        </is>
      </c>
      <c r="E366" s="64" t="inlineStr">
        <is>
          <t>Blizzard</t>
        </is>
      </c>
      <c r="F366" s="46" t="n"/>
      <c r="G366" s="51" t="inlineStr">
        <is>
          <t>Protect</t>
        </is>
      </c>
      <c r="H366" s="46" t="n"/>
      <c r="I366" s="51" t="inlineStr">
        <is>
          <t>Fake Out</t>
        </is>
      </c>
      <c r="J366" s="46" t="n"/>
      <c r="K366" s="51" t="inlineStr">
        <is>
          <t>Take Down</t>
        </is>
      </c>
      <c r="L366" s="46" t="n"/>
      <c r="M366" s="51" t="inlineStr">
        <is>
          <t>Teeter Dance</t>
        </is>
      </c>
      <c r="N366" s="46" t="n"/>
      <c r="O366" s="51" t="inlineStr">
        <is>
          <t>Hyper Beam</t>
        </is>
      </c>
      <c r="P366" s="46" t="n"/>
      <c r="Q366" s="47" t="inlineStr">
        <is>
          <t>Moves</t>
        </is>
      </c>
    </row>
    <row r="367">
      <c r="E367" s="67" t="inlineStr">
        <is>
          <t>Shadow Ball</t>
        </is>
      </c>
      <c r="F367" s="46" t="n"/>
      <c r="G367" s="51" t="inlineStr">
        <is>
          <t>Sing</t>
        </is>
      </c>
      <c r="H367" s="46" t="n"/>
      <c r="I367" s="51" t="inlineStr">
        <is>
          <t>Dizzy Punch</t>
        </is>
      </c>
      <c r="J367" s="46" t="n"/>
      <c r="K367" s="51" t="inlineStr">
        <is>
          <t>Protect</t>
        </is>
      </c>
      <c r="L367" s="46" t="n"/>
      <c r="M367" s="63" t="inlineStr">
        <is>
          <t>Skill Swap</t>
        </is>
      </c>
      <c r="N367" s="46" t="n"/>
      <c r="O367" s="58" t="inlineStr">
        <is>
          <t>Flamethrower</t>
        </is>
      </c>
      <c r="P367" s="46" t="n"/>
    </row>
    <row r="368">
      <c r="E368" s="51" t="inlineStr">
        <is>
          <t>Double Edge</t>
        </is>
      </c>
      <c r="F368" s="46" t="n"/>
      <c r="G368" s="63" t="inlineStr">
        <is>
          <t>Skill Swap</t>
        </is>
      </c>
      <c r="H368" s="46" t="n"/>
      <c r="I368" s="51" t="inlineStr">
        <is>
          <t>Endure</t>
        </is>
      </c>
      <c r="J368" s="46" t="n"/>
      <c r="K368" s="58" t="inlineStr">
        <is>
          <t>Fire Blast</t>
        </is>
      </c>
      <c r="L368" s="46" t="n"/>
      <c r="M368" s="51" t="inlineStr">
        <is>
          <t>Facade</t>
        </is>
      </c>
      <c r="N368" s="46" t="n"/>
      <c r="O368" s="52" t="inlineStr">
        <is>
          <t>Thunderbolt</t>
        </is>
      </c>
      <c r="P368" s="46" t="n"/>
    </row>
    <row r="369">
      <c r="E369" s="58" t="inlineStr">
        <is>
          <t>Fire Blast</t>
        </is>
      </c>
      <c r="F369" s="46" t="n"/>
      <c r="G369" s="65" t="inlineStr">
        <is>
          <t>Focus Punch</t>
        </is>
      </c>
      <c r="H369" s="46" t="n"/>
      <c r="I369" s="65" t="inlineStr">
        <is>
          <t>Reversal</t>
        </is>
      </c>
      <c r="J369" s="46" t="n"/>
      <c r="K369" s="53" t="inlineStr">
        <is>
          <t>Earthquake</t>
        </is>
      </c>
      <c r="L369" s="46" t="n"/>
      <c r="M369" s="63" t="inlineStr">
        <is>
          <t>Hypnosis</t>
        </is>
      </c>
      <c r="N369" s="46" t="n"/>
      <c r="O369" s="67" t="inlineStr">
        <is>
          <t>Shadow Ball</t>
        </is>
      </c>
      <c r="P369" s="46" t="n"/>
    </row>
    <row r="371" ht="20" customHeight="1">
      <c r="B371" s="40" t="inlineStr">
        <is>
          <t>Leader</t>
        </is>
      </c>
      <c r="C371" s="41" t="n"/>
      <c r="D371" s="41" t="n"/>
      <c r="E371" s="42" t="inlineStr">
        <is>
          <t>Leader Roxanne (Rematch 1)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IFERROR(_xlfn.IMAGE("https://play.pokemonshowdown.com/sprites/gen5/golem.png"),"")</f>
        <v/>
      </c>
      <c r="G372" s="43">
        <f>IFERROR(_xlfn.IMAGE("https://play.pokemonshowdown.com/sprites/gen5/kabuto.png"),"")</f>
        <v/>
      </c>
      <c r="I372" s="43">
        <f>IFERROR(_xlfn.IMAGE("https://play.pokemonshowdown.com/sprites/gen5/onix.png"),"")</f>
        <v/>
      </c>
      <c r="K372" s="43">
        <f>IFERROR(_xlfn.IMAGE("https://play.pokemonshowdown.com/sprites/gen5/nosepass.png"),"")</f>
        <v/>
      </c>
      <c r="Q372" s="44" t="inlineStr">
        <is>
          <t>DOUBLE BATTLE
Items: Full Restore / Full Restore / Full Restore</t>
        </is>
      </c>
    </row>
    <row r="373">
      <c r="E373" s="45" t="inlineStr">
        <is>
          <t>Lv 32 Golem</t>
        </is>
      </c>
      <c r="F373" s="46" t="n"/>
      <c r="G373" s="45" t="inlineStr">
        <is>
          <t>Lv 35 Kabuto</t>
        </is>
      </c>
      <c r="H373" s="46" t="n"/>
      <c r="I373" s="45" t="inlineStr">
        <is>
          <t>Lv 35 Onix</t>
        </is>
      </c>
      <c r="J373" s="46" t="n"/>
      <c r="K373" s="45" t="inlineStr">
        <is>
          <t>Lv 37 Nosepass</t>
        </is>
      </c>
      <c r="L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Shell Armor</t>
        </is>
      </c>
      <c r="G374" s="48" t="inlineStr">
        <is>
          <t>Hardy</t>
        </is>
      </c>
      <c r="H374" s="48" t="inlineStr">
        <is>
          <t>Swift Swim</t>
        </is>
      </c>
      <c r="I374" s="48" t="inlineStr">
        <is>
          <t>Hardy</t>
        </is>
      </c>
      <c r="J374" s="48" t="inlineStr">
        <is>
          <t>Rock Head</t>
        </is>
      </c>
      <c r="K374" s="48" t="inlineStr">
        <is>
          <t>Hardy</t>
        </is>
      </c>
      <c r="L374" s="48" t="inlineStr">
        <is>
          <t>Solid Rock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Sitrus Berry</t>
        </is>
      </c>
      <c r="H375" s="46" t="n"/>
      <c r="I375" s="49" t="inlineStr">
        <is>
          <t>(None)</t>
        </is>
      </c>
      <c r="J375" s="46" t="n"/>
      <c r="K375" s="49" t="inlineStr">
        <is>
          <t>Sitrus Berry</t>
        </is>
      </c>
      <c r="L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1" t="inlineStr">
        <is>
          <t>Protect</t>
        </is>
      </c>
      <c r="F376" s="46" t="n"/>
      <c r="G376" s="51" t="inlineStr">
        <is>
          <t>Swords Dance</t>
        </is>
      </c>
      <c r="H376" s="46" t="n"/>
      <c r="I376" s="66" t="inlineStr">
        <is>
          <t>Iron Tail</t>
        </is>
      </c>
      <c r="J376" s="46" t="n"/>
      <c r="K376" s="51" t="inlineStr">
        <is>
          <t>Double Team</t>
        </is>
      </c>
      <c r="L376" s="46" t="n"/>
      <c r="Q376" s="47" t="inlineStr">
        <is>
          <t>Moves</t>
        </is>
      </c>
    </row>
    <row r="377">
      <c r="E377" s="62" t="inlineStr">
        <is>
          <t>Rollout</t>
        </is>
      </c>
      <c r="F377" s="46" t="n"/>
      <c r="G377" s="64" t="inlineStr">
        <is>
          <t>Ice Beam</t>
        </is>
      </c>
      <c r="H377" s="46" t="n"/>
      <c r="I377" s="51" t="inlineStr">
        <is>
          <t>Explosion</t>
        </is>
      </c>
      <c r="J377" s="46" t="n"/>
      <c r="K377" s="51" t="inlineStr">
        <is>
          <t>Explosion</t>
        </is>
      </c>
      <c r="L377" s="46" t="n"/>
    </row>
    <row r="378">
      <c r="E378" s="53" t="inlineStr">
        <is>
          <t>Magnitude</t>
        </is>
      </c>
      <c r="F378" s="46" t="n"/>
      <c r="G378" s="61" t="inlineStr">
        <is>
          <t>Surf</t>
        </is>
      </c>
      <c r="H378" s="46" t="n"/>
      <c r="I378" s="51" t="inlineStr">
        <is>
          <t>Roar</t>
        </is>
      </c>
      <c r="J378" s="46" t="n"/>
      <c r="K378" s="51" t="inlineStr">
        <is>
          <t>Protect</t>
        </is>
      </c>
      <c r="L378" s="46" t="n"/>
    </row>
    <row r="379">
      <c r="E379" s="51" t="inlineStr">
        <is>
          <t>Explosion</t>
        </is>
      </c>
      <c r="F379" s="46" t="n"/>
      <c r="G379" s="62" t="inlineStr">
        <is>
          <t>Rock Slide</t>
        </is>
      </c>
      <c r="H379" s="46" t="n"/>
      <c r="I379" s="62" t="inlineStr">
        <is>
          <t>Rock Slide</t>
        </is>
      </c>
      <c r="J379" s="46" t="n"/>
      <c r="K379" s="62" t="inlineStr">
        <is>
          <t>Rock Slide</t>
        </is>
      </c>
      <c r="L379" s="46" t="n"/>
    </row>
    <row r="381" ht="20" customHeight="1">
      <c r="B381" s="40" t="inlineStr">
        <is>
          <t>Leader</t>
        </is>
      </c>
      <c r="C381" s="41" t="n"/>
      <c r="D381" s="41" t="n"/>
      <c r="E381" s="42" t="inlineStr">
        <is>
          <t>Leader Roxanne (Rematch 2)</t>
        </is>
      </c>
      <c r="F381" s="41" t="n"/>
      <c r="G381" s="41" t="n"/>
      <c r="H381" s="41" t="n"/>
      <c r="I381" s="41" t="n"/>
      <c r="J381" s="41" t="n"/>
      <c r="K381" s="41" t="n"/>
      <c r="L381" s="41" t="n"/>
      <c r="M381" s="41" t="n"/>
      <c r="N381" s="41" t="n"/>
      <c r="O381" s="41" t="n"/>
      <c r="P381" s="41" t="n"/>
      <c r="Q381" s="41" t="n"/>
    </row>
    <row r="382" ht="69" customHeight="1">
      <c r="E382" s="43">
        <f>IFERROR(_xlfn.IMAGE("https://play.pokemonshowdown.com/sprites/gen5/omanyte.png"),"")</f>
        <v/>
      </c>
      <c r="G382" s="43">
        <f>IFERROR(_xlfn.IMAGE("https://play.pokemonshowdown.com/sprites/gen5/golem.png"),"")</f>
        <v/>
      </c>
      <c r="I382" s="43">
        <f>IFERROR(_xlfn.IMAGE("https://play.pokemonshowdown.com/sprites/gen5/kabutops.png"),"")</f>
        <v/>
      </c>
      <c r="K382" s="43">
        <f>IFERROR(_xlfn.IMAGE("https://play.pokemonshowdown.com/sprites/gen5/onix.png"),"")</f>
        <v/>
      </c>
      <c r="M382" s="43">
        <f>IFERROR(_xlfn.IMAGE("https://play.pokemonshowdown.com/sprites/gen5/nosepass.png"),"")</f>
        <v/>
      </c>
      <c r="Q382" s="44" t="inlineStr">
        <is>
          <t>DOUBLE BATTLE
Items: Full Restore / Full Restore / Full Restore</t>
        </is>
      </c>
    </row>
    <row r="383">
      <c r="E383" s="45" t="inlineStr">
        <is>
          <t>Lv 37 Omanyte</t>
        </is>
      </c>
      <c r="F383" s="46" t="n"/>
      <c r="G383" s="45" t="inlineStr">
        <is>
          <t>Lv 37 Golem</t>
        </is>
      </c>
      <c r="H383" s="46" t="n"/>
      <c r="I383" s="45" t="inlineStr">
        <is>
          <t>Lv 40 Kabutops</t>
        </is>
      </c>
      <c r="J383" s="46" t="n"/>
      <c r="K383" s="45" t="inlineStr">
        <is>
          <t>Lv 40 Onix</t>
        </is>
      </c>
      <c r="L383" s="46" t="n"/>
      <c r="M383" s="45" t="inlineStr">
        <is>
          <t>Lv 42 Nosepass</t>
        </is>
      </c>
      <c r="N383" s="46" t="n"/>
      <c r="Q383" s="47" t="inlineStr">
        <is>
          <t>Pokémon</t>
        </is>
      </c>
    </row>
    <row r="384">
      <c r="E384" s="48" t="inlineStr">
        <is>
          <t>Hardy</t>
        </is>
      </c>
      <c r="F384" s="48" t="inlineStr">
        <is>
          <t>Swift Swim</t>
        </is>
      </c>
      <c r="G384" s="48" t="inlineStr">
        <is>
          <t>Hardy</t>
        </is>
      </c>
      <c r="H384" s="48" t="inlineStr">
        <is>
          <t>Shell Armor</t>
        </is>
      </c>
      <c r="I384" s="48" t="inlineStr">
        <is>
          <t>Hardy</t>
        </is>
      </c>
      <c r="J384" s="48" t="inlineStr">
        <is>
          <t>Swift Swim</t>
        </is>
      </c>
      <c r="K384" s="48" t="inlineStr">
        <is>
          <t>Hardy</t>
        </is>
      </c>
      <c r="L384" s="48" t="inlineStr">
        <is>
          <t>Rock Head</t>
        </is>
      </c>
      <c r="M384" s="48" t="inlineStr">
        <is>
          <t>Hardy</t>
        </is>
      </c>
      <c r="N384" s="48" t="inlineStr">
        <is>
          <t>Solid Rock</t>
        </is>
      </c>
      <c r="Q384" s="47" t="inlineStr">
        <is>
          <t>Nature / Ability</t>
        </is>
      </c>
    </row>
    <row r="385">
      <c r="B385" s="47" t="inlineStr">
        <is>
          <t>AI Flags:</t>
        </is>
      </c>
      <c r="E385" s="49" t="inlineStr">
        <is>
          <t>(None)</t>
        </is>
      </c>
      <c r="F385" s="46" t="n"/>
      <c r="G385" s="49" t="inlineStr">
        <is>
          <t>(None)</t>
        </is>
      </c>
      <c r="H385" s="46" t="n"/>
      <c r="I385" s="49" t="inlineStr">
        <is>
          <t>Sitrus Berry</t>
        </is>
      </c>
      <c r="J385" s="46" t="n"/>
      <c r="K385" s="49" t="inlineStr">
        <is>
          <t>(None)</t>
        </is>
      </c>
      <c r="L385" s="46" t="n"/>
      <c r="M385" s="49" t="inlineStr">
        <is>
          <t>Sitrus Berry</t>
        </is>
      </c>
      <c r="N385" s="46" t="n"/>
      <c r="Q385" s="47" t="inlineStr">
        <is>
          <t>Item</t>
        </is>
      </c>
    </row>
    <row r="386">
      <c r="B386" s="44" t="inlineStr">
        <is>
          <t>Smart Trainer</t>
        </is>
      </c>
      <c r="E386" s="51" t="inlineStr">
        <is>
          <t>Protect</t>
        </is>
      </c>
      <c r="F386" s="46" t="n"/>
      <c r="G386" s="51" t="inlineStr">
        <is>
          <t>Protect</t>
        </is>
      </c>
      <c r="H386" s="46" t="n"/>
      <c r="I386" s="51" t="inlineStr">
        <is>
          <t>Swords Dance</t>
        </is>
      </c>
      <c r="J386" s="46" t="n"/>
      <c r="K386" s="66" t="inlineStr">
        <is>
          <t>Iron Tail</t>
        </is>
      </c>
      <c r="L386" s="46" t="n"/>
      <c r="M386" s="51" t="inlineStr">
        <is>
          <t>Double Team</t>
        </is>
      </c>
      <c r="N386" s="46" t="n"/>
      <c r="Q386" s="47" t="inlineStr">
        <is>
          <t>Moves</t>
        </is>
      </c>
    </row>
    <row r="387">
      <c r="E387" s="64" t="inlineStr">
        <is>
          <t>Ice Beam</t>
        </is>
      </c>
      <c r="F387" s="46" t="n"/>
      <c r="G387" s="62" t="inlineStr">
        <is>
          <t>Rollout</t>
        </is>
      </c>
      <c r="H387" s="46" t="n"/>
      <c r="I387" s="64" t="inlineStr">
        <is>
          <t>Ice Beam</t>
        </is>
      </c>
      <c r="J387" s="46" t="n"/>
      <c r="K387" s="51" t="inlineStr">
        <is>
          <t>Explosion</t>
        </is>
      </c>
      <c r="L387" s="46" t="n"/>
      <c r="M387" s="51" t="inlineStr">
        <is>
          <t>Explosion</t>
        </is>
      </c>
      <c r="N387" s="46" t="n"/>
    </row>
    <row r="388">
      <c r="E388" s="62" t="inlineStr">
        <is>
          <t>Rock Slide</t>
        </is>
      </c>
      <c r="F388" s="46" t="n"/>
      <c r="G388" s="53" t="inlineStr">
        <is>
          <t>Magnitude</t>
        </is>
      </c>
      <c r="H388" s="46" t="n"/>
      <c r="I388" s="61" t="inlineStr">
        <is>
          <t>Surf</t>
        </is>
      </c>
      <c r="J388" s="46" t="n"/>
      <c r="K388" s="51" t="inlineStr">
        <is>
          <t>Roar</t>
        </is>
      </c>
      <c r="L388" s="46" t="n"/>
      <c r="M388" s="51" t="inlineStr">
        <is>
          <t>Protect</t>
        </is>
      </c>
      <c r="N388" s="46" t="n"/>
    </row>
    <row r="389">
      <c r="E389" s="61" t="inlineStr">
        <is>
          <t>Surf</t>
        </is>
      </c>
      <c r="F389" s="46" t="n"/>
      <c r="G389" s="51" t="inlineStr">
        <is>
          <t>Explosion</t>
        </is>
      </c>
      <c r="H389" s="46" t="n"/>
      <c r="I389" s="62" t="inlineStr">
        <is>
          <t>Rock Slide</t>
        </is>
      </c>
      <c r="J389" s="46" t="n"/>
      <c r="K389" s="62" t="inlineStr">
        <is>
          <t>Rock Slide</t>
        </is>
      </c>
      <c r="L389" s="46" t="n"/>
      <c r="M389" s="62" t="inlineStr">
        <is>
          <t>Rock Slide</t>
        </is>
      </c>
      <c r="N389" s="46" t="n"/>
    </row>
    <row r="391" ht="20" customHeight="1">
      <c r="B391" s="40" t="inlineStr">
        <is>
          <t>Leader</t>
        </is>
      </c>
      <c r="C391" s="41" t="n"/>
      <c r="D391" s="41" t="n"/>
      <c r="E391" s="42" t="inlineStr">
        <is>
          <t>Leader Roxanne (Rematch 3)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IFERROR(_xlfn.IMAGE("https://play.pokemonshowdown.com/sprites/gen5/omastar.png"),"")</f>
        <v/>
      </c>
      <c r="G392" s="43">
        <f>IFERROR(_xlfn.IMAGE("https://play.pokemonshowdown.com/sprites/gen5/golem.png"),"")</f>
        <v/>
      </c>
      <c r="I392" s="43">
        <f>IFERROR(_xlfn.IMAGE("https://play.pokemonshowdown.com/sprites/gen5/kabutops.png"),"")</f>
        <v/>
      </c>
      <c r="K392" s="43">
        <f>IFERROR(_xlfn.IMAGE("https://play.pokemonshowdown.com/sprites/gen5/onix.png"),"")</f>
        <v/>
      </c>
      <c r="M392" s="43">
        <f>IFERROR(_xlfn.IMAGE("https://play.pokemonshowdown.com/sprites/gen5/nosepass.png"),"")</f>
        <v/>
      </c>
      <c r="Q392" s="44" t="inlineStr">
        <is>
          <t>DOUBLE BATTLE
Items: Full Restore / Full Restore / Full Restore</t>
        </is>
      </c>
    </row>
    <row r="393">
      <c r="E393" s="45" t="inlineStr">
        <is>
          <t>Lv 42 Omastar</t>
        </is>
      </c>
      <c r="F393" s="46" t="n"/>
      <c r="G393" s="45" t="inlineStr">
        <is>
          <t>Lv 42 Golem</t>
        </is>
      </c>
      <c r="H393" s="46" t="n"/>
      <c r="I393" s="45" t="inlineStr">
        <is>
          <t>Lv 45 Kabutops</t>
        </is>
      </c>
      <c r="J393" s="46" t="n"/>
      <c r="K393" s="45" t="inlineStr">
        <is>
          <t>Lv 45 Onix</t>
        </is>
      </c>
      <c r="L393" s="46" t="n"/>
      <c r="M393" s="45" t="inlineStr">
        <is>
          <t>Lv 47 Nosepass</t>
        </is>
      </c>
      <c r="N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Swift Swim</t>
        </is>
      </c>
      <c r="G394" s="48" t="inlineStr">
        <is>
          <t>Hardy</t>
        </is>
      </c>
      <c r="H394" s="48" t="inlineStr">
        <is>
          <t>Shell Armor</t>
        </is>
      </c>
      <c r="I394" s="48" t="inlineStr">
        <is>
          <t>Hardy</t>
        </is>
      </c>
      <c r="J394" s="48" t="inlineStr">
        <is>
          <t>Swift Swim</t>
        </is>
      </c>
      <c r="K394" s="48" t="inlineStr">
        <is>
          <t>Hardy</t>
        </is>
      </c>
      <c r="L394" s="48" t="inlineStr">
        <is>
          <t>Rock Head</t>
        </is>
      </c>
      <c r="M394" s="48" t="inlineStr">
        <is>
          <t>Hardy</t>
        </is>
      </c>
      <c r="N394" s="48" t="inlineStr">
        <is>
          <t>Solid Rock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Sitrus Berry</t>
        </is>
      </c>
      <c r="J395" s="46" t="n"/>
      <c r="K395" s="49" t="inlineStr">
        <is>
          <t>(None)</t>
        </is>
      </c>
      <c r="L395" s="46" t="n"/>
      <c r="M395" s="49" t="inlineStr">
        <is>
          <t>Sitrus Berry</t>
        </is>
      </c>
      <c r="N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Protect</t>
        </is>
      </c>
      <c r="F396" s="46" t="n"/>
      <c r="G396" s="51" t="inlineStr">
        <is>
          <t>Protect</t>
        </is>
      </c>
      <c r="H396" s="46" t="n"/>
      <c r="I396" s="51" t="inlineStr">
        <is>
          <t>Swords Dance</t>
        </is>
      </c>
      <c r="J396" s="46" t="n"/>
      <c r="K396" s="66" t="inlineStr">
        <is>
          <t>Iron Tail</t>
        </is>
      </c>
      <c r="L396" s="46" t="n"/>
      <c r="M396" s="51" t="inlineStr">
        <is>
          <t>Double Team</t>
        </is>
      </c>
      <c r="N396" s="46" t="n"/>
      <c r="Q396" s="47" t="inlineStr">
        <is>
          <t>Moves</t>
        </is>
      </c>
    </row>
    <row r="397">
      <c r="E397" s="64" t="inlineStr">
        <is>
          <t>Ice Beam</t>
        </is>
      </c>
      <c r="F397" s="46" t="n"/>
      <c r="G397" s="62" t="inlineStr">
        <is>
          <t>Rollout</t>
        </is>
      </c>
      <c r="H397" s="46" t="n"/>
      <c r="I397" s="64" t="inlineStr">
        <is>
          <t>Ice Beam</t>
        </is>
      </c>
      <c r="J397" s="46" t="n"/>
      <c r="K397" s="51" t="inlineStr">
        <is>
          <t>Explosion</t>
        </is>
      </c>
      <c r="L397" s="46" t="n"/>
      <c r="M397" s="51" t="inlineStr">
        <is>
          <t>Explosion</t>
        </is>
      </c>
      <c r="N397" s="46" t="n"/>
    </row>
    <row r="398">
      <c r="E398" s="62" t="inlineStr">
        <is>
          <t>Rock Slide</t>
        </is>
      </c>
      <c r="F398" s="46" t="n"/>
      <c r="G398" s="53" t="inlineStr">
        <is>
          <t>Earthquake</t>
        </is>
      </c>
      <c r="H398" s="46" t="n"/>
      <c r="I398" s="61" t="inlineStr">
        <is>
          <t>Surf</t>
        </is>
      </c>
      <c r="J398" s="46" t="n"/>
      <c r="K398" s="51" t="inlineStr">
        <is>
          <t>Roar</t>
        </is>
      </c>
      <c r="L398" s="46" t="n"/>
      <c r="M398" s="51" t="inlineStr">
        <is>
          <t>Protect</t>
        </is>
      </c>
      <c r="N398" s="46" t="n"/>
    </row>
    <row r="399">
      <c r="E399" s="61" t="inlineStr">
        <is>
          <t>Surf</t>
        </is>
      </c>
      <c r="F399" s="46" t="n"/>
      <c r="G399" s="51" t="inlineStr">
        <is>
          <t>Explosion</t>
        </is>
      </c>
      <c r="H399" s="46" t="n"/>
      <c r="I399" s="62" t="inlineStr">
        <is>
          <t>Rock Slide</t>
        </is>
      </c>
      <c r="J399" s="46" t="n"/>
      <c r="K399" s="62" t="inlineStr">
        <is>
          <t>Rock Slide</t>
        </is>
      </c>
      <c r="L399" s="46" t="n"/>
      <c r="M399" s="62" t="inlineStr">
        <is>
          <t>Rock Slide</t>
        </is>
      </c>
      <c r="N399" s="46" t="n"/>
    </row>
    <row r="401" ht="20" customHeight="1">
      <c r="B401" s="40" t="inlineStr">
        <is>
          <t>Leader</t>
        </is>
      </c>
      <c r="C401" s="41" t="n"/>
      <c r="D401" s="41" t="n"/>
      <c r="E401" s="42" t="inlineStr">
        <is>
          <t>Leader Roxanne (Rematch 4)</t>
        </is>
      </c>
      <c r="F401" s="41" t="n"/>
      <c r="G401" s="41" t="n"/>
      <c r="H401" s="41" t="n"/>
      <c r="I401" s="41" t="n"/>
      <c r="J401" s="41" t="n"/>
      <c r="K401" s="41" t="n"/>
      <c r="L401" s="41" t="n"/>
      <c r="M401" s="41" t="n"/>
      <c r="N401" s="41" t="n"/>
      <c r="O401" s="41" t="n"/>
      <c r="P401" s="41" t="n"/>
      <c r="Q401" s="41" t="n"/>
    </row>
    <row r="402" ht="69" customHeight="1">
      <c r="E402" s="43">
        <f>IFERROR(_xlfn.IMAGE("https://play.pokemonshowdown.com/sprites/gen5/aerodactyl.png"),"")</f>
        <v/>
      </c>
      <c r="G402" s="43">
        <f>IFERROR(_xlfn.IMAGE("https://play.pokemonshowdown.com/sprites/gen5/golem.png"),"")</f>
        <v/>
      </c>
      <c r="I402" s="43">
        <f>IFERROR(_xlfn.IMAGE("https://play.pokemonshowdown.com/sprites/gen5/omastar.png"),"")</f>
        <v/>
      </c>
      <c r="K402" s="43">
        <f>IFERROR(_xlfn.IMAGE("https://play.pokemonshowdown.com/sprites/gen5/kabutops.png"),"")</f>
        <v/>
      </c>
      <c r="M402" s="43">
        <f>IFERROR(_xlfn.IMAGE("https://play.pokemonshowdown.com/sprites/gen5/steelix.png"),"")</f>
        <v/>
      </c>
      <c r="O402" s="43">
        <f>IFERROR(_xlfn.IMAGE("https://play.pokemonshowdown.com/sprites/gen5/nosepass.png"),"")</f>
        <v/>
      </c>
      <c r="Q402" s="44" t="inlineStr">
        <is>
          <t>DOUBLE BATTLE
Items: Full Restore / Full Restore / Full Restore</t>
        </is>
      </c>
    </row>
    <row r="403">
      <c r="E403" s="45" t="inlineStr">
        <is>
          <t>Lv 47 Aerodactyl</t>
        </is>
      </c>
      <c r="F403" s="46" t="n"/>
      <c r="G403" s="45" t="inlineStr">
        <is>
          <t>Lv 47 Golem</t>
        </is>
      </c>
      <c r="H403" s="46" t="n"/>
      <c r="I403" s="45" t="inlineStr">
        <is>
          <t>Lv 47 Omastar</t>
        </is>
      </c>
      <c r="J403" s="46" t="n"/>
      <c r="K403" s="45" t="inlineStr">
        <is>
          <t>Lv 50 Kabutops</t>
        </is>
      </c>
      <c r="L403" s="46" t="n"/>
      <c r="M403" s="45" t="inlineStr">
        <is>
          <t>Lv 50 Steelix</t>
        </is>
      </c>
      <c r="N403" s="46" t="n"/>
      <c r="O403" s="45" t="inlineStr">
        <is>
          <t>Lv 52 Nosepass</t>
        </is>
      </c>
      <c r="P403" s="46" t="n"/>
      <c r="Q403" s="47" t="inlineStr">
        <is>
          <t>Pokémon</t>
        </is>
      </c>
    </row>
    <row r="404">
      <c r="E404" s="48" t="inlineStr">
        <is>
          <t>Hardy</t>
        </is>
      </c>
      <c r="F404" s="48" t="inlineStr">
        <is>
          <t>Rock Head</t>
        </is>
      </c>
      <c r="G404" s="48" t="inlineStr">
        <is>
          <t>Hardy</t>
        </is>
      </c>
      <c r="H404" s="48" t="inlineStr">
        <is>
          <t>Shell Armor</t>
        </is>
      </c>
      <c r="I404" s="48" t="inlineStr">
        <is>
          <t>Hardy</t>
        </is>
      </c>
      <c r="J404" s="48" t="inlineStr">
        <is>
          <t>Swift Swim</t>
        </is>
      </c>
      <c r="K404" s="48" t="inlineStr">
        <is>
          <t>Hardy</t>
        </is>
      </c>
      <c r="L404" s="48" t="inlineStr">
        <is>
          <t>Swift Swim</t>
        </is>
      </c>
      <c r="M404" s="48" t="inlineStr">
        <is>
          <t>Hardy</t>
        </is>
      </c>
      <c r="N404" s="48" t="inlineStr">
        <is>
          <t>Solid Rock</t>
        </is>
      </c>
      <c r="O404" s="48" t="inlineStr">
        <is>
          <t>Hardy</t>
        </is>
      </c>
      <c r="P404" s="48" t="inlineStr">
        <is>
          <t>Solid Rock</t>
        </is>
      </c>
      <c r="Q404" s="47" t="inlineStr">
        <is>
          <t>Nature / Ability</t>
        </is>
      </c>
    </row>
    <row r="405">
      <c r="B405" s="47" t="inlineStr">
        <is>
          <t>AI Flags:</t>
        </is>
      </c>
      <c r="E405" s="49" t="inlineStr">
        <is>
          <t>(None)</t>
        </is>
      </c>
      <c r="F405" s="46" t="n"/>
      <c r="G405" s="49" t="inlineStr">
        <is>
          <t>(None)</t>
        </is>
      </c>
      <c r="H405" s="46" t="n"/>
      <c r="I405" s="49" t="inlineStr">
        <is>
          <t>(None)</t>
        </is>
      </c>
      <c r="J405" s="46" t="n"/>
      <c r="K405" s="49" t="inlineStr">
        <is>
          <t>Sitrus Berry</t>
        </is>
      </c>
      <c r="L405" s="46" t="n"/>
      <c r="M405" s="49" t="inlineStr">
        <is>
          <t>(None)</t>
        </is>
      </c>
      <c r="N405" s="46" t="n"/>
      <c r="O405" s="49" t="inlineStr">
        <is>
          <t>Sitrus Berry</t>
        </is>
      </c>
      <c r="P405" s="46" t="n"/>
      <c r="Q405" s="47" t="inlineStr">
        <is>
          <t>Item</t>
        </is>
      </c>
    </row>
    <row r="406">
      <c r="B406" s="44" t="inlineStr">
        <is>
          <t>Smart Trainer</t>
        </is>
      </c>
      <c r="E406" s="62" t="inlineStr">
        <is>
          <t>Rock Slide</t>
        </is>
      </c>
      <c r="F406" s="46" t="n"/>
      <c r="G406" s="65" t="inlineStr">
        <is>
          <t>Focus Punch</t>
        </is>
      </c>
      <c r="H406" s="46" t="n"/>
      <c r="I406" s="51" t="inlineStr">
        <is>
          <t>Protect</t>
        </is>
      </c>
      <c r="J406" s="46" t="n"/>
      <c r="K406" s="51" t="inlineStr">
        <is>
          <t>Swords Dance</t>
        </is>
      </c>
      <c r="L406" s="46" t="n"/>
      <c r="M406" s="66" t="inlineStr">
        <is>
          <t>Iron Tail</t>
        </is>
      </c>
      <c r="N406" s="46" t="n"/>
      <c r="O406" s="51" t="inlineStr">
        <is>
          <t>Double Team</t>
        </is>
      </c>
      <c r="P406" s="46" t="n"/>
      <c r="Q406" s="47" t="inlineStr">
        <is>
          <t>Moves</t>
        </is>
      </c>
    </row>
    <row r="407">
      <c r="E407" s="51" t="inlineStr">
        <is>
          <t>Hyper Beam</t>
        </is>
      </c>
      <c r="F407" s="46" t="n"/>
      <c r="G407" s="62" t="inlineStr">
        <is>
          <t>Rollout</t>
        </is>
      </c>
      <c r="H407" s="46" t="n"/>
      <c r="I407" s="64" t="inlineStr">
        <is>
          <t>Ice Beam</t>
        </is>
      </c>
      <c r="J407" s="46" t="n"/>
      <c r="K407" s="64" t="inlineStr">
        <is>
          <t>Ice Beam</t>
        </is>
      </c>
      <c r="L407" s="46" t="n"/>
      <c r="M407" s="51" t="inlineStr">
        <is>
          <t>Explosion</t>
        </is>
      </c>
      <c r="N407" s="46" t="n"/>
      <c r="O407" s="51" t="inlineStr">
        <is>
          <t>Explosion</t>
        </is>
      </c>
      <c r="P407" s="46" t="n"/>
    </row>
    <row r="408">
      <c r="E408" s="51" t="inlineStr">
        <is>
          <t>Supersonic</t>
        </is>
      </c>
      <c r="F408" s="46" t="n"/>
      <c r="G408" s="53" t="inlineStr">
        <is>
          <t>Earthquake</t>
        </is>
      </c>
      <c r="H408" s="46" t="n"/>
      <c r="I408" s="62" t="inlineStr">
        <is>
          <t>Rock Slide</t>
        </is>
      </c>
      <c r="J408" s="46" t="n"/>
      <c r="K408" s="61" t="inlineStr">
        <is>
          <t>Surf</t>
        </is>
      </c>
      <c r="L408" s="46" t="n"/>
      <c r="M408" s="51" t="inlineStr">
        <is>
          <t>Roar</t>
        </is>
      </c>
      <c r="N408" s="46" t="n"/>
      <c r="O408" s="51" t="inlineStr">
        <is>
          <t>Protect</t>
        </is>
      </c>
      <c r="P408" s="46" t="n"/>
    </row>
    <row r="409">
      <c r="E409" s="51" t="inlineStr">
        <is>
          <t>Protect</t>
        </is>
      </c>
      <c r="F409" s="46" t="n"/>
      <c r="G409" s="51" t="inlineStr">
        <is>
          <t>Explosion</t>
        </is>
      </c>
      <c r="H409" s="46" t="n"/>
      <c r="I409" s="61" t="inlineStr">
        <is>
          <t>Surf</t>
        </is>
      </c>
      <c r="J409" s="46" t="n"/>
      <c r="K409" s="62" t="inlineStr">
        <is>
          <t>Rock Slide</t>
        </is>
      </c>
      <c r="L409" s="46" t="n"/>
      <c r="M409" s="62" t="inlineStr">
        <is>
          <t>Rock Slide</t>
        </is>
      </c>
      <c r="N409" s="46" t="n"/>
      <c r="O409" s="62" t="inlineStr">
        <is>
          <t>Rock Slide</t>
        </is>
      </c>
      <c r="P409" s="46" t="n"/>
    </row>
    <row r="411" ht="20" customHeight="1">
      <c r="B411" s="40" t="inlineStr">
        <is>
          <t>Leader</t>
        </is>
      </c>
      <c r="C411" s="41" t="n"/>
      <c r="D411" s="41" t="n"/>
      <c r="E411" s="42" t="inlineStr">
        <is>
          <t>Leader Tate&amp;Liza (Rematch 1)</t>
        </is>
      </c>
      <c r="F411" s="41" t="n"/>
      <c r="G411" s="41" t="n"/>
      <c r="H411" s="41" t="n"/>
      <c r="I411" s="41" t="n"/>
      <c r="J411" s="41" t="n"/>
      <c r="K411" s="41" t="n"/>
      <c r="L411" s="41" t="n"/>
      <c r="M411" s="41" t="n"/>
      <c r="N411" s="41" t="n"/>
      <c r="O411" s="41" t="n"/>
      <c r="P411" s="41" t="n"/>
      <c r="Q411" s="41" t="n"/>
    </row>
    <row r="412" ht="69" customHeight="1">
      <c r="E412" s="43">
        <f>IFERROR(_xlfn.IMAGE("https://play.pokemonshowdown.com/sprites/gen5/slowpoke.png"),"")</f>
        <v/>
      </c>
      <c r="G412" s="43">
        <f>IFERROR(_xlfn.IMAGE("https://play.pokemonshowdown.com/sprites/gen5/claydol.png"),"")</f>
        <v/>
      </c>
      <c r="I412" s="43">
        <f>IFERROR(_xlfn.IMAGE("https://play.pokemonshowdown.com/sprites/gen5/xatu.png"),"")</f>
        <v/>
      </c>
      <c r="K412" s="43">
        <f>IFERROR(_xlfn.IMAGE("https://play.pokemonshowdown.com/sprites/gen5/lunatone.png"),"")</f>
        <v/>
      </c>
      <c r="M412" s="43">
        <f>IFERROR(_xlfn.IMAGE("https://play.pokemonshowdown.com/sprites/gen5/solrock.png"),"")</f>
        <v/>
      </c>
      <c r="Q412" s="44" t="inlineStr">
        <is>
          <t>DOUBLE BATTLE
Items: Full Restore / Full Restore / Full Restore</t>
        </is>
      </c>
    </row>
    <row r="413">
      <c r="E413" s="45" t="inlineStr">
        <is>
          <t>Lv 48 Slowpoke</t>
        </is>
      </c>
      <c r="F413" s="46" t="n"/>
      <c r="G413" s="45" t="inlineStr">
        <is>
          <t>Lv 49 Claydol</t>
        </is>
      </c>
      <c r="H413" s="46" t="n"/>
      <c r="I413" s="45" t="inlineStr">
        <is>
          <t>Lv 49 Xatu</t>
        </is>
      </c>
      <c r="J413" s="46" t="n"/>
      <c r="K413" s="45" t="inlineStr">
        <is>
          <t>Lv 50 Lunatone</t>
        </is>
      </c>
      <c r="L413" s="46" t="n"/>
      <c r="M413" s="45" t="inlineStr">
        <is>
          <t>Lv 50 Solrock</t>
        </is>
      </c>
      <c r="N413" s="46" t="n"/>
      <c r="Q413" s="47" t="inlineStr">
        <is>
          <t>Pokémon</t>
        </is>
      </c>
    </row>
    <row r="414">
      <c r="E414" s="48" t="inlineStr">
        <is>
          <t>Hardy</t>
        </is>
      </c>
      <c r="F414" s="48" t="inlineStr">
        <is>
          <t>Simple</t>
        </is>
      </c>
      <c r="G414" s="48" t="inlineStr">
        <is>
          <t>Hardy</t>
        </is>
      </c>
      <c r="H414" s="48" t="inlineStr">
        <is>
          <t>Levitate</t>
        </is>
      </c>
      <c r="I414" s="48" t="inlineStr">
        <is>
          <t>Hardy</t>
        </is>
      </c>
      <c r="J414" s="48" t="inlineStr">
        <is>
          <t>Magic Guard</t>
        </is>
      </c>
      <c r="K414" s="48" t="inlineStr">
        <is>
          <t>Hardy</t>
        </is>
      </c>
      <c r="L414" s="48" t="inlineStr">
        <is>
          <t>Levitate</t>
        </is>
      </c>
      <c r="M414" s="48" t="inlineStr">
        <is>
          <t>Hardy</t>
        </is>
      </c>
      <c r="N414" s="48" t="inlineStr">
        <is>
          <t>Levitate</t>
        </is>
      </c>
      <c r="Q414" s="47" t="inlineStr">
        <is>
          <t>Nature / Ability</t>
        </is>
      </c>
    </row>
    <row r="415">
      <c r="B415" s="47" t="inlineStr">
        <is>
          <t>AI Flags:</t>
        </is>
      </c>
      <c r="E415" s="49" t="inlineStr">
        <is>
          <t>(None)</t>
        </is>
      </c>
      <c r="F415" s="46" t="n"/>
      <c r="G415" s="49" t="inlineStr">
        <is>
          <t>(None)</t>
        </is>
      </c>
      <c r="H415" s="46" t="n"/>
      <c r="I415" s="49" t="inlineStr">
        <is>
          <t>Chesto Berry</t>
        </is>
      </c>
      <c r="J415" s="46" t="n"/>
      <c r="K415" s="49" t="inlineStr">
        <is>
          <t>Chesto Berry</t>
        </is>
      </c>
      <c r="L415" s="46" t="n"/>
      <c r="M415" s="49" t="inlineStr">
        <is>
          <t>Sitrus Berry</t>
        </is>
      </c>
      <c r="N415" s="46" t="n"/>
      <c r="Q415" s="47" t="inlineStr">
        <is>
          <t>Item</t>
        </is>
      </c>
    </row>
    <row r="416">
      <c r="B416" s="44" t="inlineStr">
        <is>
          <t>Smart Trainer</t>
        </is>
      </c>
      <c r="E416" s="51" t="inlineStr">
        <is>
          <t>Yawn</t>
        </is>
      </c>
      <c r="F416" s="46" t="n"/>
      <c r="G416" s="53" t="inlineStr">
        <is>
          <t>Earthquake</t>
        </is>
      </c>
      <c r="H416" s="46" t="n"/>
      <c r="I416" s="63" t="inlineStr">
        <is>
          <t>Psychic</t>
        </is>
      </c>
      <c r="J416" s="46" t="n"/>
      <c r="K416" s="53" t="inlineStr">
        <is>
          <t>Earthquake</t>
        </is>
      </c>
      <c r="L416" s="46" t="n"/>
      <c r="M416" s="58" t="inlineStr">
        <is>
          <t>Sunny Day</t>
        </is>
      </c>
      <c r="N416" s="46" t="n"/>
      <c r="Q416" s="47" t="inlineStr">
        <is>
          <t>Moves</t>
        </is>
      </c>
    </row>
    <row r="417">
      <c r="E417" s="63" t="inlineStr">
        <is>
          <t>Psychic</t>
        </is>
      </c>
      <c r="F417" s="46" t="n"/>
      <c r="G417" s="62" t="inlineStr">
        <is>
          <t>Ancient Power</t>
        </is>
      </c>
      <c r="H417" s="46" t="n"/>
      <c r="I417" s="63" t="inlineStr">
        <is>
          <t>Rest</t>
        </is>
      </c>
      <c r="J417" s="46" t="n"/>
      <c r="K417" s="63" t="inlineStr">
        <is>
          <t>Psychic</t>
        </is>
      </c>
      <c r="L417" s="46" t="n"/>
      <c r="M417" s="59" t="inlineStr">
        <is>
          <t>Solar Beam</t>
        </is>
      </c>
      <c r="N417" s="46" t="n"/>
    </row>
    <row r="418">
      <c r="E418" s="63" t="inlineStr">
        <is>
          <t>Calm Mind</t>
        </is>
      </c>
      <c r="F418" s="46" t="n"/>
      <c r="G418" s="63" t="inlineStr">
        <is>
          <t>Psychic</t>
        </is>
      </c>
      <c r="H418" s="46" t="n"/>
      <c r="I418" s="67" t="inlineStr">
        <is>
          <t>Confuse Ray</t>
        </is>
      </c>
      <c r="J418" s="46" t="n"/>
      <c r="K418" s="63" t="inlineStr">
        <is>
          <t>Rest</t>
        </is>
      </c>
      <c r="L418" s="46" t="n"/>
      <c r="M418" s="63" t="inlineStr">
        <is>
          <t>Psychic</t>
        </is>
      </c>
      <c r="N418" s="46" t="n"/>
    </row>
    <row r="419">
      <c r="E419" s="51" t="inlineStr">
        <is>
          <t>Protect</t>
        </is>
      </c>
      <c r="F419" s="46" t="n"/>
      <c r="G419" s="63" t="inlineStr">
        <is>
          <t>Light Screen</t>
        </is>
      </c>
      <c r="H419" s="46" t="n"/>
      <c r="I419" s="63" t="inlineStr">
        <is>
          <t>Calm Mind</t>
        </is>
      </c>
      <c r="J419" s="46" t="n"/>
      <c r="K419" s="63" t="inlineStr">
        <is>
          <t>Calm Mind</t>
        </is>
      </c>
      <c r="L419" s="46" t="n"/>
      <c r="M419" s="58" t="inlineStr">
        <is>
          <t>Flamethrower</t>
        </is>
      </c>
      <c r="N419" s="46" t="n"/>
    </row>
    <row r="421" ht="20" customHeight="1">
      <c r="B421" s="40" t="inlineStr">
        <is>
          <t>Leader</t>
        </is>
      </c>
      <c r="C421" s="41" t="n"/>
      <c r="D421" s="41" t="n"/>
      <c r="E421" s="42" t="inlineStr">
        <is>
          <t>Leader Tate&amp;Liza (Rematch 2)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IFERROR(_xlfn.IMAGE("https://play.pokemonshowdown.com/sprites/gen5/drowzee.png"),"")</f>
        <v/>
      </c>
      <c r="G422" s="43">
        <f>IFERROR(_xlfn.IMAGE("https://play.pokemonshowdown.com/sprites/gen5/slowpoke.png"),"")</f>
        <v/>
      </c>
      <c r="I422" s="43">
        <f>IFERROR(_xlfn.IMAGE("https://play.pokemonshowdown.com/sprites/gen5/claydol.png"),"")</f>
        <v/>
      </c>
      <c r="K422" s="43">
        <f>IFERROR(_xlfn.IMAGE("https://play.pokemonshowdown.com/sprites/gen5/xatu.png"),"")</f>
        <v/>
      </c>
      <c r="M422" s="43">
        <f>IFERROR(_xlfn.IMAGE("https://play.pokemonshowdown.com/sprites/gen5/lunatone.png"),"")</f>
        <v/>
      </c>
      <c r="O422" s="43">
        <f>IFERROR(_xlfn.IMAGE("https://play.pokemonshowdown.com/sprites/gen5/solrock.png"),"")</f>
        <v/>
      </c>
      <c r="Q422" s="44" t="inlineStr">
        <is>
          <t>DOUBLE BATTLE
Items: Full Restore / Full Restore / Full Restore</t>
        </is>
      </c>
    </row>
    <row r="423">
      <c r="E423" s="45" t="inlineStr">
        <is>
          <t>Lv 53 Drowzee</t>
        </is>
      </c>
      <c r="F423" s="46" t="n"/>
      <c r="G423" s="45" t="inlineStr">
        <is>
          <t>Lv 53 Slowpoke</t>
        </is>
      </c>
      <c r="H423" s="46" t="n"/>
      <c r="I423" s="45" t="inlineStr">
        <is>
          <t>Lv 54 Claydol</t>
        </is>
      </c>
      <c r="J423" s="46" t="n"/>
      <c r="K423" s="45" t="inlineStr">
        <is>
          <t>Lv 54 Xatu</t>
        </is>
      </c>
      <c r="L423" s="46" t="n"/>
      <c r="M423" s="45" t="inlineStr">
        <is>
          <t>Lv 55 Lunatone</t>
        </is>
      </c>
      <c r="N423" s="46" t="n"/>
      <c r="O423" s="45" t="inlineStr">
        <is>
          <t>Lv 55 Solrock</t>
        </is>
      </c>
      <c r="P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Bad Dreams</t>
        </is>
      </c>
      <c r="G424" s="48" t="inlineStr">
        <is>
          <t>Hardy</t>
        </is>
      </c>
      <c r="H424" s="48" t="inlineStr">
        <is>
          <t>Simple</t>
        </is>
      </c>
      <c r="I424" s="48" t="inlineStr">
        <is>
          <t>Hardy</t>
        </is>
      </c>
      <c r="J424" s="48" t="inlineStr">
        <is>
          <t>Levitate</t>
        </is>
      </c>
      <c r="K424" s="48" t="inlineStr">
        <is>
          <t>Hardy</t>
        </is>
      </c>
      <c r="L424" s="48" t="inlineStr">
        <is>
          <t>Magic Guard</t>
        </is>
      </c>
      <c r="M424" s="48" t="inlineStr">
        <is>
          <t>Hardy</t>
        </is>
      </c>
      <c r="N424" s="48" t="inlineStr">
        <is>
          <t>Levitate</t>
        </is>
      </c>
      <c r="O424" s="48" t="inlineStr">
        <is>
          <t>Hardy</t>
        </is>
      </c>
      <c r="P424" s="48" t="inlineStr">
        <is>
          <t>Levitate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G425" s="49" t="inlineStr">
        <is>
          <t>(None)</t>
        </is>
      </c>
      <c r="H425" s="46" t="n"/>
      <c r="I425" s="49" t="inlineStr">
        <is>
          <t>(None)</t>
        </is>
      </c>
      <c r="J425" s="46" t="n"/>
      <c r="K425" s="49" t="inlineStr">
        <is>
          <t>Chesto Berry</t>
        </is>
      </c>
      <c r="L425" s="46" t="n"/>
      <c r="M425" s="49" t="inlineStr">
        <is>
          <t>Chesto Berry</t>
        </is>
      </c>
      <c r="N425" s="46" t="n"/>
      <c r="O425" s="49" t="inlineStr">
        <is>
          <t>Sitrus Berry</t>
        </is>
      </c>
      <c r="P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3" t="inlineStr">
        <is>
          <t>Hypnosis</t>
        </is>
      </c>
      <c r="F426" s="46" t="n"/>
      <c r="G426" s="51" t="inlineStr">
        <is>
          <t>Yawn</t>
        </is>
      </c>
      <c r="H426" s="46" t="n"/>
      <c r="I426" s="53" t="inlineStr">
        <is>
          <t>Earthquake</t>
        </is>
      </c>
      <c r="J426" s="46" t="n"/>
      <c r="K426" s="63" t="inlineStr">
        <is>
          <t>Psychic</t>
        </is>
      </c>
      <c r="L426" s="46" t="n"/>
      <c r="M426" s="53" t="inlineStr">
        <is>
          <t>Earthquake</t>
        </is>
      </c>
      <c r="N426" s="46" t="n"/>
      <c r="O426" s="58" t="inlineStr">
        <is>
          <t>Sunny Day</t>
        </is>
      </c>
      <c r="P426" s="46" t="n"/>
      <c r="Q426" s="47" t="inlineStr">
        <is>
          <t>Moves</t>
        </is>
      </c>
    </row>
    <row r="427">
      <c r="E427" s="63" t="inlineStr">
        <is>
          <t>Dream Eater</t>
        </is>
      </c>
      <c r="F427" s="46" t="n"/>
      <c r="G427" s="63" t="inlineStr">
        <is>
          <t>Psychic</t>
        </is>
      </c>
      <c r="H427" s="46" t="n"/>
      <c r="I427" s="51" t="inlineStr">
        <is>
          <t>Explosion</t>
        </is>
      </c>
      <c r="J427" s="46" t="n"/>
      <c r="K427" s="63" t="inlineStr">
        <is>
          <t>Rest</t>
        </is>
      </c>
      <c r="L427" s="46" t="n"/>
      <c r="M427" s="63" t="inlineStr">
        <is>
          <t>Psychic</t>
        </is>
      </c>
      <c r="N427" s="46" t="n"/>
      <c r="O427" s="59" t="inlineStr">
        <is>
          <t>Solar Beam</t>
        </is>
      </c>
      <c r="P427" s="46" t="n"/>
    </row>
    <row r="428">
      <c r="E428" s="51" t="inlineStr">
        <is>
          <t>Headbutt</t>
        </is>
      </c>
      <c r="F428" s="46" t="n"/>
      <c r="G428" s="63" t="inlineStr">
        <is>
          <t>Calm Mind</t>
        </is>
      </c>
      <c r="H428" s="46" t="n"/>
      <c r="I428" s="63" t="inlineStr">
        <is>
          <t>Psychic</t>
        </is>
      </c>
      <c r="J428" s="46" t="n"/>
      <c r="K428" s="67" t="inlineStr">
        <is>
          <t>Confuse Ray</t>
        </is>
      </c>
      <c r="L428" s="46" t="n"/>
      <c r="M428" s="63" t="inlineStr">
        <is>
          <t>Rest</t>
        </is>
      </c>
      <c r="N428" s="46" t="n"/>
      <c r="O428" s="63" t="inlineStr">
        <is>
          <t>Psychic</t>
        </is>
      </c>
      <c r="P428" s="46" t="n"/>
    </row>
    <row r="429">
      <c r="E429" s="51" t="inlineStr">
        <is>
          <t>Protect</t>
        </is>
      </c>
      <c r="F429" s="46" t="n"/>
      <c r="G429" s="51" t="inlineStr">
        <is>
          <t>Protect</t>
        </is>
      </c>
      <c r="H429" s="46" t="n"/>
      <c r="I429" s="63" t="inlineStr">
        <is>
          <t>Light Screen</t>
        </is>
      </c>
      <c r="J429" s="46" t="n"/>
      <c r="K429" s="63" t="inlineStr">
        <is>
          <t>Calm Mind</t>
        </is>
      </c>
      <c r="L429" s="46" t="n"/>
      <c r="M429" s="63" t="inlineStr">
        <is>
          <t>Calm Mind</t>
        </is>
      </c>
      <c r="N429" s="46" t="n"/>
      <c r="O429" s="58" t="inlineStr">
        <is>
          <t>Flamethrower</t>
        </is>
      </c>
      <c r="P429" s="46" t="n"/>
    </row>
    <row r="431" ht="20" customHeight="1">
      <c r="B431" s="40" t="inlineStr">
        <is>
          <t>Leader</t>
        </is>
      </c>
      <c r="C431" s="41" t="n"/>
      <c r="D431" s="41" t="n"/>
      <c r="E431" s="42" t="inlineStr">
        <is>
          <t>Leader Tate&amp;Liza (Rematch 3)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IFERROR(_xlfn.IMAGE("https://play.pokemonshowdown.com/sprites/gen5/hypno.png"),"")</f>
        <v/>
      </c>
      <c r="G432" s="43">
        <f>IFERROR(_xlfn.IMAGE("https://play.pokemonshowdown.com/sprites/gen5/claydol.png"),"")</f>
        <v/>
      </c>
      <c r="I432" s="43">
        <f>IFERROR(_xlfn.IMAGE("https://play.pokemonshowdown.com/sprites/gen5/slowpoke.png"),"")</f>
        <v/>
      </c>
      <c r="K432" s="43">
        <f>IFERROR(_xlfn.IMAGE("https://play.pokemonshowdown.com/sprites/gen5/xatu.png"),"")</f>
        <v/>
      </c>
      <c r="M432" s="43">
        <f>IFERROR(_xlfn.IMAGE("https://play.pokemonshowdown.com/sprites/gen5/lunatone.png"),"")</f>
        <v/>
      </c>
      <c r="O432" s="43">
        <f>IFERROR(_xlfn.IMAGE("https://play.pokemonshowdown.com/sprites/gen5/solrock.png"),"")</f>
        <v/>
      </c>
      <c r="Q432" s="44" t="inlineStr">
        <is>
          <t>DOUBLE BATTLE
Items: Full Restore / Full Restore / Full Restore</t>
        </is>
      </c>
    </row>
    <row r="433">
      <c r="E433" s="45" t="inlineStr">
        <is>
          <t>Lv 58 Hypno</t>
        </is>
      </c>
      <c r="F433" s="46" t="n"/>
      <c r="G433" s="45" t="inlineStr">
        <is>
          <t>Lv 59 Claydol</t>
        </is>
      </c>
      <c r="H433" s="46" t="n"/>
      <c r="I433" s="45" t="inlineStr">
        <is>
          <t>Lv 58 Slowpoke</t>
        </is>
      </c>
      <c r="J433" s="46" t="n"/>
      <c r="K433" s="45" t="inlineStr">
        <is>
          <t>Lv 59 Xatu</t>
        </is>
      </c>
      <c r="L433" s="46" t="n"/>
      <c r="M433" s="45" t="inlineStr">
        <is>
          <t>Lv 60 Lunatone</t>
        </is>
      </c>
      <c r="N433" s="46" t="n"/>
      <c r="O433" s="45" t="inlineStr">
        <is>
          <t>Lv 60 Solrock</t>
        </is>
      </c>
      <c r="P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Bad Dreams</t>
        </is>
      </c>
      <c r="G434" s="48" t="inlineStr">
        <is>
          <t>Hardy</t>
        </is>
      </c>
      <c r="H434" s="48" t="inlineStr">
        <is>
          <t>Levitate</t>
        </is>
      </c>
      <c r="I434" s="48" t="inlineStr">
        <is>
          <t>Hardy</t>
        </is>
      </c>
      <c r="J434" s="48" t="inlineStr">
        <is>
          <t>Simple</t>
        </is>
      </c>
      <c r="K434" s="48" t="inlineStr">
        <is>
          <t>Hardy</t>
        </is>
      </c>
      <c r="L434" s="48" t="inlineStr">
        <is>
          <t>Magic Guard</t>
        </is>
      </c>
      <c r="M434" s="48" t="inlineStr">
        <is>
          <t>Hardy</t>
        </is>
      </c>
      <c r="N434" s="48" t="inlineStr">
        <is>
          <t>Levitate</t>
        </is>
      </c>
      <c r="O434" s="48" t="inlineStr">
        <is>
          <t>Hardy</t>
        </is>
      </c>
      <c r="P434" s="48" t="inlineStr">
        <is>
          <t>Levitate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I435" s="49" t="inlineStr">
        <is>
          <t>(None)</t>
        </is>
      </c>
      <c r="J435" s="46" t="n"/>
      <c r="K435" s="49" t="inlineStr">
        <is>
          <t>Chesto Berry</t>
        </is>
      </c>
      <c r="L435" s="46" t="n"/>
      <c r="M435" s="49" t="inlineStr">
        <is>
          <t>Chesto Berry</t>
        </is>
      </c>
      <c r="N435" s="46" t="n"/>
      <c r="O435" s="49" t="inlineStr">
        <is>
          <t>Sitrus Berry</t>
        </is>
      </c>
      <c r="P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3" t="inlineStr">
        <is>
          <t>Hypnosis</t>
        </is>
      </c>
      <c r="F436" s="46" t="n"/>
      <c r="G436" s="53" t="inlineStr">
        <is>
          <t>Earthquake</t>
        </is>
      </c>
      <c r="H436" s="46" t="n"/>
      <c r="I436" s="51" t="inlineStr">
        <is>
          <t>Yawn</t>
        </is>
      </c>
      <c r="J436" s="46" t="n"/>
      <c r="K436" s="63" t="inlineStr">
        <is>
          <t>Psychic</t>
        </is>
      </c>
      <c r="L436" s="46" t="n"/>
      <c r="M436" s="53" t="inlineStr">
        <is>
          <t>Earthquake</t>
        </is>
      </c>
      <c r="N436" s="46" t="n"/>
      <c r="O436" s="58" t="inlineStr">
        <is>
          <t>Sunny Day</t>
        </is>
      </c>
      <c r="P436" s="46" t="n"/>
      <c r="Q436" s="47" t="inlineStr">
        <is>
          <t>Moves</t>
        </is>
      </c>
    </row>
    <row r="437">
      <c r="E437" s="63" t="inlineStr">
        <is>
          <t>Dream Eater</t>
        </is>
      </c>
      <c r="F437" s="46" t="n"/>
      <c r="G437" s="51" t="inlineStr">
        <is>
          <t>Explosion</t>
        </is>
      </c>
      <c r="H437" s="46" t="n"/>
      <c r="I437" s="63" t="inlineStr">
        <is>
          <t>Psychic</t>
        </is>
      </c>
      <c r="J437" s="46" t="n"/>
      <c r="K437" s="63" t="inlineStr">
        <is>
          <t>Rest</t>
        </is>
      </c>
      <c r="L437" s="46" t="n"/>
      <c r="M437" s="63" t="inlineStr">
        <is>
          <t>Psychic</t>
        </is>
      </c>
      <c r="N437" s="46" t="n"/>
      <c r="O437" s="59" t="inlineStr">
        <is>
          <t>Solar Beam</t>
        </is>
      </c>
      <c r="P437" s="46" t="n"/>
    </row>
    <row r="438">
      <c r="E438" s="51" t="inlineStr">
        <is>
          <t>Headbutt</t>
        </is>
      </c>
      <c r="F438" s="46" t="n"/>
      <c r="G438" s="63" t="inlineStr">
        <is>
          <t>Psychic</t>
        </is>
      </c>
      <c r="H438" s="46" t="n"/>
      <c r="I438" s="63" t="inlineStr">
        <is>
          <t>Calm Mind</t>
        </is>
      </c>
      <c r="J438" s="46" t="n"/>
      <c r="K438" s="67" t="inlineStr">
        <is>
          <t>Confuse Ray</t>
        </is>
      </c>
      <c r="L438" s="46" t="n"/>
      <c r="M438" s="63" t="inlineStr">
        <is>
          <t>Rest</t>
        </is>
      </c>
      <c r="N438" s="46" t="n"/>
      <c r="O438" s="63" t="inlineStr">
        <is>
          <t>Psychic</t>
        </is>
      </c>
      <c r="P438" s="46" t="n"/>
    </row>
    <row r="439">
      <c r="E439" s="51" t="inlineStr">
        <is>
          <t>Protect</t>
        </is>
      </c>
      <c r="F439" s="46" t="n"/>
      <c r="G439" s="63" t="inlineStr">
        <is>
          <t>Light Screen</t>
        </is>
      </c>
      <c r="H439" s="46" t="n"/>
      <c r="I439" s="51" t="inlineStr">
        <is>
          <t>Protect</t>
        </is>
      </c>
      <c r="J439" s="46" t="n"/>
      <c r="K439" s="63" t="inlineStr">
        <is>
          <t>Calm Mind</t>
        </is>
      </c>
      <c r="L439" s="46" t="n"/>
      <c r="M439" s="63" t="inlineStr">
        <is>
          <t>Calm Mind</t>
        </is>
      </c>
      <c r="N439" s="46" t="n"/>
      <c r="O439" s="58" t="inlineStr">
        <is>
          <t>Flamethrower</t>
        </is>
      </c>
      <c r="P439" s="46" t="n"/>
    </row>
    <row r="441" ht="20" customHeight="1">
      <c r="B441" s="40" t="inlineStr">
        <is>
          <t>Leader</t>
        </is>
      </c>
      <c r="C441" s="41" t="n"/>
      <c r="D441" s="41" t="n"/>
      <c r="E441" s="42" t="inlineStr">
        <is>
          <t>Leader Tate&amp;Liza (Rematch 4)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IFERROR(_xlfn.IMAGE("https://play.pokemonshowdown.com/sprites/gen5/hypno.png"),"")</f>
        <v/>
      </c>
      <c r="G442" s="43">
        <f>IFERROR(_xlfn.IMAGE("https://play.pokemonshowdown.com/sprites/gen5/claydol.png"),"")</f>
        <v/>
      </c>
      <c r="I442" s="43">
        <f>IFERROR(_xlfn.IMAGE("https://play.pokemonshowdown.com/sprites/gen5/slowking.png"),"")</f>
        <v/>
      </c>
      <c r="K442" s="43">
        <f>IFERROR(_xlfn.IMAGE("https://play.pokemonshowdown.com/sprites/gen5/xatu.png"),"")</f>
        <v/>
      </c>
      <c r="M442" s="43">
        <f>IFERROR(_xlfn.IMAGE("https://play.pokemonshowdown.com/sprites/gen5/lunatone.png"),"")</f>
        <v/>
      </c>
      <c r="O442" s="43">
        <f>IFERROR(_xlfn.IMAGE("https://play.pokemonshowdown.com/sprites/gen5/solrock.png"),"")</f>
        <v/>
      </c>
      <c r="Q442" s="44" t="inlineStr">
        <is>
          <t>DOUBLE BATTLE
Items: Full Restore / Full Restore / Full Restore</t>
        </is>
      </c>
    </row>
    <row r="443">
      <c r="E443" s="45" t="inlineStr">
        <is>
          <t>Lv 63 Hypno</t>
        </is>
      </c>
      <c r="F443" s="46" t="n"/>
      <c r="G443" s="45" t="inlineStr">
        <is>
          <t>Lv 64 Claydol</t>
        </is>
      </c>
      <c r="H443" s="46" t="n"/>
      <c r="I443" s="45" t="inlineStr">
        <is>
          <t>Lv 63 Slowking</t>
        </is>
      </c>
      <c r="J443" s="46" t="n"/>
      <c r="K443" s="45" t="inlineStr">
        <is>
          <t>Lv 64 Xatu</t>
        </is>
      </c>
      <c r="L443" s="46" t="n"/>
      <c r="M443" s="45" t="inlineStr">
        <is>
          <t>Lv 65 Lunatone</t>
        </is>
      </c>
      <c r="N443" s="46" t="n"/>
      <c r="O443" s="45" t="inlineStr">
        <is>
          <t>Lv 65 Solrock</t>
        </is>
      </c>
      <c r="P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Bad Dreams</t>
        </is>
      </c>
      <c r="G444" s="48" t="inlineStr">
        <is>
          <t>Hardy</t>
        </is>
      </c>
      <c r="H444" s="48" t="inlineStr">
        <is>
          <t>Levitate</t>
        </is>
      </c>
      <c r="I444" s="48" t="inlineStr">
        <is>
          <t>Hardy</t>
        </is>
      </c>
      <c r="J444" s="48" t="inlineStr">
        <is>
          <t>Simple</t>
        </is>
      </c>
      <c r="K444" s="48" t="inlineStr">
        <is>
          <t>Hardy</t>
        </is>
      </c>
      <c r="L444" s="48" t="inlineStr">
        <is>
          <t>Magic Guard</t>
        </is>
      </c>
      <c r="M444" s="48" t="inlineStr">
        <is>
          <t>Hardy</t>
        </is>
      </c>
      <c r="N444" s="48" t="inlineStr">
        <is>
          <t>Levitate</t>
        </is>
      </c>
      <c r="O444" s="48" t="inlineStr">
        <is>
          <t>Hardy</t>
        </is>
      </c>
      <c r="P444" s="48" t="inlineStr">
        <is>
          <t>Levitate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G445" s="49" t="inlineStr">
        <is>
          <t>(None)</t>
        </is>
      </c>
      <c r="H445" s="46" t="n"/>
      <c r="I445" s="49" t="inlineStr">
        <is>
          <t>(None)</t>
        </is>
      </c>
      <c r="J445" s="46" t="n"/>
      <c r="K445" s="49" t="inlineStr">
        <is>
          <t>Chesto Berry</t>
        </is>
      </c>
      <c r="L445" s="46" t="n"/>
      <c r="M445" s="49" t="inlineStr">
        <is>
          <t>Chesto Berry</t>
        </is>
      </c>
      <c r="N445" s="46" t="n"/>
      <c r="O445" s="49" t="inlineStr">
        <is>
          <t>Sitrus Berry</t>
        </is>
      </c>
      <c r="P445" s="46" t="n"/>
      <c r="Q445" s="47" t="inlineStr">
        <is>
          <t>Item</t>
        </is>
      </c>
    </row>
    <row r="446">
      <c r="B446" s="44" t="inlineStr">
        <is>
          <t>Smart Trainer</t>
        </is>
      </c>
      <c r="E446" s="63" t="inlineStr">
        <is>
          <t>Hypnosis</t>
        </is>
      </c>
      <c r="F446" s="46" t="n"/>
      <c r="G446" s="53" t="inlineStr">
        <is>
          <t>Earthquake</t>
        </is>
      </c>
      <c r="H446" s="46" t="n"/>
      <c r="I446" s="51" t="inlineStr">
        <is>
          <t>Yawn</t>
        </is>
      </c>
      <c r="J446" s="46" t="n"/>
      <c r="K446" s="63" t="inlineStr">
        <is>
          <t>Psychic</t>
        </is>
      </c>
      <c r="L446" s="46" t="n"/>
      <c r="M446" s="53" t="inlineStr">
        <is>
          <t>Earthquake</t>
        </is>
      </c>
      <c r="N446" s="46" t="n"/>
      <c r="O446" s="58" t="inlineStr">
        <is>
          <t>Sunny Day</t>
        </is>
      </c>
      <c r="P446" s="46" t="n"/>
      <c r="Q446" s="47" t="inlineStr">
        <is>
          <t>Moves</t>
        </is>
      </c>
    </row>
    <row r="447">
      <c r="E447" s="63" t="inlineStr">
        <is>
          <t>Dream Eater</t>
        </is>
      </c>
      <c r="F447" s="46" t="n"/>
      <c r="G447" s="51" t="inlineStr">
        <is>
          <t>Explosion</t>
        </is>
      </c>
      <c r="H447" s="46" t="n"/>
      <c r="I447" s="63" t="inlineStr">
        <is>
          <t>Psychic</t>
        </is>
      </c>
      <c r="J447" s="46" t="n"/>
      <c r="K447" s="63" t="inlineStr">
        <is>
          <t>Rest</t>
        </is>
      </c>
      <c r="L447" s="46" t="n"/>
      <c r="M447" s="63" t="inlineStr">
        <is>
          <t>Psychic</t>
        </is>
      </c>
      <c r="N447" s="46" t="n"/>
      <c r="O447" s="59" t="inlineStr">
        <is>
          <t>Solar Beam</t>
        </is>
      </c>
      <c r="P447" s="46" t="n"/>
    </row>
    <row r="448">
      <c r="E448" s="51" t="inlineStr">
        <is>
          <t>Headbutt</t>
        </is>
      </c>
      <c r="F448" s="46" t="n"/>
      <c r="G448" s="63" t="inlineStr">
        <is>
          <t>Psychic</t>
        </is>
      </c>
      <c r="H448" s="46" t="n"/>
      <c r="I448" s="63" t="inlineStr">
        <is>
          <t>Calm Mind</t>
        </is>
      </c>
      <c r="J448" s="46" t="n"/>
      <c r="K448" s="67" t="inlineStr">
        <is>
          <t>Confuse Ray</t>
        </is>
      </c>
      <c r="L448" s="46" t="n"/>
      <c r="M448" s="63" t="inlineStr">
        <is>
          <t>Rest</t>
        </is>
      </c>
      <c r="N448" s="46" t="n"/>
      <c r="O448" s="63" t="inlineStr">
        <is>
          <t>Psychic</t>
        </is>
      </c>
      <c r="P448" s="46" t="n"/>
    </row>
    <row r="449">
      <c r="E449" s="51" t="inlineStr">
        <is>
          <t>Protect</t>
        </is>
      </c>
      <c r="F449" s="46" t="n"/>
      <c r="G449" s="63" t="inlineStr">
        <is>
          <t>Light Screen</t>
        </is>
      </c>
      <c r="H449" s="46" t="n"/>
      <c r="I449" s="51" t="inlineStr">
        <is>
          <t>Protect</t>
        </is>
      </c>
      <c r="J449" s="46" t="n"/>
      <c r="K449" s="63" t="inlineStr">
        <is>
          <t>Calm Mind</t>
        </is>
      </c>
      <c r="L449" s="46" t="n"/>
      <c r="M449" s="63" t="inlineStr">
        <is>
          <t>Calm Mind</t>
        </is>
      </c>
      <c r="N449" s="46" t="n"/>
      <c r="O449" s="58" t="inlineStr">
        <is>
          <t>Flamethrower</t>
        </is>
      </c>
      <c r="P449" s="46" t="n"/>
    </row>
    <row r="451" ht="20" customHeight="1">
      <c r="B451" s="40" t="inlineStr">
        <is>
          <t>Leader</t>
        </is>
      </c>
      <c r="C451" s="41" t="n"/>
      <c r="D451" s="41" t="n"/>
      <c r="E451" s="42" t="inlineStr">
        <is>
          <t>Leader Wattson (Rematch 1)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IFERROR(_xlfn.IMAGE("https://play.pokemonshowdown.com/sprites/gen5/mareep.png"),"")</f>
        <v/>
      </c>
      <c r="G452" s="43">
        <f>IFERROR(_xlfn.IMAGE("https://play.pokemonshowdown.com/sprites/gen5/electrode.png"),"")</f>
        <v/>
      </c>
      <c r="I452" s="43">
        <f>IFERROR(_xlfn.IMAGE("https://play.pokemonshowdown.com/sprites/gen5/magneton.png"),"")</f>
        <v/>
      </c>
      <c r="K452" s="43">
        <f>IFERROR(_xlfn.IMAGE("https://play.pokemonshowdown.com/sprites/gen5/manectric.png"),"")</f>
        <v/>
      </c>
      <c r="Q452" s="44" t="inlineStr">
        <is>
          <t>DOUBLE BATTLE
Items: Full Restore / Full Restore / Full Restore</t>
        </is>
      </c>
    </row>
    <row r="453">
      <c r="E453" s="45" t="inlineStr">
        <is>
          <t>Lv 36 Mareep</t>
        </is>
      </c>
      <c r="F453" s="46" t="n"/>
      <c r="G453" s="45" t="inlineStr">
        <is>
          <t>Lv 36 Electrode</t>
        </is>
      </c>
      <c r="H453" s="46" t="n"/>
      <c r="I453" s="45" t="inlineStr">
        <is>
          <t>Lv 38 Magneton</t>
        </is>
      </c>
      <c r="J453" s="46" t="n"/>
      <c r="K453" s="45" t="inlineStr">
        <is>
          <t>Lv 40 Manectric</t>
        </is>
      </c>
      <c r="L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Static</t>
        </is>
      </c>
      <c r="G454" s="48" t="inlineStr">
        <is>
          <t>Hardy</t>
        </is>
      </c>
      <c r="H454" s="48" t="inlineStr">
        <is>
          <t>Aftermath</t>
        </is>
      </c>
      <c r="I454" s="48" t="inlineStr">
        <is>
          <t>Hardy</t>
        </is>
      </c>
      <c r="J454" s="48" t="inlineStr">
        <is>
          <t>Magnet Pull</t>
        </is>
      </c>
      <c r="K454" s="48" t="inlineStr">
        <is>
          <t>Hardy</t>
        </is>
      </c>
      <c r="L454" s="48" t="inlineStr">
        <is>
          <t>Lightning Rod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I455" s="49" t="inlineStr">
        <is>
          <t>Sitrus Berry</t>
        </is>
      </c>
      <c r="J455" s="46" t="n"/>
      <c r="K455" s="49" t="inlineStr">
        <is>
          <t>Sitrus Berry</t>
        </is>
      </c>
      <c r="L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2" t="inlineStr">
        <is>
          <t>Thunder</t>
        </is>
      </c>
      <c r="F456" s="46" t="n"/>
      <c r="G456" s="62" t="inlineStr">
        <is>
          <t>Rollout</t>
        </is>
      </c>
      <c r="H456" s="46" t="n"/>
      <c r="I456" s="51" t="inlineStr">
        <is>
          <t>Supersonic</t>
        </is>
      </c>
      <c r="J456" s="46" t="n"/>
      <c r="K456" s="50" t="inlineStr">
        <is>
          <t>Bite</t>
        </is>
      </c>
      <c r="L456" s="46" t="n"/>
      <c r="Q456" s="47" t="inlineStr">
        <is>
          <t>Moves</t>
        </is>
      </c>
    </row>
    <row r="457">
      <c r="E457" s="51" t="inlineStr">
        <is>
          <t>Protect</t>
        </is>
      </c>
      <c r="F457" s="46" t="n"/>
      <c r="G457" s="52" t="inlineStr">
        <is>
          <t>Thunder</t>
        </is>
      </c>
      <c r="H457" s="46" t="n"/>
      <c r="I457" s="51" t="inlineStr">
        <is>
          <t>Protect</t>
        </is>
      </c>
      <c r="J457" s="46" t="n"/>
      <c r="K457" s="52" t="inlineStr">
        <is>
          <t>Thunder Wave</t>
        </is>
      </c>
      <c r="L457" s="46" t="n"/>
    </row>
    <row r="458">
      <c r="E458" s="52" t="inlineStr">
        <is>
          <t>Thunder Wave</t>
        </is>
      </c>
      <c r="F458" s="46" t="n"/>
      <c r="G458" s="51" t="inlineStr">
        <is>
          <t>Explosion</t>
        </is>
      </c>
      <c r="H458" s="46" t="n"/>
      <c r="I458" s="52" t="inlineStr">
        <is>
          <t>Thunder</t>
        </is>
      </c>
      <c r="J458" s="46" t="n"/>
      <c r="K458" s="52" t="inlineStr">
        <is>
          <t>Thunder</t>
        </is>
      </c>
      <c r="L458" s="46" t="n"/>
    </row>
    <row r="459">
      <c r="E459" s="63" t="inlineStr">
        <is>
          <t>Light Screen</t>
        </is>
      </c>
      <c r="F459" s="46" t="n"/>
      <c r="G459" s="61" t="inlineStr">
        <is>
          <t>Rain Dance</t>
        </is>
      </c>
      <c r="H459" s="46" t="n"/>
      <c r="I459" s="61" t="inlineStr">
        <is>
          <t>Rain Dance</t>
        </is>
      </c>
      <c r="J459" s="46" t="n"/>
      <c r="K459" s="51" t="inlineStr">
        <is>
          <t>Protect</t>
        </is>
      </c>
      <c r="L459" s="46" t="n"/>
    </row>
    <row r="461" ht="20" customHeight="1">
      <c r="B461" s="40" t="inlineStr">
        <is>
          <t>Leader</t>
        </is>
      </c>
      <c r="C461" s="41" t="n"/>
      <c r="D461" s="41" t="n"/>
      <c r="E461" s="42" t="inlineStr">
        <is>
          <t>Leader Wattson (Rematch 2)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IFERROR(_xlfn.IMAGE("https://play.pokemonshowdown.com/sprites/gen5/pikachu.png"),"")</f>
        <v/>
      </c>
      <c r="G462" s="43">
        <f>IFERROR(_xlfn.IMAGE("https://play.pokemonshowdown.com/sprites/gen5/flaaffy.png"),"")</f>
        <v/>
      </c>
      <c r="I462" s="43">
        <f>IFERROR(_xlfn.IMAGE("https://play.pokemonshowdown.com/sprites/gen5/electrode.png"),"")</f>
        <v/>
      </c>
      <c r="K462" s="43">
        <f>IFERROR(_xlfn.IMAGE("https://play.pokemonshowdown.com/sprites/gen5/magneton.png"),"")</f>
        <v/>
      </c>
      <c r="M462" s="43">
        <f>IFERROR(_xlfn.IMAGE("https://play.pokemonshowdown.com/sprites/gen5/manectric.png"),"")</f>
        <v/>
      </c>
      <c r="Q462" s="44" t="inlineStr">
        <is>
          <t>DOUBLE BATTLE
Items: Full Restore / Full Restore / Full Restore</t>
        </is>
      </c>
    </row>
    <row r="463">
      <c r="E463" s="45" t="inlineStr">
        <is>
          <t>Lv 39 Pikachu</t>
        </is>
      </c>
      <c r="F463" s="46" t="n"/>
      <c r="G463" s="45" t="inlineStr">
        <is>
          <t>Lv 41 Flaaffy</t>
        </is>
      </c>
      <c r="H463" s="46" t="n"/>
      <c r="I463" s="45" t="inlineStr">
        <is>
          <t>Lv 41 Electrode</t>
        </is>
      </c>
      <c r="J463" s="46" t="n"/>
      <c r="K463" s="45" t="inlineStr">
        <is>
          <t>Lv 43 Magneton</t>
        </is>
      </c>
      <c r="L463" s="46" t="n"/>
      <c r="M463" s="45" t="inlineStr">
        <is>
          <t>Lv 45 Manectric</t>
        </is>
      </c>
      <c r="N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Reckless</t>
        </is>
      </c>
      <c r="G464" s="48" t="inlineStr">
        <is>
          <t>Hardy</t>
        </is>
      </c>
      <c r="H464" s="48" t="inlineStr">
        <is>
          <t>Static</t>
        </is>
      </c>
      <c r="I464" s="48" t="inlineStr">
        <is>
          <t>Hardy</t>
        </is>
      </c>
      <c r="J464" s="48" t="inlineStr">
        <is>
          <t>Aftermath</t>
        </is>
      </c>
      <c r="K464" s="48" t="inlineStr">
        <is>
          <t>Hardy</t>
        </is>
      </c>
      <c r="L464" s="48" t="inlineStr">
        <is>
          <t>Magnet Pull</t>
        </is>
      </c>
      <c r="M464" s="48" t="inlineStr">
        <is>
          <t>Hardy</t>
        </is>
      </c>
      <c r="N464" s="48" t="inlineStr">
        <is>
          <t>Lightning Rod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G465" s="49" t="inlineStr">
        <is>
          <t>(None)</t>
        </is>
      </c>
      <c r="H465" s="46" t="n"/>
      <c r="I465" s="49" t="inlineStr">
        <is>
          <t>(None)</t>
        </is>
      </c>
      <c r="J465" s="46" t="n"/>
      <c r="K465" s="49" t="inlineStr">
        <is>
          <t>Sitrus Berry</t>
        </is>
      </c>
      <c r="L465" s="46" t="n"/>
      <c r="M465" s="49" t="inlineStr">
        <is>
          <t>Sitrus Berry</t>
        </is>
      </c>
      <c r="N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2" t="inlineStr">
        <is>
          <t>Thunder</t>
        </is>
      </c>
      <c r="F466" s="46" t="n"/>
      <c r="G466" s="52" t="inlineStr">
        <is>
          <t>Thunder</t>
        </is>
      </c>
      <c r="H466" s="46" t="n"/>
      <c r="I466" s="62" t="inlineStr">
        <is>
          <t>Rollout</t>
        </is>
      </c>
      <c r="J466" s="46" t="n"/>
      <c r="K466" s="51" t="inlineStr">
        <is>
          <t>Supersonic</t>
        </is>
      </c>
      <c r="L466" s="46" t="n"/>
      <c r="M466" s="50" t="inlineStr">
        <is>
          <t>Bite</t>
        </is>
      </c>
      <c r="N466" s="46" t="n"/>
      <c r="Q466" s="47" t="inlineStr">
        <is>
          <t>Moves</t>
        </is>
      </c>
    </row>
    <row r="467">
      <c r="E467" s="51" t="inlineStr">
        <is>
          <t>Slam</t>
        </is>
      </c>
      <c r="F467" s="46" t="n"/>
      <c r="G467" s="51" t="inlineStr">
        <is>
          <t>Protect</t>
        </is>
      </c>
      <c r="H467" s="46" t="n"/>
      <c r="I467" s="52" t="inlineStr">
        <is>
          <t>Thunder</t>
        </is>
      </c>
      <c r="J467" s="46" t="n"/>
      <c r="K467" s="51" t="inlineStr">
        <is>
          <t>Protect</t>
        </is>
      </c>
      <c r="L467" s="46" t="n"/>
      <c r="M467" s="52" t="inlineStr">
        <is>
          <t>Thunder Wave</t>
        </is>
      </c>
      <c r="N467" s="46" t="n"/>
    </row>
    <row r="468">
      <c r="E468" s="61" t="inlineStr">
        <is>
          <t>Rain Dance</t>
        </is>
      </c>
      <c r="F468" s="46" t="n"/>
      <c r="G468" s="52" t="inlineStr">
        <is>
          <t>Thunder Wave</t>
        </is>
      </c>
      <c r="H468" s="46" t="n"/>
      <c r="I468" s="51" t="inlineStr">
        <is>
          <t>Explosion</t>
        </is>
      </c>
      <c r="J468" s="46" t="n"/>
      <c r="K468" s="52" t="inlineStr">
        <is>
          <t>Thunder</t>
        </is>
      </c>
      <c r="L468" s="46" t="n"/>
      <c r="M468" s="52" t="inlineStr">
        <is>
          <t>Thunder</t>
        </is>
      </c>
      <c r="N468" s="46" t="n"/>
    </row>
    <row r="469">
      <c r="E469" s="52" t="inlineStr">
        <is>
          <t>Shock Wave</t>
        </is>
      </c>
      <c r="F469" s="46" t="n"/>
      <c r="G469" s="63" t="inlineStr">
        <is>
          <t>Light Screen</t>
        </is>
      </c>
      <c r="H469" s="46" t="n"/>
      <c r="I469" s="61" t="inlineStr">
        <is>
          <t>Rain Dance</t>
        </is>
      </c>
      <c r="J469" s="46" t="n"/>
      <c r="K469" s="61" t="inlineStr">
        <is>
          <t>Rain Dance</t>
        </is>
      </c>
      <c r="L469" s="46" t="n"/>
      <c r="M469" s="51" t="inlineStr">
        <is>
          <t>Protect</t>
        </is>
      </c>
      <c r="N469" s="46" t="n"/>
    </row>
    <row r="471" ht="20" customHeight="1">
      <c r="B471" s="40" t="inlineStr">
        <is>
          <t>Leader</t>
        </is>
      </c>
      <c r="C471" s="41" t="n"/>
      <c r="D471" s="41" t="n"/>
      <c r="E471" s="42" t="inlineStr">
        <is>
          <t>Leader Wattson (Rematch 3)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IFERROR(_xlfn.IMAGE("https://play.pokemonshowdown.com/sprites/gen5/raichu.png"),"")</f>
        <v/>
      </c>
      <c r="G472" s="43">
        <f>IFERROR(_xlfn.IMAGE("https://play.pokemonshowdown.com/sprites/gen5/ampharos.png"),"")</f>
        <v/>
      </c>
      <c r="I472" s="43">
        <f>IFERROR(_xlfn.IMAGE("https://play.pokemonshowdown.com/sprites/gen5/electrode.png"),"")</f>
        <v/>
      </c>
      <c r="K472" s="43">
        <f>IFERROR(_xlfn.IMAGE("https://play.pokemonshowdown.com/sprites/gen5/magneton.png"),"")</f>
        <v/>
      </c>
      <c r="M472" s="43">
        <f>IFERROR(_xlfn.IMAGE("https://play.pokemonshowdown.com/sprites/gen5/manectric.png"),"")</f>
        <v/>
      </c>
      <c r="Q472" s="44" t="inlineStr">
        <is>
          <t>DOUBLE BATTLE
Items: Full Restore / Full Restore / Full Restore</t>
        </is>
      </c>
    </row>
    <row r="473">
      <c r="E473" s="45" t="inlineStr">
        <is>
          <t>Lv 44 Raichu</t>
        </is>
      </c>
      <c r="F473" s="46" t="n"/>
      <c r="G473" s="45" t="inlineStr">
        <is>
          <t>Lv 46 Ampharos</t>
        </is>
      </c>
      <c r="H473" s="46" t="n"/>
      <c r="I473" s="45" t="inlineStr">
        <is>
          <t>Lv 46 Electrode</t>
        </is>
      </c>
      <c r="J473" s="46" t="n"/>
      <c r="K473" s="45" t="inlineStr">
        <is>
          <t>Lv 48 Magneton</t>
        </is>
      </c>
      <c r="L473" s="46" t="n"/>
      <c r="M473" s="45" t="inlineStr">
        <is>
          <t>Lv 50 Manectric</t>
        </is>
      </c>
      <c r="N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Lightning Rod</t>
        </is>
      </c>
      <c r="G474" s="48" t="inlineStr">
        <is>
          <t>Hardy</t>
        </is>
      </c>
      <c r="H474" s="48" t="inlineStr">
        <is>
          <t>No Guard</t>
        </is>
      </c>
      <c r="I474" s="48" t="inlineStr">
        <is>
          <t>Hardy</t>
        </is>
      </c>
      <c r="J474" s="48" t="inlineStr">
        <is>
          <t>Aftermath</t>
        </is>
      </c>
      <c r="K474" s="48" t="inlineStr">
        <is>
          <t>Hardy</t>
        </is>
      </c>
      <c r="L474" s="48" t="inlineStr">
        <is>
          <t>Magnet Pull</t>
        </is>
      </c>
      <c r="M474" s="48" t="inlineStr">
        <is>
          <t>Hardy</t>
        </is>
      </c>
      <c r="N474" s="48" t="inlineStr">
        <is>
          <t>Lightning Rod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I475" s="49" t="inlineStr">
        <is>
          <t>(None)</t>
        </is>
      </c>
      <c r="J475" s="46" t="n"/>
      <c r="K475" s="49" t="inlineStr">
        <is>
          <t>Sitrus Berry</t>
        </is>
      </c>
      <c r="L475" s="46" t="n"/>
      <c r="M475" s="49" t="inlineStr">
        <is>
          <t>Sitrus Berry</t>
        </is>
      </c>
      <c r="N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2" t="inlineStr">
        <is>
          <t>Thunder</t>
        </is>
      </c>
      <c r="F476" s="46" t="n"/>
      <c r="G476" s="52" t="inlineStr">
        <is>
          <t>Thunder</t>
        </is>
      </c>
      <c r="H476" s="46" t="n"/>
      <c r="I476" s="62" t="inlineStr">
        <is>
          <t>Rollout</t>
        </is>
      </c>
      <c r="J476" s="46" t="n"/>
      <c r="K476" s="51" t="inlineStr">
        <is>
          <t>Supersonic</t>
        </is>
      </c>
      <c r="L476" s="46" t="n"/>
      <c r="M476" s="50" t="inlineStr">
        <is>
          <t>Bite</t>
        </is>
      </c>
      <c r="N476" s="46" t="n"/>
      <c r="Q476" s="47" t="inlineStr">
        <is>
          <t>Moves</t>
        </is>
      </c>
    </row>
    <row r="477">
      <c r="E477" s="51" t="inlineStr">
        <is>
          <t>Slam</t>
        </is>
      </c>
      <c r="F477" s="46" t="n"/>
      <c r="G477" s="51" t="inlineStr">
        <is>
          <t>Protect</t>
        </is>
      </c>
      <c r="H477" s="46" t="n"/>
      <c r="I477" s="52" t="inlineStr">
        <is>
          <t>Thunder</t>
        </is>
      </c>
      <c r="J477" s="46" t="n"/>
      <c r="K477" s="51" t="inlineStr">
        <is>
          <t>Protect</t>
        </is>
      </c>
      <c r="L477" s="46" t="n"/>
      <c r="M477" s="52" t="inlineStr">
        <is>
          <t>Thunder Wave</t>
        </is>
      </c>
      <c r="N477" s="46" t="n"/>
    </row>
    <row r="478">
      <c r="E478" s="61" t="inlineStr">
        <is>
          <t>Rain Dance</t>
        </is>
      </c>
      <c r="F478" s="46" t="n"/>
      <c r="G478" s="52" t="inlineStr">
        <is>
          <t>Thunder Wave</t>
        </is>
      </c>
      <c r="H478" s="46" t="n"/>
      <c r="I478" s="51" t="inlineStr">
        <is>
          <t>Explosion</t>
        </is>
      </c>
      <c r="J478" s="46" t="n"/>
      <c r="K478" s="52" t="inlineStr">
        <is>
          <t>Thunder</t>
        </is>
      </c>
      <c r="L478" s="46" t="n"/>
      <c r="M478" s="52" t="inlineStr">
        <is>
          <t>Thunder</t>
        </is>
      </c>
      <c r="N478" s="46" t="n"/>
    </row>
    <row r="479">
      <c r="E479" s="51" t="inlineStr">
        <is>
          <t>Protect</t>
        </is>
      </c>
      <c r="F479" s="46" t="n"/>
      <c r="G479" s="63" t="inlineStr">
        <is>
          <t>Light Screen</t>
        </is>
      </c>
      <c r="H479" s="46" t="n"/>
      <c r="I479" s="61" t="inlineStr">
        <is>
          <t>Rain Dance</t>
        </is>
      </c>
      <c r="J479" s="46" t="n"/>
      <c r="K479" s="61" t="inlineStr">
        <is>
          <t>Rain Dance</t>
        </is>
      </c>
      <c r="L479" s="46" t="n"/>
      <c r="M479" s="51" t="inlineStr">
        <is>
          <t>Protect</t>
        </is>
      </c>
      <c r="N479" s="46" t="n"/>
    </row>
    <row r="481" ht="20" customHeight="1">
      <c r="B481" s="40" t="inlineStr">
        <is>
          <t>Leader</t>
        </is>
      </c>
      <c r="C481" s="41" t="n"/>
      <c r="D481" s="41" t="n"/>
      <c r="E481" s="42" t="inlineStr">
        <is>
          <t>Leader Wattson (Rematch 4)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IFERROR(_xlfn.IMAGE("https://play.pokemonshowdown.com/sprites/gen5/electabuzz.png"),"")</f>
        <v/>
      </c>
      <c r="G482" s="43">
        <f>IFERROR(_xlfn.IMAGE("https://play.pokemonshowdown.com/sprites/gen5/raichu.png"),"")</f>
        <v/>
      </c>
      <c r="I482" s="43">
        <f>IFERROR(_xlfn.IMAGE("https://play.pokemonshowdown.com/sprites/gen5/ampharos.png"),"")</f>
        <v/>
      </c>
      <c r="K482" s="43">
        <f>IFERROR(_xlfn.IMAGE("https://play.pokemonshowdown.com/sprites/gen5/electrode.png"),"")</f>
        <v/>
      </c>
      <c r="M482" s="43">
        <f>IFERROR(_xlfn.IMAGE("https://play.pokemonshowdown.com/sprites/gen5/magneton.png"),"")</f>
        <v/>
      </c>
      <c r="O482" s="43">
        <f>IFERROR(_xlfn.IMAGE("https://play.pokemonshowdown.com/sprites/gen5/manectric.png"),"")</f>
        <v/>
      </c>
      <c r="Q482" s="44" t="inlineStr">
        <is>
          <t>DOUBLE BATTLE
Items: Full Restore / Full Restore / Full Restore</t>
        </is>
      </c>
    </row>
    <row r="483">
      <c r="E483" s="45" t="inlineStr">
        <is>
          <t>Lv 50 Electabuzz</t>
        </is>
      </c>
      <c r="F483" s="46" t="n"/>
      <c r="G483" s="45" t="inlineStr">
        <is>
          <t>Lv 51 Raichu</t>
        </is>
      </c>
      <c r="H483" s="46" t="n"/>
      <c r="I483" s="45" t="inlineStr">
        <is>
          <t>Lv 51 Ampharos</t>
        </is>
      </c>
      <c r="J483" s="46" t="n"/>
      <c r="K483" s="45" t="inlineStr">
        <is>
          <t>Lv 53 Electrode</t>
        </is>
      </c>
      <c r="L483" s="46" t="n"/>
      <c r="M483" s="45" t="inlineStr">
        <is>
          <t>Lv 53 Magneton</t>
        </is>
      </c>
      <c r="N483" s="46" t="n"/>
      <c r="O483" s="45" t="inlineStr">
        <is>
          <t>Lv 55 Manectric</t>
        </is>
      </c>
      <c r="P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Static</t>
        </is>
      </c>
      <c r="G484" s="48" t="inlineStr">
        <is>
          <t>Hardy</t>
        </is>
      </c>
      <c r="H484" s="48" t="inlineStr">
        <is>
          <t>Lightning Rod</t>
        </is>
      </c>
      <c r="I484" s="48" t="inlineStr">
        <is>
          <t>Hardy</t>
        </is>
      </c>
      <c r="J484" s="48" t="inlineStr">
        <is>
          <t>No Guard</t>
        </is>
      </c>
      <c r="K484" s="48" t="inlineStr">
        <is>
          <t>Hardy</t>
        </is>
      </c>
      <c r="L484" s="48" t="inlineStr">
        <is>
          <t>Aftermath</t>
        </is>
      </c>
      <c r="M484" s="48" t="inlineStr">
        <is>
          <t>Hardy</t>
        </is>
      </c>
      <c r="N484" s="48" t="inlineStr">
        <is>
          <t>Magnet Pull</t>
        </is>
      </c>
      <c r="O484" s="48" t="inlineStr">
        <is>
          <t>Hardy</t>
        </is>
      </c>
      <c r="P484" s="48" t="inlineStr">
        <is>
          <t>Lightning Rod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I485" s="49" t="inlineStr">
        <is>
          <t>(None)</t>
        </is>
      </c>
      <c r="J485" s="46" t="n"/>
      <c r="K485" s="49" t="inlineStr">
        <is>
          <t>(None)</t>
        </is>
      </c>
      <c r="L485" s="46" t="n"/>
      <c r="M485" s="49" t="inlineStr">
        <is>
          <t>Sitrus Berry</t>
        </is>
      </c>
      <c r="N485" s="46" t="n"/>
      <c r="O485" s="49" t="inlineStr">
        <is>
          <t>Sitrus Berry</t>
        </is>
      </c>
      <c r="P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Swift</t>
        </is>
      </c>
      <c r="F486" s="46" t="n"/>
      <c r="G486" s="52" t="inlineStr">
        <is>
          <t>Thunder</t>
        </is>
      </c>
      <c r="H486" s="46" t="n"/>
      <c r="I486" s="52" t="inlineStr">
        <is>
          <t>Thunder</t>
        </is>
      </c>
      <c r="J486" s="46" t="n"/>
      <c r="K486" s="62" t="inlineStr">
        <is>
          <t>Rollout</t>
        </is>
      </c>
      <c r="L486" s="46" t="n"/>
      <c r="M486" s="51" t="inlineStr">
        <is>
          <t>Supersonic</t>
        </is>
      </c>
      <c r="N486" s="46" t="n"/>
      <c r="O486" s="50" t="inlineStr">
        <is>
          <t>Bite</t>
        </is>
      </c>
      <c r="P486" s="46" t="n"/>
      <c r="Q486" s="47" t="inlineStr">
        <is>
          <t>Moves</t>
        </is>
      </c>
    </row>
    <row r="487">
      <c r="E487" s="65" t="inlineStr">
        <is>
          <t>Focus Punch</t>
        </is>
      </c>
      <c r="F487" s="46" t="n"/>
      <c r="G487" s="51" t="inlineStr">
        <is>
          <t>Slam</t>
        </is>
      </c>
      <c r="H487" s="46" t="n"/>
      <c r="I487" s="51" t="inlineStr">
        <is>
          <t>Protect</t>
        </is>
      </c>
      <c r="J487" s="46" t="n"/>
      <c r="K487" s="52" t="inlineStr">
        <is>
          <t>Thunder</t>
        </is>
      </c>
      <c r="L487" s="46" t="n"/>
      <c r="M487" s="51" t="inlineStr">
        <is>
          <t>Protect</t>
        </is>
      </c>
      <c r="N487" s="46" t="n"/>
      <c r="O487" s="52" t="inlineStr">
        <is>
          <t>Thunder Wave</t>
        </is>
      </c>
      <c r="P487" s="46" t="n"/>
    </row>
    <row r="488">
      <c r="E488" s="52" t="inlineStr">
        <is>
          <t>Thunder Punch</t>
        </is>
      </c>
      <c r="F488" s="46" t="n"/>
      <c r="G488" s="61" t="inlineStr">
        <is>
          <t>Rain Dance</t>
        </is>
      </c>
      <c r="H488" s="46" t="n"/>
      <c r="I488" s="52" t="inlineStr">
        <is>
          <t>Thunder Wave</t>
        </is>
      </c>
      <c r="J488" s="46" t="n"/>
      <c r="K488" s="51" t="inlineStr">
        <is>
          <t>Explosion</t>
        </is>
      </c>
      <c r="L488" s="46" t="n"/>
      <c r="M488" s="52" t="inlineStr">
        <is>
          <t>Thunder</t>
        </is>
      </c>
      <c r="N488" s="46" t="n"/>
      <c r="O488" s="52" t="inlineStr">
        <is>
          <t>Thunder</t>
        </is>
      </c>
      <c r="P488" s="46" t="n"/>
    </row>
    <row r="489">
      <c r="E489" s="63" t="inlineStr">
        <is>
          <t>Light Screen</t>
        </is>
      </c>
      <c r="F489" s="46" t="n"/>
      <c r="G489" s="51" t="inlineStr">
        <is>
          <t>Protect</t>
        </is>
      </c>
      <c r="H489" s="46" t="n"/>
      <c r="I489" s="63" t="inlineStr">
        <is>
          <t>Light Screen</t>
        </is>
      </c>
      <c r="J489" s="46" t="n"/>
      <c r="K489" s="61" t="inlineStr">
        <is>
          <t>Rain Dance</t>
        </is>
      </c>
      <c r="L489" s="46" t="n"/>
      <c r="M489" s="61" t="inlineStr">
        <is>
          <t>Rain Dance</t>
        </is>
      </c>
      <c r="N489" s="46" t="n"/>
      <c r="O489" s="51" t="inlineStr">
        <is>
          <t>Protect</t>
        </is>
      </c>
      <c r="P489" s="46" t="n"/>
    </row>
    <row r="491" ht="20" customHeight="1">
      <c r="B491" s="40" t="inlineStr">
        <is>
          <t>Leader</t>
        </is>
      </c>
      <c r="C491" s="41" t="n"/>
      <c r="D491" s="41" t="n"/>
      <c r="E491" s="42" t="inlineStr">
        <is>
          <t>Leader Winona (Rematch 1)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IFERROR(_xlfn.IMAGE("https://play.pokemonshowdown.com/sprites/gen5/dratini.png"),"")</f>
        <v/>
      </c>
      <c r="G492" s="43">
        <f>IFERROR(_xlfn.IMAGE("https://play.pokemonshowdown.com/sprites/gen5/tropius.png"),"")</f>
        <v/>
      </c>
      <c r="I492" s="43">
        <f>IFERROR(_xlfn.IMAGE("https://play.pokemonshowdown.com/sprites/gen5/pelipper.png"),"")</f>
        <v/>
      </c>
      <c r="K492" s="43">
        <f>IFERROR(_xlfn.IMAGE("https://play.pokemonshowdown.com/sprites/gen5/skarmory.png"),"")</f>
        <v/>
      </c>
      <c r="M492" s="43">
        <f>IFERROR(_xlfn.IMAGE("https://play.pokemonshowdown.com/sprites/gen5/altaria.png"),"")</f>
        <v/>
      </c>
      <c r="Q492" s="44" t="inlineStr">
        <is>
          <t>DOUBLE BATTLE
Items: Full Restore / Full Restore / Full Restore</t>
        </is>
      </c>
    </row>
    <row r="493">
      <c r="E493" s="45" t="inlineStr">
        <is>
          <t>Lv 40 Dratini</t>
        </is>
      </c>
      <c r="F493" s="46" t="n"/>
      <c r="G493" s="45" t="inlineStr">
        <is>
          <t>Lv 38 Tropius</t>
        </is>
      </c>
      <c r="H493" s="46" t="n"/>
      <c r="I493" s="45" t="inlineStr">
        <is>
          <t>Lv 41 Pelipper</t>
        </is>
      </c>
      <c r="J493" s="46" t="n"/>
      <c r="K493" s="45" t="inlineStr">
        <is>
          <t>Lv 43 Skarmory</t>
        </is>
      </c>
      <c r="L493" s="46" t="n"/>
      <c r="M493" s="45" t="inlineStr">
        <is>
          <t>Lv 45 Altaria</t>
        </is>
      </c>
      <c r="N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Shed Skin</t>
        </is>
      </c>
      <c r="G494" s="48" t="inlineStr">
        <is>
          <t>Hardy</t>
        </is>
      </c>
      <c r="H494" s="48" t="inlineStr">
        <is>
          <t>Chlorophyll</t>
        </is>
      </c>
      <c r="I494" s="48" t="inlineStr">
        <is>
          <t>Hardy</t>
        </is>
      </c>
      <c r="J494" s="48" t="inlineStr">
        <is>
          <t>Unburden</t>
        </is>
      </c>
      <c r="K494" s="48" t="inlineStr">
        <is>
          <t>Hardy</t>
        </is>
      </c>
      <c r="L494" s="48" t="inlineStr">
        <is>
          <t>Filter</t>
        </is>
      </c>
      <c r="M494" s="48" t="inlineStr">
        <is>
          <t>Hardy</t>
        </is>
      </c>
      <c r="N494" s="48" t="inlineStr">
        <is>
          <t>Serene Grace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Sitrus Berry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Chesto Berry</t>
        </is>
      </c>
      <c r="N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2" t="inlineStr">
        <is>
          <t>Thunder Wave</t>
        </is>
      </c>
      <c r="F496" s="46" t="n"/>
      <c r="G496" s="58" t="inlineStr">
        <is>
          <t>Sunny Day</t>
        </is>
      </c>
      <c r="H496" s="46" t="n"/>
      <c r="I496" s="61" t="inlineStr">
        <is>
          <t>Surf</t>
        </is>
      </c>
      <c r="J496" s="46" t="n"/>
      <c r="K496" s="51" t="inlineStr">
        <is>
          <t>Whirlwind</t>
        </is>
      </c>
      <c r="L496" s="46" t="n"/>
      <c r="M496" s="60" t="inlineStr">
        <is>
          <t>Aerial Ace</t>
        </is>
      </c>
      <c r="N496" s="46" t="n"/>
      <c r="Q496" s="47" t="inlineStr">
        <is>
          <t>Moves</t>
        </is>
      </c>
    </row>
    <row r="497">
      <c r="E497" s="52" t="inlineStr">
        <is>
          <t>Thunderbolt</t>
        </is>
      </c>
      <c r="F497" s="46" t="n"/>
      <c r="G497" s="60" t="inlineStr">
        <is>
          <t>Aerial Ace</t>
        </is>
      </c>
      <c r="H497" s="46" t="n"/>
      <c r="I497" s="51" t="inlineStr">
        <is>
          <t>Supersonic</t>
        </is>
      </c>
      <c r="J497" s="46" t="n"/>
      <c r="K497" s="53" t="inlineStr">
        <is>
          <t>Spikes</t>
        </is>
      </c>
      <c r="L497" s="46" t="n"/>
      <c r="M497" s="63" t="inlineStr">
        <is>
          <t>Rest</t>
        </is>
      </c>
      <c r="N497" s="46" t="n"/>
    </row>
    <row r="498">
      <c r="E498" s="51" t="inlineStr">
        <is>
          <t>Protect</t>
        </is>
      </c>
      <c r="F498" s="46" t="n"/>
      <c r="G498" s="59" t="inlineStr">
        <is>
          <t>Solar Beam</t>
        </is>
      </c>
      <c r="H498" s="46" t="n"/>
      <c r="I498" s="51" t="inlineStr">
        <is>
          <t>Protect</t>
        </is>
      </c>
      <c r="J498" s="46" t="n"/>
      <c r="K498" s="66" t="inlineStr">
        <is>
          <t>Steel Wing</t>
        </is>
      </c>
      <c r="L498" s="46" t="n"/>
      <c r="M498" s="68" t="inlineStr">
        <is>
          <t>Dragon Dance</t>
        </is>
      </c>
      <c r="N498" s="46" t="n"/>
    </row>
    <row r="499">
      <c r="E499" s="64" t="inlineStr">
        <is>
          <t>Ice Beam</t>
        </is>
      </c>
      <c r="F499" s="46" t="n"/>
      <c r="G499" s="53" t="inlineStr">
        <is>
          <t>Earthquake</t>
        </is>
      </c>
      <c r="H499" s="46" t="n"/>
      <c r="I499" s="60" t="inlineStr">
        <is>
          <t>Aerial Ace</t>
        </is>
      </c>
      <c r="J499" s="46" t="n"/>
      <c r="K499" s="60" t="inlineStr">
        <is>
          <t>Aerial Ace</t>
        </is>
      </c>
      <c r="L499" s="46" t="n"/>
      <c r="M499" s="53" t="inlineStr">
        <is>
          <t>Earthquake</t>
        </is>
      </c>
      <c r="N499" s="46" t="n"/>
    </row>
    <row r="501" ht="20" customHeight="1">
      <c r="B501" s="40" t="inlineStr">
        <is>
          <t>Leader</t>
        </is>
      </c>
      <c r="C501" s="41" t="n"/>
      <c r="D501" s="41" t="n"/>
      <c r="E501" s="42" t="inlineStr">
        <is>
          <t>Leader Winona (Rematch 2)</t>
        </is>
      </c>
      <c r="F501" s="41" t="n"/>
      <c r="G501" s="41" t="n"/>
      <c r="H501" s="41" t="n"/>
      <c r="I501" s="41" t="n"/>
      <c r="J501" s="41" t="n"/>
      <c r="K501" s="41" t="n"/>
      <c r="L501" s="41" t="n"/>
      <c r="M501" s="41" t="n"/>
      <c r="N501" s="41" t="n"/>
      <c r="O501" s="41" t="n"/>
      <c r="P501" s="41" t="n"/>
      <c r="Q501" s="41" t="n"/>
    </row>
    <row r="502" ht="69" customHeight="1">
      <c r="E502" s="43">
        <f>IFERROR(_xlfn.IMAGE("https://play.pokemonshowdown.com/sprites/gen5/hoothoot.png"),"")</f>
        <v/>
      </c>
      <c r="G502" s="43">
        <f>IFERROR(_xlfn.IMAGE("https://play.pokemonshowdown.com/sprites/gen5/tropius.png"),"")</f>
        <v/>
      </c>
      <c r="I502" s="43">
        <f>IFERROR(_xlfn.IMAGE("https://play.pokemonshowdown.com/sprites/gen5/dragonair.png"),"")</f>
        <v/>
      </c>
      <c r="K502" s="43">
        <f>IFERROR(_xlfn.IMAGE("https://play.pokemonshowdown.com/sprites/gen5/pelipper.png"),"")</f>
        <v/>
      </c>
      <c r="M502" s="43">
        <f>IFERROR(_xlfn.IMAGE("https://play.pokemonshowdown.com/sprites/gen5/skarmory.png"),"")</f>
        <v/>
      </c>
      <c r="O502" s="43">
        <f>IFERROR(_xlfn.IMAGE("https://play.pokemonshowdown.com/sprites/gen5/altaria.png"),"")</f>
        <v/>
      </c>
      <c r="Q502" s="44" t="inlineStr">
        <is>
          <t>DOUBLE BATTLE
Items: Full Restore / Full Restore / Full Restore</t>
        </is>
      </c>
    </row>
    <row r="503">
      <c r="E503" s="45" t="inlineStr">
        <is>
          <t>Lv 43 Hoothoot</t>
        </is>
      </c>
      <c r="F503" s="46" t="n"/>
      <c r="G503" s="45" t="inlineStr">
        <is>
          <t>Lv 43 Tropius</t>
        </is>
      </c>
      <c r="H503" s="46" t="n"/>
      <c r="I503" s="45" t="inlineStr">
        <is>
          <t>Lv 45 Dragonair</t>
        </is>
      </c>
      <c r="J503" s="46" t="n"/>
      <c r="K503" s="45" t="inlineStr">
        <is>
          <t>Lv 46 Pelipper</t>
        </is>
      </c>
      <c r="L503" s="46" t="n"/>
      <c r="M503" s="45" t="inlineStr">
        <is>
          <t>Lv 48 Skarmory</t>
        </is>
      </c>
      <c r="N503" s="46" t="n"/>
      <c r="O503" s="45" t="inlineStr">
        <is>
          <t>Lv 50 Altaria</t>
        </is>
      </c>
      <c r="P503" s="46" t="n"/>
      <c r="Q503" s="47" t="inlineStr">
        <is>
          <t>Pokémon</t>
        </is>
      </c>
    </row>
    <row r="504">
      <c r="E504" s="48" t="inlineStr">
        <is>
          <t>Hardy</t>
        </is>
      </c>
      <c r="F504" s="48" t="inlineStr">
        <is>
          <t>Insomnia</t>
        </is>
      </c>
      <c r="G504" s="48" t="inlineStr">
        <is>
          <t>Hardy</t>
        </is>
      </c>
      <c r="H504" s="48" t="inlineStr">
        <is>
          <t>Chlorophyll</t>
        </is>
      </c>
      <c r="I504" s="48" t="inlineStr">
        <is>
          <t>Hardy</t>
        </is>
      </c>
      <c r="J504" s="48" t="inlineStr">
        <is>
          <t>Shed Skin</t>
        </is>
      </c>
      <c r="K504" s="48" t="inlineStr">
        <is>
          <t>Hardy</t>
        </is>
      </c>
      <c r="L504" s="48" t="inlineStr">
        <is>
          <t>Unburden</t>
        </is>
      </c>
      <c r="M504" s="48" t="inlineStr">
        <is>
          <t>Hardy</t>
        </is>
      </c>
      <c r="N504" s="48" t="inlineStr">
        <is>
          <t>Filter</t>
        </is>
      </c>
      <c r="O504" s="48" t="inlineStr">
        <is>
          <t>Hardy</t>
        </is>
      </c>
      <c r="P504" s="48" t="inlineStr">
        <is>
          <t>Serene Grace</t>
        </is>
      </c>
      <c r="Q504" s="47" t="inlineStr">
        <is>
          <t>Nature / Ability</t>
        </is>
      </c>
    </row>
    <row r="505">
      <c r="B505" s="47" t="inlineStr">
        <is>
          <t>AI Flags:</t>
        </is>
      </c>
      <c r="E505" s="49" t="inlineStr">
        <is>
          <t>(None)</t>
        </is>
      </c>
      <c r="F505" s="46" t="n"/>
      <c r="G505" s="49" t="inlineStr">
        <is>
          <t>(None)</t>
        </is>
      </c>
      <c r="H505" s="46" t="n"/>
      <c r="I505" s="49" t="inlineStr">
        <is>
          <t>Sitrus Berry</t>
        </is>
      </c>
      <c r="J505" s="46" t="n"/>
      <c r="K505" s="49" t="inlineStr">
        <is>
          <t>(None)</t>
        </is>
      </c>
      <c r="L505" s="46" t="n"/>
      <c r="M505" s="49" t="inlineStr">
        <is>
          <t>(None)</t>
        </is>
      </c>
      <c r="N505" s="46" t="n"/>
      <c r="O505" s="49" t="inlineStr">
        <is>
          <t>Chesto Berry</t>
        </is>
      </c>
      <c r="P505" s="46" t="n"/>
      <c r="Q505" s="47" t="inlineStr">
        <is>
          <t>Item</t>
        </is>
      </c>
    </row>
    <row r="506">
      <c r="B506" s="44" t="inlineStr">
        <is>
          <t>Smart Trainer</t>
        </is>
      </c>
      <c r="E506" s="63" t="inlineStr">
        <is>
          <t>Hypnosis</t>
        </is>
      </c>
      <c r="F506" s="46" t="n"/>
      <c r="G506" s="58" t="inlineStr">
        <is>
          <t>Sunny Day</t>
        </is>
      </c>
      <c r="H506" s="46" t="n"/>
      <c r="I506" s="52" t="inlineStr">
        <is>
          <t>Thunder Wave</t>
        </is>
      </c>
      <c r="J506" s="46" t="n"/>
      <c r="K506" s="61" t="inlineStr">
        <is>
          <t>Surf</t>
        </is>
      </c>
      <c r="L506" s="46" t="n"/>
      <c r="M506" s="51" t="inlineStr">
        <is>
          <t>Whirlwind</t>
        </is>
      </c>
      <c r="N506" s="46" t="n"/>
      <c r="O506" s="60" t="inlineStr">
        <is>
          <t>Aerial Ace</t>
        </is>
      </c>
      <c r="P506" s="46" t="n"/>
      <c r="Q506" s="47" t="inlineStr">
        <is>
          <t>Moves</t>
        </is>
      </c>
    </row>
    <row r="507">
      <c r="E507" s="63" t="inlineStr">
        <is>
          <t>Psychic</t>
        </is>
      </c>
      <c r="F507" s="46" t="n"/>
      <c r="G507" s="60" t="inlineStr">
        <is>
          <t>Aerial Ace</t>
        </is>
      </c>
      <c r="H507" s="46" t="n"/>
      <c r="I507" s="52" t="inlineStr">
        <is>
          <t>Thunderbolt</t>
        </is>
      </c>
      <c r="J507" s="46" t="n"/>
      <c r="K507" s="51" t="inlineStr">
        <is>
          <t>Supersonic</t>
        </is>
      </c>
      <c r="L507" s="46" t="n"/>
      <c r="M507" s="53" t="inlineStr">
        <is>
          <t>Spikes</t>
        </is>
      </c>
      <c r="N507" s="46" t="n"/>
      <c r="O507" s="63" t="inlineStr">
        <is>
          <t>Rest</t>
        </is>
      </c>
      <c r="P507" s="46" t="n"/>
    </row>
    <row r="508">
      <c r="E508" s="63" t="inlineStr">
        <is>
          <t>Reflect</t>
        </is>
      </c>
      <c r="F508" s="46" t="n"/>
      <c r="G508" s="59" t="inlineStr">
        <is>
          <t>Solar Beam</t>
        </is>
      </c>
      <c r="H508" s="46" t="n"/>
      <c r="I508" s="51" t="inlineStr">
        <is>
          <t>Protect</t>
        </is>
      </c>
      <c r="J508" s="46" t="n"/>
      <c r="K508" s="51" t="inlineStr">
        <is>
          <t>Protect</t>
        </is>
      </c>
      <c r="L508" s="46" t="n"/>
      <c r="M508" s="66" t="inlineStr">
        <is>
          <t>Steel Wing</t>
        </is>
      </c>
      <c r="N508" s="46" t="n"/>
      <c r="O508" s="68" t="inlineStr">
        <is>
          <t>Dragon Dance</t>
        </is>
      </c>
      <c r="P508" s="46" t="n"/>
    </row>
    <row r="509">
      <c r="E509" s="63" t="inlineStr">
        <is>
          <t>Dream Eater</t>
        </is>
      </c>
      <c r="F509" s="46" t="n"/>
      <c r="G509" s="53" t="inlineStr">
        <is>
          <t>Earthquake</t>
        </is>
      </c>
      <c r="H509" s="46" t="n"/>
      <c r="I509" s="64" t="inlineStr">
        <is>
          <t>Ice Beam</t>
        </is>
      </c>
      <c r="J509" s="46" t="n"/>
      <c r="K509" s="60" t="inlineStr">
        <is>
          <t>Aerial Ace</t>
        </is>
      </c>
      <c r="L509" s="46" t="n"/>
      <c r="M509" s="60" t="inlineStr">
        <is>
          <t>Aerial Ace</t>
        </is>
      </c>
      <c r="N509" s="46" t="n"/>
      <c r="O509" s="53" t="inlineStr">
        <is>
          <t>Earthquake</t>
        </is>
      </c>
      <c r="P509" s="46" t="n"/>
    </row>
    <row r="511" ht="20" customHeight="1">
      <c r="B511" s="40" t="inlineStr">
        <is>
          <t>Leader</t>
        </is>
      </c>
      <c r="C511" s="41" t="n"/>
      <c r="D511" s="41" t="n"/>
      <c r="E511" s="42" t="inlineStr">
        <is>
          <t>Leader Winona (Rematch 3)</t>
        </is>
      </c>
      <c r="F511" s="41" t="n"/>
      <c r="G511" s="41" t="n"/>
      <c r="H511" s="41" t="n"/>
      <c r="I511" s="41" t="n"/>
      <c r="J511" s="41" t="n"/>
      <c r="K511" s="41" t="n"/>
      <c r="L511" s="41" t="n"/>
      <c r="M511" s="41" t="n"/>
      <c r="N511" s="41" t="n"/>
      <c r="O511" s="41" t="n"/>
      <c r="P511" s="41" t="n"/>
      <c r="Q511" s="41" t="n"/>
    </row>
    <row r="512" ht="69" customHeight="1">
      <c r="E512" s="43">
        <f>IFERROR(_xlfn.IMAGE("https://play.pokemonshowdown.com/sprites/gen5/noctowl.png"),"")</f>
        <v/>
      </c>
      <c r="G512" s="43">
        <f>IFERROR(_xlfn.IMAGE("https://play.pokemonshowdown.com/sprites/gen5/tropius.png"),"")</f>
        <v/>
      </c>
      <c r="I512" s="43">
        <f>IFERROR(_xlfn.IMAGE("https://play.pokemonshowdown.com/sprites/gen5/dragonair.png"),"")</f>
        <v/>
      </c>
      <c r="K512" s="43">
        <f>IFERROR(_xlfn.IMAGE("https://play.pokemonshowdown.com/sprites/gen5/pelipper.png"),"")</f>
        <v/>
      </c>
      <c r="M512" s="43">
        <f>IFERROR(_xlfn.IMAGE("https://play.pokemonshowdown.com/sprites/gen5/skarmory.png"),"")</f>
        <v/>
      </c>
      <c r="O512" s="43">
        <f>IFERROR(_xlfn.IMAGE("https://play.pokemonshowdown.com/sprites/gen5/altaria.png"),"")</f>
        <v/>
      </c>
      <c r="Q512" s="44" t="inlineStr">
        <is>
          <t>DOUBLE BATTLE
Items: Full Restore / Full Restore / Full Restore</t>
        </is>
      </c>
    </row>
    <row r="513">
      <c r="E513" s="45" t="inlineStr">
        <is>
          <t>Lv 48 Noctowl</t>
        </is>
      </c>
      <c r="F513" s="46" t="n"/>
      <c r="G513" s="45" t="inlineStr">
        <is>
          <t>Lv 49 Tropius</t>
        </is>
      </c>
      <c r="H513" s="46" t="n"/>
      <c r="I513" s="45" t="inlineStr">
        <is>
          <t>Lv 50 Dragonair</t>
        </is>
      </c>
      <c r="J513" s="46" t="n"/>
      <c r="K513" s="45" t="inlineStr">
        <is>
          <t>Lv 51 Pelipper</t>
        </is>
      </c>
      <c r="L513" s="46" t="n"/>
      <c r="M513" s="45" t="inlineStr">
        <is>
          <t>Lv 53 Skarmory</t>
        </is>
      </c>
      <c r="N513" s="46" t="n"/>
      <c r="O513" s="45" t="inlineStr">
        <is>
          <t>Lv 55 Altaria</t>
        </is>
      </c>
      <c r="P513" s="46" t="n"/>
      <c r="Q513" s="47" t="inlineStr">
        <is>
          <t>Pokémon</t>
        </is>
      </c>
    </row>
    <row r="514">
      <c r="E514" s="48" t="inlineStr">
        <is>
          <t>Hardy</t>
        </is>
      </c>
      <c r="F514" s="48" t="inlineStr">
        <is>
          <t>Tinted Lens</t>
        </is>
      </c>
      <c r="G514" s="48" t="inlineStr">
        <is>
          <t>Hardy</t>
        </is>
      </c>
      <c r="H514" s="48" t="inlineStr">
        <is>
          <t>Chlorophyll</t>
        </is>
      </c>
      <c r="I514" s="48" t="inlineStr">
        <is>
          <t>Hardy</t>
        </is>
      </c>
      <c r="J514" s="48" t="inlineStr">
        <is>
          <t>Shed Skin</t>
        </is>
      </c>
      <c r="K514" s="48" t="inlineStr">
        <is>
          <t>Hardy</t>
        </is>
      </c>
      <c r="L514" s="48" t="inlineStr">
        <is>
          <t>Unburden</t>
        </is>
      </c>
      <c r="M514" s="48" t="inlineStr">
        <is>
          <t>Hardy</t>
        </is>
      </c>
      <c r="N514" s="48" t="inlineStr">
        <is>
          <t>Filter</t>
        </is>
      </c>
      <c r="O514" s="48" t="inlineStr">
        <is>
          <t>Hardy</t>
        </is>
      </c>
      <c r="P514" s="48" t="inlineStr">
        <is>
          <t>Serene Grace</t>
        </is>
      </c>
      <c r="Q514" s="47" t="inlineStr">
        <is>
          <t>Nature / Ability</t>
        </is>
      </c>
    </row>
    <row r="515">
      <c r="B515" s="47" t="inlineStr">
        <is>
          <t>AI Flags:</t>
        </is>
      </c>
      <c r="E515" s="49" t="inlineStr">
        <is>
          <t>(None)</t>
        </is>
      </c>
      <c r="F515" s="46" t="n"/>
      <c r="G515" s="49" t="inlineStr">
        <is>
          <t>(None)</t>
        </is>
      </c>
      <c r="H515" s="46" t="n"/>
      <c r="I515" s="49" t="inlineStr">
        <is>
          <t>Sitrus Berry</t>
        </is>
      </c>
      <c r="J515" s="46" t="n"/>
      <c r="K515" s="49" t="inlineStr">
        <is>
          <t>(None)</t>
        </is>
      </c>
      <c r="L515" s="46" t="n"/>
      <c r="M515" s="49" t="inlineStr">
        <is>
          <t>(None)</t>
        </is>
      </c>
      <c r="N515" s="46" t="n"/>
      <c r="O515" s="49" t="inlineStr">
        <is>
          <t>Chesto Berry</t>
        </is>
      </c>
      <c r="P515" s="46" t="n"/>
      <c r="Q515" s="47" t="inlineStr">
        <is>
          <t>Item</t>
        </is>
      </c>
    </row>
    <row r="516">
      <c r="B516" s="44" t="inlineStr">
        <is>
          <t>Smart Trainer</t>
        </is>
      </c>
      <c r="E516" s="63" t="inlineStr">
        <is>
          <t>Hypnosis</t>
        </is>
      </c>
      <c r="F516" s="46" t="n"/>
      <c r="G516" s="58" t="inlineStr">
        <is>
          <t>Sunny Day</t>
        </is>
      </c>
      <c r="H516" s="46" t="n"/>
      <c r="I516" s="52" t="inlineStr">
        <is>
          <t>Thunder Wave</t>
        </is>
      </c>
      <c r="J516" s="46" t="n"/>
      <c r="K516" s="61" t="inlineStr">
        <is>
          <t>Surf</t>
        </is>
      </c>
      <c r="L516" s="46" t="n"/>
      <c r="M516" s="51" t="inlineStr">
        <is>
          <t>Whirlwind</t>
        </is>
      </c>
      <c r="N516" s="46" t="n"/>
      <c r="O516" s="60" t="inlineStr">
        <is>
          <t>Aerial Ace</t>
        </is>
      </c>
      <c r="P516" s="46" t="n"/>
      <c r="Q516" s="47" t="inlineStr">
        <is>
          <t>Moves</t>
        </is>
      </c>
    </row>
    <row r="517">
      <c r="E517" s="63" t="inlineStr">
        <is>
          <t>Psychic</t>
        </is>
      </c>
      <c r="F517" s="46" t="n"/>
      <c r="G517" s="60" t="inlineStr">
        <is>
          <t>Aerial Ace</t>
        </is>
      </c>
      <c r="H517" s="46" t="n"/>
      <c r="I517" s="52" t="inlineStr">
        <is>
          <t>Thunderbolt</t>
        </is>
      </c>
      <c r="J517" s="46" t="n"/>
      <c r="K517" s="51" t="inlineStr">
        <is>
          <t>Supersonic</t>
        </is>
      </c>
      <c r="L517" s="46" t="n"/>
      <c r="M517" s="53" t="inlineStr">
        <is>
          <t>Spikes</t>
        </is>
      </c>
      <c r="N517" s="46" t="n"/>
      <c r="O517" s="63" t="inlineStr">
        <is>
          <t>Rest</t>
        </is>
      </c>
      <c r="P517" s="46" t="n"/>
    </row>
    <row r="518">
      <c r="E518" s="63" t="inlineStr">
        <is>
          <t>Reflect</t>
        </is>
      </c>
      <c r="F518" s="46" t="n"/>
      <c r="G518" s="59" t="inlineStr">
        <is>
          <t>Solar Beam</t>
        </is>
      </c>
      <c r="H518" s="46" t="n"/>
      <c r="I518" s="51" t="inlineStr">
        <is>
          <t>Protect</t>
        </is>
      </c>
      <c r="J518" s="46" t="n"/>
      <c r="K518" s="51" t="inlineStr">
        <is>
          <t>Protect</t>
        </is>
      </c>
      <c r="L518" s="46" t="n"/>
      <c r="M518" s="66" t="inlineStr">
        <is>
          <t>Steel Wing</t>
        </is>
      </c>
      <c r="N518" s="46" t="n"/>
      <c r="O518" s="68" t="inlineStr">
        <is>
          <t>Dragon Dance</t>
        </is>
      </c>
      <c r="P518" s="46" t="n"/>
    </row>
    <row r="519">
      <c r="E519" s="63" t="inlineStr">
        <is>
          <t>Dream Eater</t>
        </is>
      </c>
      <c r="F519" s="46" t="n"/>
      <c r="G519" s="53" t="inlineStr">
        <is>
          <t>Earthquake</t>
        </is>
      </c>
      <c r="H519" s="46" t="n"/>
      <c r="I519" s="64" t="inlineStr">
        <is>
          <t>Ice Beam</t>
        </is>
      </c>
      <c r="J519" s="46" t="n"/>
      <c r="K519" s="60" t="inlineStr">
        <is>
          <t>Aerial Ace</t>
        </is>
      </c>
      <c r="L519" s="46" t="n"/>
      <c r="M519" s="60" t="inlineStr">
        <is>
          <t>Aerial Ace</t>
        </is>
      </c>
      <c r="N519" s="46" t="n"/>
      <c r="O519" s="53" t="inlineStr">
        <is>
          <t>Earthquake</t>
        </is>
      </c>
      <c r="P519" s="46" t="n"/>
    </row>
    <row r="521" ht="20" customHeight="1">
      <c r="B521" s="40" t="inlineStr">
        <is>
          <t>Leader</t>
        </is>
      </c>
      <c r="C521" s="41" t="n"/>
      <c r="D521" s="41" t="n"/>
      <c r="E521" s="42" t="inlineStr">
        <is>
          <t>Leader Winona (Rematch 4)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IFERROR(_xlfn.IMAGE("https://play.pokemonshowdown.com/sprites/gen5/noctowl.png"),"")</f>
        <v/>
      </c>
      <c r="G522" s="43">
        <f>IFERROR(_xlfn.IMAGE("https://play.pokemonshowdown.com/sprites/gen5/tropius.png"),"")</f>
        <v/>
      </c>
      <c r="I522" s="43">
        <f>IFERROR(_xlfn.IMAGE("https://play.pokemonshowdown.com/sprites/gen5/pelipper.png"),"")</f>
        <v/>
      </c>
      <c r="K522" s="43">
        <f>IFERROR(_xlfn.IMAGE("https://play.pokemonshowdown.com/sprites/gen5/dragonite.png"),"")</f>
        <v/>
      </c>
      <c r="M522" s="43">
        <f>IFERROR(_xlfn.IMAGE("https://play.pokemonshowdown.com/sprites/gen5/skarmory.png"),"")</f>
        <v/>
      </c>
      <c r="O522" s="43">
        <f>IFERROR(_xlfn.IMAGE("https://play.pokemonshowdown.com/sprites/gen5/altaria.png"),"")</f>
        <v/>
      </c>
      <c r="Q522" s="44" t="inlineStr">
        <is>
          <t>DOUBLE BATTLE
Items: Full Restore / Full Restore / Full Restore</t>
        </is>
      </c>
    </row>
    <row r="523">
      <c r="E523" s="45" t="inlineStr">
        <is>
          <t>Lv 53 Noctowl</t>
        </is>
      </c>
      <c r="F523" s="46" t="n"/>
      <c r="G523" s="45" t="inlineStr">
        <is>
          <t>Lv 54 Tropius</t>
        </is>
      </c>
      <c r="H523" s="46" t="n"/>
      <c r="I523" s="45" t="inlineStr">
        <is>
          <t>Lv 55 Pelipper</t>
        </is>
      </c>
      <c r="J523" s="46" t="n"/>
      <c r="K523" s="45" t="inlineStr">
        <is>
          <t>Lv 55 Dragonite</t>
        </is>
      </c>
      <c r="L523" s="46" t="n"/>
      <c r="M523" s="45" t="inlineStr">
        <is>
          <t>Lv 58 Skarmory</t>
        </is>
      </c>
      <c r="N523" s="46" t="n"/>
      <c r="O523" s="45" t="inlineStr">
        <is>
          <t>Lv 60 Altaria</t>
        </is>
      </c>
      <c r="P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Tinted Lens</t>
        </is>
      </c>
      <c r="G524" s="48" t="inlineStr">
        <is>
          <t>Hardy</t>
        </is>
      </c>
      <c r="H524" s="48" t="inlineStr">
        <is>
          <t>Chlorophyll</t>
        </is>
      </c>
      <c r="I524" s="48" t="inlineStr">
        <is>
          <t>Hardy</t>
        </is>
      </c>
      <c r="J524" s="48" t="inlineStr">
        <is>
          <t>Unburden</t>
        </is>
      </c>
      <c r="K524" s="48" t="inlineStr">
        <is>
          <t>Hardy</t>
        </is>
      </c>
      <c r="L524" s="48" t="inlineStr">
        <is>
          <t>Thick Fat</t>
        </is>
      </c>
      <c r="M524" s="48" t="inlineStr">
        <is>
          <t>Hardy</t>
        </is>
      </c>
      <c r="N524" s="48" t="inlineStr">
        <is>
          <t>Filter</t>
        </is>
      </c>
      <c r="O524" s="48" t="inlineStr">
        <is>
          <t>Hardy</t>
        </is>
      </c>
      <c r="P524" s="48" t="inlineStr">
        <is>
          <t>Serene Grace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G525" s="49" t="inlineStr">
        <is>
          <t>(None)</t>
        </is>
      </c>
      <c r="H525" s="46" t="n"/>
      <c r="I525" s="49" t="inlineStr">
        <is>
          <t>(None)</t>
        </is>
      </c>
      <c r="J525" s="46" t="n"/>
      <c r="K525" s="49" t="inlineStr">
        <is>
          <t>Sitrus Berry</t>
        </is>
      </c>
      <c r="L525" s="46" t="n"/>
      <c r="M525" s="49" t="inlineStr">
        <is>
          <t>(None)</t>
        </is>
      </c>
      <c r="N525" s="46" t="n"/>
      <c r="O525" s="49" t="inlineStr">
        <is>
          <t>Chesto Berry</t>
        </is>
      </c>
      <c r="P525" s="46" t="n"/>
      <c r="Q525" s="47" t="inlineStr">
        <is>
          <t>Item</t>
        </is>
      </c>
    </row>
    <row r="526">
      <c r="B526" s="44" t="inlineStr">
        <is>
          <t>Smart Trainer</t>
        </is>
      </c>
      <c r="E526" s="63" t="inlineStr">
        <is>
          <t>Hypnosis</t>
        </is>
      </c>
      <c r="F526" s="46" t="n"/>
      <c r="G526" s="58" t="inlineStr">
        <is>
          <t>Sunny Day</t>
        </is>
      </c>
      <c r="H526" s="46" t="n"/>
      <c r="I526" s="61" t="inlineStr">
        <is>
          <t>Surf</t>
        </is>
      </c>
      <c r="J526" s="46" t="n"/>
      <c r="K526" s="51" t="inlineStr">
        <is>
          <t>Hyper Beam</t>
        </is>
      </c>
      <c r="L526" s="46" t="n"/>
      <c r="M526" s="51" t="inlineStr">
        <is>
          <t>Whirlwind</t>
        </is>
      </c>
      <c r="N526" s="46" t="n"/>
      <c r="O526" s="60" t="inlineStr">
        <is>
          <t>Sky Attack</t>
        </is>
      </c>
      <c r="P526" s="46" t="n"/>
      <c r="Q526" s="47" t="inlineStr">
        <is>
          <t>Moves</t>
        </is>
      </c>
    </row>
    <row r="527">
      <c r="E527" s="63" t="inlineStr">
        <is>
          <t>Psychic</t>
        </is>
      </c>
      <c r="F527" s="46" t="n"/>
      <c r="G527" s="60" t="inlineStr">
        <is>
          <t>Aerial Ace</t>
        </is>
      </c>
      <c r="H527" s="46" t="n"/>
      <c r="I527" s="51" t="inlineStr">
        <is>
          <t>Supersonic</t>
        </is>
      </c>
      <c r="J527" s="46" t="n"/>
      <c r="K527" s="52" t="inlineStr">
        <is>
          <t>Thunderbolt</t>
        </is>
      </c>
      <c r="L527" s="46" t="n"/>
      <c r="M527" s="53" t="inlineStr">
        <is>
          <t>Spikes</t>
        </is>
      </c>
      <c r="N527" s="46" t="n"/>
      <c r="O527" s="63" t="inlineStr">
        <is>
          <t>Rest</t>
        </is>
      </c>
      <c r="P527" s="46" t="n"/>
    </row>
    <row r="528">
      <c r="E528" s="63" t="inlineStr">
        <is>
          <t>Reflect</t>
        </is>
      </c>
      <c r="F528" s="46" t="n"/>
      <c r="G528" s="59" t="inlineStr">
        <is>
          <t>Solar Beam</t>
        </is>
      </c>
      <c r="H528" s="46" t="n"/>
      <c r="I528" s="51" t="inlineStr">
        <is>
          <t>Protect</t>
        </is>
      </c>
      <c r="J528" s="46" t="n"/>
      <c r="K528" s="53" t="inlineStr">
        <is>
          <t>Earthquake</t>
        </is>
      </c>
      <c r="L528" s="46" t="n"/>
      <c r="M528" s="66" t="inlineStr">
        <is>
          <t>Steel Wing</t>
        </is>
      </c>
      <c r="N528" s="46" t="n"/>
      <c r="O528" s="68" t="inlineStr">
        <is>
          <t>Dragon Dance</t>
        </is>
      </c>
      <c r="P528" s="46" t="n"/>
    </row>
    <row r="529">
      <c r="E529" s="63" t="inlineStr">
        <is>
          <t>Dream Eater</t>
        </is>
      </c>
      <c r="F529" s="46" t="n"/>
      <c r="G529" s="53" t="inlineStr">
        <is>
          <t>Earthquake</t>
        </is>
      </c>
      <c r="H529" s="46" t="n"/>
      <c r="I529" s="60" t="inlineStr">
        <is>
          <t>Aerial Ace</t>
        </is>
      </c>
      <c r="J529" s="46" t="n"/>
      <c r="K529" s="64" t="inlineStr">
        <is>
          <t>Ice Beam</t>
        </is>
      </c>
      <c r="L529" s="46" t="n"/>
      <c r="M529" s="60" t="inlineStr">
        <is>
          <t>Aerial Ace</t>
        </is>
      </c>
      <c r="N529" s="46" t="n"/>
      <c r="O529" s="53" t="inlineStr">
        <is>
          <t>Earthquake</t>
        </is>
      </c>
      <c r="P529" s="46" t="n"/>
    </row>
  </sheetData>
  <mergeCells count="1954">
    <mergeCell ref="E376:F376"/>
    <mergeCell ref="B231:D231"/>
    <mergeCell ref="O406:P406"/>
    <mergeCell ref="E71:F71"/>
    <mergeCell ref="B495:D495"/>
    <mergeCell ref="E73:F73"/>
    <mergeCell ref="K302:L302"/>
    <mergeCell ref="M358:N358"/>
    <mergeCell ref="M366:N366"/>
    <mergeCell ref="B241:D241"/>
    <mergeCell ref="O422:P422"/>
    <mergeCell ref="O432:P432"/>
    <mergeCell ref="G489:H489"/>
    <mergeCell ref="K328:L328"/>
    <mergeCell ref="G168:H168"/>
    <mergeCell ref="M392:N392"/>
    <mergeCell ref="M386:N386"/>
    <mergeCell ref="G522:H522"/>
    <mergeCell ref="G59:H59"/>
    <mergeCell ref="B226:D229"/>
    <mergeCell ref="E117:F117"/>
    <mergeCell ref="B192:D195"/>
    <mergeCell ref="E303:F303"/>
    <mergeCell ref="G61:H61"/>
    <mergeCell ref="G359:H359"/>
    <mergeCell ref="M387:N387"/>
    <mergeCell ref="G219:H219"/>
    <mergeCell ref="B526:D529"/>
    <mergeCell ref="E417:F417"/>
    <mergeCell ref="G517:H517"/>
    <mergeCell ref="I283:J283"/>
    <mergeCell ref="G519:H519"/>
    <mergeCell ref="G62:H62"/>
    <mergeCell ref="B139:D139"/>
    <mergeCell ref="I285:J285"/>
    <mergeCell ref="Q192:Q195"/>
    <mergeCell ref="M528:N528"/>
    <mergeCell ref="M316:N316"/>
    <mergeCell ref="E443:F443"/>
    <mergeCell ref="G201:H201"/>
    <mergeCell ref="M405:N405"/>
    <mergeCell ref="Q316:Q319"/>
    <mergeCell ref="E473:F473"/>
    <mergeCell ref="B321:D321"/>
    <mergeCell ref="G203:H203"/>
    <mergeCell ref="E472:F472"/>
    <mergeCell ref="I295:J295"/>
    <mergeCell ref="G238:H238"/>
    <mergeCell ref="I267:J267"/>
    <mergeCell ref="K25:L25"/>
    <mergeCell ref="G232:H232"/>
    <mergeCell ref="K183:L183"/>
    <mergeCell ref="I207:J207"/>
    <mergeCell ref="E91:Q91"/>
    <mergeCell ref="I296:J296"/>
    <mergeCell ref="I507:J507"/>
    <mergeCell ref="I298:J298"/>
    <mergeCell ref="E391:Q391"/>
    <mergeCell ref="K237:L237"/>
    <mergeCell ref="E69:F69"/>
    <mergeCell ref="K273:L273"/>
    <mergeCell ref="E158:F158"/>
    <mergeCell ref="O522:P522"/>
    <mergeCell ref="O516:P516"/>
    <mergeCell ref="K239:L239"/>
    <mergeCell ref="E492:F492"/>
    <mergeCell ref="G133:H133"/>
    <mergeCell ref="E369:F369"/>
    <mergeCell ref="E527:F527"/>
    <mergeCell ref="E485:F485"/>
    <mergeCell ref="K268:L268"/>
    <mergeCell ref="G135:H135"/>
    <mergeCell ref="G433:H433"/>
    <mergeCell ref="I191:J191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K413:L413"/>
    <mergeCell ref="M171:N171"/>
    <mergeCell ref="I192:J192"/>
    <mergeCell ref="I222:J222"/>
    <mergeCell ref="K415:L415"/>
    <mergeCell ref="K286:L286"/>
    <mergeCell ref="M473:N473"/>
    <mergeCell ref="G146:H146"/>
    <mergeCell ref="O448:P448"/>
    <mergeCell ref="K12:L12"/>
    <mergeCell ref="G515:H515"/>
    <mergeCell ref="I248:J248"/>
    <mergeCell ref="I368:J368"/>
    <mergeCell ref="M497:N497"/>
    <mergeCell ref="K14:L14"/>
    <mergeCell ref="E491:Q491"/>
    <mergeCell ref="K337:L337"/>
    <mergeCell ref="K312:L312"/>
    <mergeCell ref="B261:D261"/>
    <mergeCell ref="K339:L339"/>
    <mergeCell ref="M395:N395"/>
    <mergeCell ref="E109:F109"/>
    <mergeCell ref="M96:N96"/>
    <mergeCell ref="E145:F145"/>
    <mergeCell ref="M403:N403"/>
    <mergeCell ref="O283:P283"/>
    <mergeCell ref="E111:F111"/>
    <mergeCell ref="M98:N98"/>
    <mergeCell ref="G228:H228"/>
    <mergeCell ref="M527:N527"/>
    <mergeCell ref="O285:P285"/>
    <mergeCell ref="M398:N398"/>
    <mergeCell ref="I292:J292"/>
    <mergeCell ref="K50:L50"/>
    <mergeCell ref="G528:H528"/>
    <mergeCell ref="K181:L181"/>
    <mergeCell ref="K479:L479"/>
    <mergeCell ref="B281:D281"/>
    <mergeCell ref="M423:N423"/>
    <mergeCell ref="M238:N238"/>
    <mergeCell ref="K352:L352"/>
    <mergeCell ref="O487:P487"/>
    <mergeCell ref="I20:J20"/>
    <mergeCell ref="E498:F498"/>
    <mergeCell ref="G256:H256"/>
    <mergeCell ref="E183:F183"/>
    <mergeCell ref="I318:J318"/>
    <mergeCell ref="M416:N416"/>
    <mergeCell ref="E193:F193"/>
    <mergeCell ref="I13:J13"/>
    <mergeCell ref="G247:H247"/>
    <mergeCell ref="E483:F483"/>
    <mergeCell ref="K376:L376"/>
    <mergeCell ref="K507:L507"/>
    <mergeCell ref="B266:D269"/>
    <mergeCell ref="G257:H257"/>
    <mergeCell ref="I15:J15"/>
    <mergeCell ref="O515:P515"/>
    <mergeCell ref="B175:D175"/>
    <mergeCell ref="K80:L80"/>
    <mergeCell ref="K378:L378"/>
    <mergeCell ref="G272:H272"/>
    <mergeCell ref="O329:P329"/>
    <mergeCell ref="M144:N144"/>
    <mergeCell ref="M442:N442"/>
    <mergeCell ref="K379:L379"/>
    <mergeCell ref="E509:F509"/>
    <mergeCell ref="G398:H398"/>
    <mergeCell ref="E127:Q127"/>
    <mergeCell ref="K406:L406"/>
    <mergeCell ref="M164:N164"/>
    <mergeCell ref="O201:P201"/>
    <mergeCell ref="I373:J373"/>
    <mergeCell ref="G275:H275"/>
    <mergeCell ref="I33:J33"/>
    <mergeCell ref="G269:H269"/>
    <mergeCell ref="I462:J462"/>
    <mergeCell ref="K518:L518"/>
    <mergeCell ref="B47:D47"/>
    <mergeCell ref="B351:D351"/>
    <mergeCell ref="B345:D345"/>
    <mergeCell ref="G302:H302"/>
    <mergeCell ref="Q356:Q359"/>
    <mergeCell ref="I35:J35"/>
    <mergeCell ref="K437:L437"/>
    <mergeCell ref="M493:N493"/>
    <mergeCell ref="I333:J333"/>
    <mergeCell ref="K222:L222"/>
    <mergeCell ref="O528:P528"/>
    <mergeCell ref="M495:N495"/>
    <mergeCell ref="K432:L432"/>
    <mergeCell ref="M188:N188"/>
    <mergeCell ref="E141:F141"/>
    <mergeCell ref="E135:F135"/>
    <mergeCell ref="E439:F439"/>
    <mergeCell ref="M496:N496"/>
    <mergeCell ref="B371:D371"/>
    <mergeCell ref="G328:H328"/>
    <mergeCell ref="E107:F107"/>
    <mergeCell ref="E143:F143"/>
    <mergeCell ref="E435:F435"/>
    <mergeCell ref="I392:J392"/>
    <mergeCell ref="I386:J386"/>
    <mergeCell ref="G288:H288"/>
    <mergeCell ref="B275:D275"/>
    <mergeCell ref="E175:Q175"/>
    <mergeCell ref="I263:J263"/>
    <mergeCell ref="G323:H323"/>
    <mergeCell ref="G499:H499"/>
    <mergeCell ref="I229:J229"/>
    <mergeCell ref="I387:J387"/>
    <mergeCell ref="K23:L23"/>
    <mergeCell ref="K145:L145"/>
    <mergeCell ref="K452:L452"/>
    <mergeCell ref="O272:P272"/>
    <mergeCell ref="K147:L147"/>
    <mergeCell ref="E283:F283"/>
    <mergeCell ref="E277:F277"/>
    <mergeCell ref="Q296:Q299"/>
    <mergeCell ref="E285:F285"/>
    <mergeCell ref="M509:N509"/>
    <mergeCell ref="I105:J105"/>
    <mergeCell ref="Q456:Q459"/>
    <mergeCell ref="B119:D119"/>
    <mergeCell ref="E278:F278"/>
    <mergeCell ref="G36:H36"/>
    <mergeCell ref="K503:L503"/>
    <mergeCell ref="M236:N236"/>
    <mergeCell ref="I405:J405"/>
    <mergeCell ref="B256:D259"/>
    <mergeCell ref="K165:L165"/>
    <mergeCell ref="E295:F295"/>
    <mergeCell ref="M140:N140"/>
    <mergeCell ref="M438:N438"/>
    <mergeCell ref="O327:P327"/>
    <mergeCell ref="K375:L375"/>
    <mergeCell ref="E207:F207"/>
    <mergeCell ref="E505:F505"/>
    <mergeCell ref="E296:F296"/>
    <mergeCell ref="I247:J247"/>
    <mergeCell ref="B445:D445"/>
    <mergeCell ref="G265:H265"/>
    <mergeCell ref="E507:F507"/>
    <mergeCell ref="I458:J458"/>
    <mergeCell ref="G273:H273"/>
    <mergeCell ref="M435:N435"/>
    <mergeCell ref="E241:Q241"/>
    <mergeCell ref="I329:J329"/>
    <mergeCell ref="K87:L87"/>
    <mergeCell ref="K218:L218"/>
    <mergeCell ref="K522:L522"/>
    <mergeCell ref="B11:D11"/>
    <mergeCell ref="K516:L516"/>
    <mergeCell ref="B406:D409"/>
    <mergeCell ref="K95:L95"/>
    <mergeCell ref="I453:J453"/>
    <mergeCell ref="K393:L393"/>
    <mergeCell ref="E347:F347"/>
    <mergeCell ref="G268:H268"/>
    <mergeCell ref="I26:J26"/>
    <mergeCell ref="K219:L219"/>
    <mergeCell ref="E51:F51"/>
    <mergeCell ref="M153:N153"/>
    <mergeCell ref="M275:N275"/>
    <mergeCell ref="E349:F349"/>
    <mergeCell ref="K517:L517"/>
    <mergeCell ref="K519:L519"/>
    <mergeCell ref="M277:N277"/>
    <mergeCell ref="E518:F518"/>
    <mergeCell ref="G413:H413"/>
    <mergeCell ref="I171:J171"/>
    <mergeCell ref="G407:H407"/>
    <mergeCell ref="E222:F222"/>
    <mergeCell ref="G415:H415"/>
    <mergeCell ref="G110:H110"/>
    <mergeCell ref="G408:H408"/>
    <mergeCell ref="I44:J44"/>
    <mergeCell ref="M179:N179"/>
    <mergeCell ref="E375:F375"/>
    <mergeCell ref="I473:J473"/>
    <mergeCell ref="K141:L141"/>
    <mergeCell ref="K116:L116"/>
    <mergeCell ref="E471:Q471"/>
    <mergeCell ref="E246:F246"/>
    <mergeCell ref="E377:F377"/>
    <mergeCell ref="G439:H439"/>
    <mergeCell ref="K143:L143"/>
    <mergeCell ref="K416:L416"/>
    <mergeCell ref="G12:H12"/>
    <mergeCell ref="E248:F248"/>
    <mergeCell ref="E368:F368"/>
    <mergeCell ref="G435:H435"/>
    <mergeCell ref="I497:J497"/>
    <mergeCell ref="E247:F247"/>
    <mergeCell ref="M207:N207"/>
    <mergeCell ref="M505:N505"/>
    <mergeCell ref="G312:H312"/>
    <mergeCell ref="B356:D359"/>
    <mergeCell ref="I499:J499"/>
    <mergeCell ref="E199:Q199"/>
    <mergeCell ref="B83:D83"/>
    <mergeCell ref="I96:J96"/>
    <mergeCell ref="E388:F388"/>
    <mergeCell ref="I98:J98"/>
    <mergeCell ref="O439:P439"/>
    <mergeCell ref="I398:J398"/>
    <mergeCell ref="K156:L156"/>
    <mergeCell ref="G365:H365"/>
    <mergeCell ref="G25:H25"/>
    <mergeCell ref="E302:F302"/>
    <mergeCell ref="G60:H60"/>
    <mergeCell ref="B441:D441"/>
    <mergeCell ref="G236:H236"/>
    <mergeCell ref="I423:J423"/>
    <mergeCell ref="K485:L485"/>
    <mergeCell ref="I422:J422"/>
    <mergeCell ref="K189:L189"/>
    <mergeCell ref="I116:J116"/>
    <mergeCell ref="O9:P9"/>
    <mergeCell ref="K487:L487"/>
    <mergeCell ref="K188:L188"/>
    <mergeCell ref="E20:F20"/>
    <mergeCell ref="K182:L182"/>
    <mergeCell ref="E318:F318"/>
    <mergeCell ref="E13:F13"/>
    <mergeCell ref="M246:N246"/>
    <mergeCell ref="G376:H376"/>
    <mergeCell ref="E15:F15"/>
    <mergeCell ref="E191:F191"/>
    <mergeCell ref="M273:N273"/>
    <mergeCell ref="M248:N248"/>
    <mergeCell ref="G80:H80"/>
    <mergeCell ref="G378:H378"/>
    <mergeCell ref="E315:F315"/>
    <mergeCell ref="G73:H73"/>
    <mergeCell ref="M302:N302"/>
    <mergeCell ref="I442:J442"/>
    <mergeCell ref="B155:D155"/>
    <mergeCell ref="K358:L358"/>
    <mergeCell ref="O366:P366"/>
    <mergeCell ref="B151:D151"/>
    <mergeCell ref="G406:H406"/>
    <mergeCell ref="I164:J164"/>
    <mergeCell ref="K226:L226"/>
    <mergeCell ref="K201:L201"/>
    <mergeCell ref="M299:N299"/>
    <mergeCell ref="E33:F33"/>
    <mergeCell ref="Q204:Q207"/>
    <mergeCell ref="G8:H8"/>
    <mergeCell ref="M170:N170"/>
    <mergeCell ref="G518:H518"/>
    <mergeCell ref="K228:L228"/>
    <mergeCell ref="M328:N328"/>
    <mergeCell ref="O363:P363"/>
    <mergeCell ref="I195:J195"/>
    <mergeCell ref="E35:F35"/>
    <mergeCell ref="G437:H437"/>
    <mergeCell ref="I493:J493"/>
    <mergeCell ref="E333:F333"/>
    <mergeCell ref="G308:H308"/>
    <mergeCell ref="K528:L528"/>
    <mergeCell ref="I495:J495"/>
    <mergeCell ref="B12:D15"/>
    <mergeCell ref="I522:J522"/>
    <mergeCell ref="E245:F245"/>
    <mergeCell ref="Q506:Q509"/>
    <mergeCell ref="I68:J68"/>
    <mergeCell ref="G92:H92"/>
    <mergeCell ref="B149:Q149"/>
    <mergeCell ref="B79:D79"/>
    <mergeCell ref="M317:N317"/>
    <mergeCell ref="I496:J496"/>
    <mergeCell ref="I219:J219"/>
    <mergeCell ref="M346:N346"/>
    <mergeCell ref="B436:D439"/>
    <mergeCell ref="M318:N318"/>
    <mergeCell ref="M14:N14"/>
    <mergeCell ref="E255:F255"/>
    <mergeCell ref="K283:L283"/>
    <mergeCell ref="M312:N312"/>
    <mergeCell ref="E386:F386"/>
    <mergeCell ref="E392:F392"/>
    <mergeCell ref="B381:D381"/>
    <mergeCell ref="M348:N348"/>
    <mergeCell ref="G478:H478"/>
    <mergeCell ref="E263:F263"/>
    <mergeCell ref="G21:H21"/>
    <mergeCell ref="K285:L285"/>
    <mergeCell ref="M347:N347"/>
    <mergeCell ref="E415:F415"/>
    <mergeCell ref="I366:J366"/>
    <mergeCell ref="E387:F387"/>
    <mergeCell ref="G23:H23"/>
    <mergeCell ref="G145:H145"/>
    <mergeCell ref="G181:H181"/>
    <mergeCell ref="O405:P405"/>
    <mergeCell ref="G452:H452"/>
    <mergeCell ref="K272:L272"/>
    <mergeCell ref="I237:J237"/>
    <mergeCell ref="Q436:Q439"/>
    <mergeCell ref="G479:H479"/>
    <mergeCell ref="B156:D159"/>
    <mergeCell ref="G147:H147"/>
    <mergeCell ref="G445:H445"/>
    <mergeCell ref="I203:J203"/>
    <mergeCell ref="O407:P407"/>
    <mergeCell ref="I239:J239"/>
    <mergeCell ref="I122:J122"/>
    <mergeCell ref="M488:N488"/>
    <mergeCell ref="I456:J456"/>
    <mergeCell ref="I238:J238"/>
    <mergeCell ref="B366:D369"/>
    <mergeCell ref="E105:F105"/>
    <mergeCell ref="K267:L267"/>
    <mergeCell ref="E99:F99"/>
    <mergeCell ref="K303:L303"/>
    <mergeCell ref="E397:F397"/>
    <mergeCell ref="Q276:Q279"/>
    <mergeCell ref="M242:N242"/>
    <mergeCell ref="B180:D183"/>
    <mergeCell ref="K269:L269"/>
    <mergeCell ref="K296:L296"/>
    <mergeCell ref="I236:J236"/>
    <mergeCell ref="Q120:Q123"/>
    <mergeCell ref="E405:F405"/>
    <mergeCell ref="O8:P8"/>
    <mergeCell ref="G165:H165"/>
    <mergeCell ref="G44:H44"/>
    <mergeCell ref="G158:H158"/>
    <mergeCell ref="G375:H375"/>
    <mergeCell ref="I133:J133"/>
    <mergeCell ref="I108:J108"/>
    <mergeCell ref="B451:D451"/>
    <mergeCell ref="K356:L356"/>
    <mergeCell ref="M418:N418"/>
    <mergeCell ref="I135:J135"/>
    <mergeCell ref="K51:L51"/>
    <mergeCell ref="K349:L349"/>
    <mergeCell ref="E433:F433"/>
    <mergeCell ref="G191:H191"/>
    <mergeCell ref="I435:J435"/>
    <mergeCell ref="M413:N413"/>
    <mergeCell ref="M415:N415"/>
    <mergeCell ref="K382:L382"/>
    <mergeCell ref="I309:J309"/>
    <mergeCell ref="E26:F26"/>
    <mergeCell ref="E50:F50"/>
    <mergeCell ref="E357:F357"/>
    <mergeCell ref="K368:L368"/>
    <mergeCell ref="E515:F515"/>
    <mergeCell ref="B191:D191"/>
    <mergeCell ref="E44:F44"/>
    <mergeCell ref="I179:J179"/>
    <mergeCell ref="I337:J337"/>
    <mergeCell ref="G141:H141"/>
    <mergeCell ref="G116:H116"/>
    <mergeCell ref="E352:F352"/>
    <mergeCell ref="E3:Q3"/>
    <mergeCell ref="K395:L395"/>
    <mergeCell ref="G416:H416"/>
    <mergeCell ref="O403:P403"/>
    <mergeCell ref="Q216:Q219"/>
    <mergeCell ref="B120:D123"/>
    <mergeCell ref="E226:F226"/>
    <mergeCell ref="B221:D221"/>
    <mergeCell ref="I505:J505"/>
    <mergeCell ref="K263:L263"/>
    <mergeCell ref="E228:F228"/>
    <mergeCell ref="E526:F526"/>
    <mergeCell ref="M486:N486"/>
    <mergeCell ref="K265:L265"/>
    <mergeCell ref="M365:N365"/>
    <mergeCell ref="G134:H134"/>
    <mergeCell ref="M479:N479"/>
    <mergeCell ref="I50:J50"/>
    <mergeCell ref="E528:F528"/>
    <mergeCell ref="G286:H286"/>
    <mergeCell ref="B476:D479"/>
    <mergeCell ref="E96:F96"/>
    <mergeCell ref="O429:P429"/>
    <mergeCell ref="G503:H503"/>
    <mergeCell ref="E98:F98"/>
    <mergeCell ref="K325:L325"/>
    <mergeCell ref="G488:H488"/>
    <mergeCell ref="M512:N512"/>
    <mergeCell ref="K20:L20"/>
    <mergeCell ref="G156:H156"/>
    <mergeCell ref="E398:F398"/>
    <mergeCell ref="K318:L318"/>
    <mergeCell ref="G498:H498"/>
    <mergeCell ref="E43:Q43"/>
    <mergeCell ref="M383:N383"/>
    <mergeCell ref="E341:Q341"/>
    <mergeCell ref="E423:F423"/>
    <mergeCell ref="G485:H485"/>
    <mergeCell ref="M385:N385"/>
    <mergeCell ref="O447:P447"/>
    <mergeCell ref="M507:N507"/>
    <mergeCell ref="E422:F422"/>
    <mergeCell ref="G180:H180"/>
    <mergeCell ref="E458:F458"/>
    <mergeCell ref="G216:H216"/>
    <mergeCell ref="G487:H487"/>
    <mergeCell ref="E452:F452"/>
    <mergeCell ref="G188:H188"/>
    <mergeCell ref="G182:H182"/>
    <mergeCell ref="G111:H111"/>
    <mergeCell ref="G218:H218"/>
    <mergeCell ref="O442:P442"/>
    <mergeCell ref="G516:H516"/>
    <mergeCell ref="K467:L467"/>
    <mergeCell ref="I246:J246"/>
    <mergeCell ref="Q168:Q171"/>
    <mergeCell ref="E453:F453"/>
    <mergeCell ref="K338:L338"/>
    <mergeCell ref="M525:N525"/>
    <mergeCell ref="I275:J275"/>
    <mergeCell ref="I302:J302"/>
    <mergeCell ref="I277:J277"/>
    <mergeCell ref="M437:N437"/>
    <mergeCell ref="E171:F171"/>
    <mergeCell ref="K333:L333"/>
    <mergeCell ref="E442:F442"/>
    <mergeCell ref="K252:L252"/>
    <mergeCell ref="G358:H358"/>
    <mergeCell ref="K366:L366"/>
    <mergeCell ref="M99:N99"/>
    <mergeCell ref="M397:N397"/>
    <mergeCell ref="G229:H229"/>
    <mergeCell ref="K180:L180"/>
    <mergeCell ref="I416:J416"/>
    <mergeCell ref="O503:P503"/>
    <mergeCell ref="B305:D305"/>
    <mergeCell ref="I170:J170"/>
    <mergeCell ref="E1:Q1"/>
    <mergeCell ref="E168:F168"/>
    <mergeCell ref="I328:J328"/>
    <mergeCell ref="G143:H143"/>
    <mergeCell ref="K392:L392"/>
    <mergeCell ref="I288:J288"/>
    <mergeCell ref="E522:F522"/>
    <mergeCell ref="O513:P513"/>
    <mergeCell ref="K236:L236"/>
    <mergeCell ref="Q326:Q329"/>
    <mergeCell ref="M152:N152"/>
    <mergeCell ref="E219:F219"/>
    <mergeCell ref="I346:J346"/>
    <mergeCell ref="O427:P427"/>
    <mergeCell ref="G283:H283"/>
    <mergeCell ref="I348:J348"/>
    <mergeCell ref="G285:H285"/>
    <mergeCell ref="I347:J347"/>
    <mergeCell ref="E252:F252"/>
    <mergeCell ref="B203:D203"/>
    <mergeCell ref="M292:N292"/>
    <mergeCell ref="E366:F366"/>
    <mergeCell ref="M468:N468"/>
    <mergeCell ref="B361:D361"/>
    <mergeCell ref="K316:L316"/>
    <mergeCell ref="K405:L405"/>
    <mergeCell ref="E237:F237"/>
    <mergeCell ref="I372:J372"/>
    <mergeCell ref="K407:L407"/>
    <mergeCell ref="M165:N165"/>
    <mergeCell ref="E239:F239"/>
    <mergeCell ref="I59:J59"/>
    <mergeCell ref="M382:N382"/>
    <mergeCell ref="O438:P438"/>
    <mergeCell ref="E238:F238"/>
    <mergeCell ref="K463:L463"/>
    <mergeCell ref="G303:H303"/>
    <mergeCell ref="I359:J359"/>
    <mergeCell ref="G296:H296"/>
    <mergeCell ref="K458:L458"/>
    <mergeCell ref="E265:F265"/>
    <mergeCell ref="B285:D285"/>
    <mergeCell ref="M523:N523"/>
    <mergeCell ref="I273:J273"/>
    <mergeCell ref="M522:N522"/>
    <mergeCell ref="G329:H329"/>
    <mergeCell ref="I87:J87"/>
    <mergeCell ref="E133:F133"/>
    <mergeCell ref="E108:F108"/>
    <mergeCell ref="M95:N95"/>
    <mergeCell ref="M393:N393"/>
    <mergeCell ref="O282:P282"/>
    <mergeCell ref="G356:H356"/>
    <mergeCell ref="I418:J418"/>
    <mergeCell ref="K176:L176"/>
    <mergeCell ref="M97:N97"/>
    <mergeCell ref="G51:H51"/>
    <mergeCell ref="Q306:Q309"/>
    <mergeCell ref="G349:H349"/>
    <mergeCell ref="B311:D311"/>
    <mergeCell ref="K476:L476"/>
    <mergeCell ref="E164:F164"/>
    <mergeCell ref="G226:H226"/>
    <mergeCell ref="I255:J255"/>
    <mergeCell ref="K486:L486"/>
    <mergeCell ref="I413:J413"/>
    <mergeCell ref="K171:L171"/>
    <mergeCell ref="K478:L478"/>
    <mergeCell ref="Q426:Q429"/>
    <mergeCell ref="E195:F195"/>
    <mergeCell ref="K357:L357"/>
    <mergeCell ref="I415:J415"/>
    <mergeCell ref="G382:H382"/>
    <mergeCell ref="E309:F309"/>
    <mergeCell ref="E188:F188"/>
    <mergeCell ref="I286:J286"/>
    <mergeCell ref="E495:F495"/>
    <mergeCell ref="G253:H253"/>
    <mergeCell ref="E180:F180"/>
    <mergeCell ref="B386:D389"/>
    <mergeCell ref="E182:F182"/>
    <mergeCell ref="I317:J317"/>
    <mergeCell ref="I12:J12"/>
    <mergeCell ref="B331:D331"/>
    <mergeCell ref="G248:H248"/>
    <mergeCell ref="O512:P512"/>
    <mergeCell ref="K497:L497"/>
    <mergeCell ref="I39:J39"/>
    <mergeCell ref="I14:J14"/>
    <mergeCell ref="I312:J312"/>
    <mergeCell ref="E179:F179"/>
    <mergeCell ref="E441:Q441"/>
    <mergeCell ref="I339:J339"/>
    <mergeCell ref="M159:N159"/>
    <mergeCell ref="G395:H395"/>
    <mergeCell ref="M167:N167"/>
    <mergeCell ref="K403:L403"/>
    <mergeCell ref="B471:D471"/>
    <mergeCell ref="B316:D319"/>
    <mergeCell ref="I459:J459"/>
    <mergeCell ref="K217:L217"/>
    <mergeCell ref="E203:F203"/>
    <mergeCell ref="I365:J365"/>
    <mergeCell ref="G292:H292"/>
    <mergeCell ref="G267:H267"/>
    <mergeCell ref="I25:J25"/>
    <mergeCell ref="M492:N492"/>
    <mergeCell ref="K307:L307"/>
    <mergeCell ref="K429:L429"/>
    <mergeCell ref="M485:N485"/>
    <mergeCell ref="G108:H108"/>
    <mergeCell ref="M195:N195"/>
    <mergeCell ref="M189:N189"/>
    <mergeCell ref="G325:H325"/>
    <mergeCell ref="I83:J83"/>
    <mergeCell ref="M487:N487"/>
    <mergeCell ref="E481:Q481"/>
    <mergeCell ref="G20:H20"/>
    <mergeCell ref="B401:D401"/>
    <mergeCell ref="E256:F256"/>
    <mergeCell ref="G318:H318"/>
    <mergeCell ref="I383:J383"/>
    <mergeCell ref="I84:J84"/>
    <mergeCell ref="I385:J385"/>
    <mergeCell ref="K447:L447"/>
    <mergeCell ref="B24:D27"/>
    <mergeCell ref="M205:N205"/>
    <mergeCell ref="E163:Q163"/>
    <mergeCell ref="M363:N363"/>
    <mergeCell ref="I86:J86"/>
    <mergeCell ref="I80:J80"/>
    <mergeCell ref="I378:J378"/>
    <mergeCell ref="M329:N329"/>
    <mergeCell ref="E403:F403"/>
    <mergeCell ref="K144:L144"/>
    <mergeCell ref="K442:L442"/>
    <mergeCell ref="G38:H38"/>
    <mergeCell ref="E432:F432"/>
    <mergeCell ref="O423:P423"/>
    <mergeCell ref="G338:H338"/>
    <mergeCell ref="G496:H496"/>
    <mergeCell ref="I525:J525"/>
    <mergeCell ref="E275:F275"/>
    <mergeCell ref="G33:H33"/>
    <mergeCell ref="I226:J226"/>
    <mergeCell ref="G462:H462"/>
    <mergeCell ref="Q446:Q449"/>
    <mergeCell ref="I8:J8"/>
    <mergeCell ref="I437:J437"/>
    <mergeCell ref="G35:H35"/>
    <mergeCell ref="G333:H333"/>
    <mergeCell ref="B295:D295"/>
    <mergeCell ref="I526:J526"/>
    <mergeCell ref="G252:H252"/>
    <mergeCell ref="I308:J308"/>
    <mergeCell ref="G366:H366"/>
    <mergeCell ref="I99:J99"/>
    <mergeCell ref="K495:L495"/>
    <mergeCell ref="I397:J397"/>
    <mergeCell ref="E431:Q431"/>
    <mergeCell ref="K372:L372"/>
    <mergeCell ref="O317:P317"/>
    <mergeCell ref="E328:F328"/>
    <mergeCell ref="O325:P325"/>
    <mergeCell ref="O319:P319"/>
    <mergeCell ref="G122:H122"/>
    <mergeCell ref="I455:J455"/>
    <mergeCell ref="K213:L213"/>
    <mergeCell ref="Q132:Q135"/>
    <mergeCell ref="Q466:Q469"/>
    <mergeCell ref="G392:H392"/>
    <mergeCell ref="Q72:Q75"/>
    <mergeCell ref="G386:H386"/>
    <mergeCell ref="E288:F288"/>
    <mergeCell ref="B96:D99"/>
    <mergeCell ref="K513:L513"/>
    <mergeCell ref="G263:H263"/>
    <mergeCell ref="I21:J21"/>
    <mergeCell ref="I152:J152"/>
    <mergeCell ref="E421:Q421"/>
    <mergeCell ref="B35:D35"/>
    <mergeCell ref="I486:J486"/>
    <mergeCell ref="B396:D399"/>
    <mergeCell ref="I23:J23"/>
    <mergeCell ref="K216:L216"/>
    <mergeCell ref="I452:J452"/>
    <mergeCell ref="M272:N272"/>
    <mergeCell ref="E346:F346"/>
    <mergeCell ref="E348:F348"/>
    <mergeCell ref="G448:H448"/>
    <mergeCell ref="G105:H105"/>
    <mergeCell ref="B137:Q137"/>
    <mergeCell ref="B67:D67"/>
    <mergeCell ref="I512:J512"/>
    <mergeCell ref="I468:J468"/>
    <mergeCell ref="I49:J49"/>
    <mergeCell ref="G107:H107"/>
    <mergeCell ref="I478:J478"/>
    <mergeCell ref="G405:H405"/>
    <mergeCell ref="E372:F372"/>
    <mergeCell ref="E501:Q501"/>
    <mergeCell ref="I382:J382"/>
    <mergeCell ref="K140:L140"/>
    <mergeCell ref="E367:F367"/>
    <mergeCell ref="K229:L229"/>
    <mergeCell ref="M204:N204"/>
    <mergeCell ref="M356:N356"/>
    <mergeCell ref="B48:D51"/>
    <mergeCell ref="B346:D349"/>
    <mergeCell ref="I252:J252"/>
    <mergeCell ref="E273:F273"/>
    <mergeCell ref="I516:J516"/>
    <mergeCell ref="I95:J95"/>
    <mergeCell ref="I393:J393"/>
    <mergeCell ref="K309:L309"/>
    <mergeCell ref="E418:F418"/>
    <mergeCell ref="G176:H176"/>
    <mergeCell ref="K153:L153"/>
    <mergeCell ref="O446:P446"/>
    <mergeCell ref="G476:H476"/>
    <mergeCell ref="G57:H57"/>
    <mergeCell ref="E413:F413"/>
    <mergeCell ref="G171:H171"/>
    <mergeCell ref="B209:Q209"/>
    <mergeCell ref="I121:J121"/>
    <mergeCell ref="G357:H357"/>
    <mergeCell ref="O316:P316"/>
    <mergeCell ref="I123:J123"/>
    <mergeCell ref="E286:F286"/>
    <mergeCell ref="K179:L179"/>
    <mergeCell ref="B435:D435"/>
    <mergeCell ref="E317:F317"/>
    <mergeCell ref="G75:H75"/>
    <mergeCell ref="E12:F12"/>
    <mergeCell ref="I477:J477"/>
    <mergeCell ref="K235:L235"/>
    <mergeCell ref="G497:H497"/>
    <mergeCell ref="E14:F14"/>
    <mergeCell ref="E312:F312"/>
    <mergeCell ref="I508:J508"/>
    <mergeCell ref="K21:L21"/>
    <mergeCell ref="I293:J293"/>
    <mergeCell ref="K355:L355"/>
    <mergeCell ref="I134:J134"/>
    <mergeCell ref="M296:N296"/>
    <mergeCell ref="I503:J503"/>
    <mergeCell ref="M298:N298"/>
    <mergeCell ref="G432:H432"/>
    <mergeCell ref="M325:N325"/>
    <mergeCell ref="E399:F399"/>
    <mergeCell ref="G428:H428"/>
    <mergeCell ref="E488:F488"/>
    <mergeCell ref="G246:H246"/>
    <mergeCell ref="G129:H129"/>
    <mergeCell ref="E365:F365"/>
    <mergeCell ref="E25:F25"/>
    <mergeCell ref="M327:N327"/>
    <mergeCell ref="O362:P362"/>
    <mergeCell ref="G463:H463"/>
    <mergeCell ref="I492:J492"/>
    <mergeCell ref="G131:H131"/>
    <mergeCell ref="B235:D235"/>
    <mergeCell ref="G429:H429"/>
    <mergeCell ref="I485:J485"/>
    <mergeCell ref="B505:D505"/>
    <mergeCell ref="I189:J189"/>
    <mergeCell ref="G458:H458"/>
    <mergeCell ref="M9:N9"/>
    <mergeCell ref="I487:J487"/>
    <mergeCell ref="E83:F83"/>
    <mergeCell ref="E187:Q187"/>
    <mergeCell ref="I523:J523"/>
    <mergeCell ref="I188:J188"/>
    <mergeCell ref="E301:Q301"/>
    <mergeCell ref="K253:L253"/>
    <mergeCell ref="M11:N11"/>
    <mergeCell ref="I218:J218"/>
    <mergeCell ref="E383:F383"/>
    <mergeCell ref="M169:N169"/>
    <mergeCell ref="M467:N467"/>
    <mergeCell ref="E84:F84"/>
    <mergeCell ref="K282:L282"/>
    <mergeCell ref="E385:F385"/>
    <mergeCell ref="G447:H447"/>
    <mergeCell ref="I205:J205"/>
    <mergeCell ref="M469:N469"/>
    <mergeCell ref="M12:N12"/>
    <mergeCell ref="O525:P525"/>
    <mergeCell ref="E86:F86"/>
    <mergeCell ref="E80:F80"/>
    <mergeCell ref="E378:F378"/>
    <mergeCell ref="G144:H144"/>
    <mergeCell ref="G442:H442"/>
    <mergeCell ref="E31:Q31"/>
    <mergeCell ref="I358:J358"/>
    <mergeCell ref="E81:F81"/>
    <mergeCell ref="K422:L422"/>
    <mergeCell ref="E331:Q331"/>
    <mergeCell ref="K335:L335"/>
    <mergeCell ref="G473:H473"/>
    <mergeCell ref="B204:D207"/>
    <mergeCell ref="G170:H170"/>
    <mergeCell ref="M399:N399"/>
    <mergeCell ref="G529:H529"/>
    <mergeCell ref="I289:J289"/>
    <mergeCell ref="G74:H74"/>
    <mergeCell ref="E411:Q411"/>
    <mergeCell ref="I132:J132"/>
    <mergeCell ref="K48:L48"/>
    <mergeCell ref="K346:L346"/>
    <mergeCell ref="K477:L477"/>
    <mergeCell ref="B101:Q101"/>
    <mergeCell ref="K348:L348"/>
    <mergeCell ref="G242:H242"/>
    <mergeCell ref="E21:F21"/>
    <mergeCell ref="M412:N412"/>
    <mergeCell ref="E486:F486"/>
    <mergeCell ref="E23:F23"/>
    <mergeCell ref="I316:J316"/>
    <mergeCell ref="E181:F181"/>
    <mergeCell ref="I272:J272"/>
    <mergeCell ref="G237:H237"/>
    <mergeCell ref="E479:F479"/>
    <mergeCell ref="E401:Q401"/>
    <mergeCell ref="G245:H245"/>
    <mergeCell ref="G456:H456"/>
    <mergeCell ref="K276:L276"/>
    <mergeCell ref="M463:N463"/>
    <mergeCell ref="E468:F468"/>
    <mergeCell ref="E49:F49"/>
    <mergeCell ref="K278:L278"/>
    <mergeCell ref="M465:N465"/>
    <mergeCell ref="M8:N8"/>
    <mergeCell ref="O529:P529"/>
    <mergeCell ref="O523:P523"/>
    <mergeCell ref="B246:D249"/>
    <mergeCell ref="B43:D43"/>
    <mergeCell ref="B341:D341"/>
    <mergeCell ref="E2:Q2"/>
    <mergeCell ref="G169:H169"/>
    <mergeCell ref="M193:N193"/>
    <mergeCell ref="I356:J356"/>
    <mergeCell ref="K418:L418"/>
    <mergeCell ref="B486:D489"/>
    <mergeCell ref="I233:J233"/>
    <mergeCell ref="G469:H469"/>
    <mergeCell ref="I227:J227"/>
    <mergeCell ref="M362:N362"/>
    <mergeCell ref="K122:L122"/>
    <mergeCell ref="E436:F436"/>
    <mergeCell ref="M476:N476"/>
    <mergeCell ref="E525:F525"/>
    <mergeCell ref="I258:J258"/>
    <mergeCell ref="O242:P242"/>
    <mergeCell ref="G195:H195"/>
    <mergeCell ref="G493:H493"/>
    <mergeCell ref="O428:P428"/>
    <mergeCell ref="Q266:Q269"/>
    <mergeCell ref="G309:H309"/>
    <mergeCell ref="B271:D271"/>
    <mergeCell ref="I259:J259"/>
    <mergeCell ref="G495:H495"/>
    <mergeCell ref="I253:J253"/>
    <mergeCell ref="E120:F120"/>
    <mergeCell ref="K446:L446"/>
    <mergeCell ref="B506:D509"/>
    <mergeCell ref="K317:L317"/>
    <mergeCell ref="K448:L448"/>
    <mergeCell ref="M206:N206"/>
    <mergeCell ref="E121:F121"/>
    <mergeCell ref="K319:L319"/>
    <mergeCell ref="E455:F455"/>
    <mergeCell ref="E449:F449"/>
    <mergeCell ref="M506:N506"/>
    <mergeCell ref="I256:J256"/>
    <mergeCell ref="E123:F123"/>
    <mergeCell ref="G179:H179"/>
    <mergeCell ref="G39:H39"/>
    <mergeCell ref="G337:H337"/>
    <mergeCell ref="B255:D255"/>
    <mergeCell ref="E152:F152"/>
    <mergeCell ref="G339:H339"/>
    <mergeCell ref="I97:J97"/>
    <mergeCell ref="K159:L159"/>
    <mergeCell ref="I395:J395"/>
    <mergeCell ref="B415:D415"/>
    <mergeCell ref="E67:Q67"/>
    <mergeCell ref="I403:J403"/>
    <mergeCell ref="K459:L459"/>
    <mergeCell ref="E508:F508"/>
    <mergeCell ref="E134:F134"/>
    <mergeCell ref="M436:N436"/>
    <mergeCell ref="E292:F292"/>
    <mergeCell ref="G50:H50"/>
    <mergeCell ref="K373:L373"/>
    <mergeCell ref="E503:F503"/>
    <mergeCell ref="K388:L388"/>
    <mergeCell ref="I27:J27"/>
    <mergeCell ref="I325:J325"/>
    <mergeCell ref="E165:F165"/>
    <mergeCell ref="M276:N276"/>
    <mergeCell ref="I327:J327"/>
    <mergeCell ref="K85:L85"/>
    <mergeCell ref="K389:L389"/>
    <mergeCell ref="K383:L383"/>
    <mergeCell ref="M278:N278"/>
    <mergeCell ref="K84:L84"/>
    <mergeCell ref="K385:L385"/>
    <mergeCell ref="M447:N447"/>
    <mergeCell ref="O205:P205"/>
    <mergeCell ref="G279:H279"/>
    <mergeCell ref="K86:L86"/>
    <mergeCell ref="E216:F216"/>
    <mergeCell ref="Q366:Q369"/>
    <mergeCell ref="I167:J167"/>
    <mergeCell ref="M449:N449"/>
    <mergeCell ref="E523:F523"/>
    <mergeCell ref="I343:J343"/>
    <mergeCell ref="O365:P365"/>
    <mergeCell ref="B365:D365"/>
    <mergeCell ref="K386:L386"/>
    <mergeCell ref="E218:F218"/>
    <mergeCell ref="I38:J38"/>
    <mergeCell ref="E516:F516"/>
    <mergeCell ref="I169:J169"/>
    <mergeCell ref="I467:J467"/>
    <mergeCell ref="G282:H282"/>
    <mergeCell ref="I338:J338"/>
    <mergeCell ref="K233:L233"/>
    <mergeCell ref="I469:J469"/>
    <mergeCell ref="K227:L227"/>
    <mergeCell ref="I257:J257"/>
    <mergeCell ref="K525:L525"/>
    <mergeCell ref="Q376:Q379"/>
    <mergeCell ref="E461:Q461"/>
    <mergeCell ref="M177:N177"/>
    <mergeCell ref="G307:H307"/>
    <mergeCell ref="M508:N508"/>
    <mergeCell ref="M502:N502"/>
    <mergeCell ref="E236:F236"/>
    <mergeCell ref="E358:F358"/>
    <mergeCell ref="K99:L99"/>
    <mergeCell ref="E229:F229"/>
    <mergeCell ref="G422:H422"/>
    <mergeCell ref="E446:F446"/>
    <mergeCell ref="M503:N503"/>
    <mergeCell ref="G335:H335"/>
    <mergeCell ref="K155:L155"/>
    <mergeCell ref="B411:D411"/>
    <mergeCell ref="E448:F448"/>
    <mergeCell ref="G206:H206"/>
    <mergeCell ref="I399:J399"/>
    <mergeCell ref="K157:L157"/>
    <mergeCell ref="K455:L455"/>
    <mergeCell ref="B53:Q53"/>
    <mergeCell ref="G506:H506"/>
    <mergeCell ref="K457:L457"/>
    <mergeCell ref="E289:F289"/>
    <mergeCell ref="M513:N513"/>
    <mergeCell ref="K152:L152"/>
    <mergeCell ref="M92:N92"/>
    <mergeCell ref="O323:P323"/>
    <mergeCell ref="O279:P279"/>
    <mergeCell ref="O437:P437"/>
    <mergeCell ref="G48:H48"/>
    <mergeCell ref="G346:H346"/>
    <mergeCell ref="M516:N516"/>
    <mergeCell ref="G348:H348"/>
    <mergeCell ref="K483:L483"/>
    <mergeCell ref="B236:D239"/>
    <mergeCell ref="M243:N243"/>
    <mergeCell ref="K170:L170"/>
    <mergeCell ref="I412:J412"/>
    <mergeCell ref="K468:L468"/>
    <mergeCell ref="I107:J107"/>
    <mergeCell ref="E316:F316"/>
    <mergeCell ref="G372:H372"/>
    <mergeCell ref="B84:D87"/>
    <mergeCell ref="E261:Q261"/>
    <mergeCell ref="E189:F189"/>
    <mergeCell ref="B376:D379"/>
    <mergeCell ref="I9:J9"/>
    <mergeCell ref="E487:F487"/>
    <mergeCell ref="I140:J140"/>
    <mergeCell ref="I463:J463"/>
    <mergeCell ref="I438:J438"/>
    <mergeCell ref="B23:D23"/>
    <mergeCell ref="O204:P204"/>
    <mergeCell ref="I11:J11"/>
    <mergeCell ref="I465:J465"/>
    <mergeCell ref="B5:Q5"/>
    <mergeCell ref="B481:D481"/>
    <mergeCell ref="E205:F205"/>
    <mergeCell ref="M287:N287"/>
    <mergeCell ref="M262:N262"/>
    <mergeCell ref="K523:L523"/>
    <mergeCell ref="K529:L529"/>
    <mergeCell ref="E329:F329"/>
    <mergeCell ref="G87:H87"/>
    <mergeCell ref="B125:Q125"/>
    <mergeCell ref="M168:N168"/>
    <mergeCell ref="I62:J62"/>
    <mergeCell ref="B163:D163"/>
    <mergeCell ref="M282:N282"/>
    <mergeCell ref="G95:H95"/>
    <mergeCell ref="E356:F356"/>
    <mergeCell ref="G418:H418"/>
    <mergeCell ref="G393:H393"/>
    <mergeCell ref="K97:L97"/>
    <mergeCell ref="G306:H306"/>
    <mergeCell ref="I362:J362"/>
    <mergeCell ref="M313:N313"/>
    <mergeCell ref="I153:J153"/>
    <mergeCell ref="I476:J476"/>
    <mergeCell ref="K426:L426"/>
    <mergeCell ref="E258:F258"/>
    <mergeCell ref="K242:L242"/>
    <mergeCell ref="M342:N342"/>
    <mergeCell ref="Q406:Q409"/>
    <mergeCell ref="I363:J363"/>
    <mergeCell ref="K121:L121"/>
    <mergeCell ref="K428:L428"/>
    <mergeCell ref="M308:N308"/>
    <mergeCell ref="E382:F382"/>
    <mergeCell ref="K123:L123"/>
    <mergeCell ref="E259:F259"/>
    <mergeCell ref="Q96:Q99"/>
    <mergeCell ref="E253:F253"/>
    <mergeCell ref="G446:H446"/>
    <mergeCell ref="O408:P408"/>
    <mergeCell ref="O402:P402"/>
    <mergeCell ref="B326:D329"/>
    <mergeCell ref="G317:H317"/>
    <mergeCell ref="I75:J75"/>
    <mergeCell ref="B173:Q173"/>
    <mergeCell ref="I206:J206"/>
    <mergeCell ref="B95:D95"/>
    <mergeCell ref="O276:P276"/>
    <mergeCell ref="G319:H319"/>
    <mergeCell ref="G477:H477"/>
    <mergeCell ref="I235:J235"/>
    <mergeCell ref="K297:L297"/>
    <mergeCell ref="I506:J506"/>
    <mergeCell ref="M326:N326"/>
    <mergeCell ref="G14:H14"/>
    <mergeCell ref="B77:Q77"/>
    <mergeCell ref="B395:D395"/>
    <mergeCell ref="K299:L299"/>
    <mergeCell ref="K293:L293"/>
    <mergeCell ref="M355:N355"/>
    <mergeCell ref="E429:F429"/>
    <mergeCell ref="E97:F97"/>
    <mergeCell ref="G159:H159"/>
    <mergeCell ref="E395:F395"/>
    <mergeCell ref="M357:N357"/>
    <mergeCell ref="K167:L167"/>
    <mergeCell ref="G72:H72"/>
    <mergeCell ref="E272:F272"/>
    <mergeCell ref="Q416:Q419"/>
    <mergeCell ref="I217:J217"/>
    <mergeCell ref="G459:H459"/>
    <mergeCell ref="K192:L192"/>
    <mergeCell ref="I225:J225"/>
    <mergeCell ref="I129:J129"/>
    <mergeCell ref="I436:J436"/>
    <mergeCell ref="K194:L194"/>
    <mergeCell ref="K492:L492"/>
    <mergeCell ref="B143:D143"/>
    <mergeCell ref="G373:H373"/>
    <mergeCell ref="I131:J131"/>
    <mergeCell ref="I307:J307"/>
    <mergeCell ref="K195:L195"/>
    <mergeCell ref="E27:F27"/>
    <mergeCell ref="K493:L493"/>
    <mergeCell ref="E325:F325"/>
    <mergeCell ref="E116:F116"/>
    <mergeCell ref="Q496:Q499"/>
    <mergeCell ref="O11:P11"/>
    <mergeCell ref="E327:F327"/>
    <mergeCell ref="G85:H85"/>
    <mergeCell ref="G389:H389"/>
    <mergeCell ref="M289:N289"/>
    <mergeCell ref="G383:H383"/>
    <mergeCell ref="B167:D167"/>
    <mergeCell ref="G84:H84"/>
    <mergeCell ref="G385:H385"/>
    <mergeCell ref="I447:J447"/>
    <mergeCell ref="K205:L205"/>
    <mergeCell ref="K363:L363"/>
    <mergeCell ref="G86:H86"/>
    <mergeCell ref="B461:D461"/>
    <mergeCell ref="I449:J449"/>
    <mergeCell ref="E271:Q271"/>
    <mergeCell ref="E343:F343"/>
    <mergeCell ref="K365:L365"/>
    <mergeCell ref="I144:J144"/>
    <mergeCell ref="E115:Q115"/>
    <mergeCell ref="E38:F38"/>
    <mergeCell ref="M315:N315"/>
    <mergeCell ref="K119:L119"/>
    <mergeCell ref="M429:N429"/>
    <mergeCell ref="B187:D187"/>
    <mergeCell ref="O485:P485"/>
    <mergeCell ref="O368:P368"/>
    <mergeCell ref="B485:D485"/>
    <mergeCell ref="Q516:Q519"/>
    <mergeCell ref="E338:F338"/>
    <mergeCell ref="M183:N183"/>
    <mergeCell ref="E496:F496"/>
    <mergeCell ref="I177:J177"/>
    <mergeCell ref="G104:H104"/>
    <mergeCell ref="B446:D449"/>
    <mergeCell ref="B59:D59"/>
    <mergeCell ref="M322:N322"/>
    <mergeCell ref="I529:J529"/>
    <mergeCell ref="O243:P243"/>
    <mergeCell ref="E291:Q291"/>
    <mergeCell ref="K259:L259"/>
    <mergeCell ref="G99:H99"/>
    <mergeCell ref="I74:J74"/>
    <mergeCell ref="M482:N482"/>
    <mergeCell ref="E68:F68"/>
    <mergeCell ref="G155:H155"/>
    <mergeCell ref="M353:N353"/>
    <mergeCell ref="E427:F427"/>
    <mergeCell ref="G157:H157"/>
    <mergeCell ref="G132:H132"/>
    <mergeCell ref="M319:N319"/>
    <mergeCell ref="G455:H455"/>
    <mergeCell ref="M477:N477"/>
    <mergeCell ref="G457:H457"/>
    <mergeCell ref="I215:J215"/>
    <mergeCell ref="I513:J513"/>
    <mergeCell ref="G152:H152"/>
    <mergeCell ref="K323:L323"/>
    <mergeCell ref="K8:L8"/>
    <mergeCell ref="K279:L279"/>
    <mergeCell ref="G486:H486"/>
    <mergeCell ref="I216:J216"/>
    <mergeCell ref="K308:L308"/>
    <mergeCell ref="O443:P443"/>
    <mergeCell ref="I245:J245"/>
    <mergeCell ref="G212:H212"/>
    <mergeCell ref="O445:P445"/>
    <mergeCell ref="G56:H56"/>
    <mergeCell ref="E456:F456"/>
    <mergeCell ref="I276:J276"/>
    <mergeCell ref="E412:F412"/>
    <mergeCell ref="K305:L305"/>
    <mergeCell ref="G512:H512"/>
    <mergeCell ref="G468:H468"/>
    <mergeCell ref="B216:D219"/>
    <mergeCell ref="I120:J120"/>
    <mergeCell ref="I278:J278"/>
    <mergeCell ref="Q156:Q159"/>
    <mergeCell ref="E293:F293"/>
    <mergeCell ref="B516:D519"/>
    <mergeCell ref="B127:D127"/>
    <mergeCell ref="K336:L336"/>
    <mergeCell ref="E466:F466"/>
    <mergeCell ref="E9:F9"/>
    <mergeCell ref="E167:F167"/>
    <mergeCell ref="E438:F438"/>
    <mergeCell ref="Q180:Q183"/>
    <mergeCell ref="M425:N425"/>
    <mergeCell ref="K204:L204"/>
    <mergeCell ref="E11:F11"/>
    <mergeCell ref="O369:P369"/>
    <mergeCell ref="E169:F169"/>
    <mergeCell ref="E467:F467"/>
    <mergeCell ref="G225:H225"/>
    <mergeCell ref="M427:N427"/>
    <mergeCell ref="O489:P489"/>
    <mergeCell ref="O483:P483"/>
    <mergeCell ref="M306:N306"/>
    <mergeCell ref="B301:D301"/>
    <mergeCell ref="I262:J262"/>
    <mergeCell ref="G227:H227"/>
    <mergeCell ref="E469:F469"/>
    <mergeCell ref="G525:H525"/>
    <mergeCell ref="K49:L49"/>
    <mergeCell ref="I168:J168"/>
    <mergeCell ref="E62:F62"/>
    <mergeCell ref="K266:L266"/>
    <mergeCell ref="M295:N295"/>
    <mergeCell ref="I502:J502"/>
    <mergeCell ref="O509:P509"/>
    <mergeCell ref="Q24:Q27"/>
    <mergeCell ref="G97:H97"/>
    <mergeCell ref="K232:L232"/>
    <mergeCell ref="E362:F362"/>
    <mergeCell ref="M446:N446"/>
    <mergeCell ref="E153:F153"/>
    <mergeCell ref="B515:D515"/>
    <mergeCell ref="G128:H128"/>
    <mergeCell ref="G426:H426"/>
    <mergeCell ref="M448:N448"/>
    <mergeCell ref="O206:P206"/>
    <mergeCell ref="I342:J342"/>
    <mergeCell ref="E363:F363"/>
    <mergeCell ref="G121:H121"/>
    <mergeCell ref="O506:P506"/>
    <mergeCell ref="B132:D135"/>
    <mergeCell ref="G123:H123"/>
    <mergeCell ref="B199:D199"/>
    <mergeCell ref="K408:L408"/>
    <mergeCell ref="K402:L402"/>
    <mergeCell ref="G423:H423"/>
    <mergeCell ref="E75:F75"/>
    <mergeCell ref="E233:F233"/>
    <mergeCell ref="B29:Q29"/>
    <mergeCell ref="M466:N466"/>
    <mergeCell ref="E235:F235"/>
    <mergeCell ref="G297:H297"/>
    <mergeCell ref="G508:H508"/>
    <mergeCell ref="Q256:Q259"/>
    <mergeCell ref="I57:J57"/>
    <mergeCell ref="G299:H299"/>
    <mergeCell ref="G293:H293"/>
    <mergeCell ref="I355:J355"/>
    <mergeCell ref="O436:P436"/>
    <mergeCell ref="I268:J268"/>
    <mergeCell ref="I243:J243"/>
    <mergeCell ref="B375:D375"/>
    <mergeCell ref="E361:Q361"/>
    <mergeCell ref="I357:J357"/>
    <mergeCell ref="K332:L332"/>
    <mergeCell ref="I111:J111"/>
    <mergeCell ref="M519:N519"/>
    <mergeCell ref="K27:L27"/>
    <mergeCell ref="G192:H192"/>
    <mergeCell ref="K456:L456"/>
    <mergeCell ref="M396:N396"/>
    <mergeCell ref="Q396:Q399"/>
    <mergeCell ref="K327:L327"/>
    <mergeCell ref="M389:N389"/>
    <mergeCell ref="E463:F463"/>
    <mergeCell ref="G492:H492"/>
    <mergeCell ref="O278:P278"/>
    <mergeCell ref="M93:N93"/>
    <mergeCell ref="E465:F465"/>
    <mergeCell ref="G223:H223"/>
    <mergeCell ref="K472:L472"/>
    <mergeCell ref="E381:Q381"/>
    <mergeCell ref="K9:L9"/>
    <mergeCell ref="I287:J287"/>
    <mergeCell ref="K45:L45"/>
    <mergeCell ref="O449:P449"/>
    <mergeCell ref="G523:H523"/>
    <mergeCell ref="K343:L343"/>
    <mergeCell ref="K11:L11"/>
    <mergeCell ref="E251:Q251"/>
    <mergeCell ref="K47:L47"/>
    <mergeCell ref="K169:L169"/>
    <mergeCell ref="K345:L345"/>
    <mergeCell ref="E177:F177"/>
    <mergeCell ref="E475:F475"/>
    <mergeCell ref="I282:J282"/>
    <mergeCell ref="G249:H249"/>
    <mergeCell ref="E176:F176"/>
    <mergeCell ref="E447:F447"/>
    <mergeCell ref="G205:H205"/>
    <mergeCell ref="M233:N233"/>
    <mergeCell ref="K469:L469"/>
    <mergeCell ref="M409:N409"/>
    <mergeCell ref="O507:P507"/>
    <mergeCell ref="K257:L257"/>
    <mergeCell ref="M15:N15"/>
    <mergeCell ref="G363:H363"/>
    <mergeCell ref="B325:D325"/>
    <mergeCell ref="M235:N235"/>
    <mergeCell ref="E476:F476"/>
    <mergeCell ref="E144:F144"/>
    <mergeCell ref="O508:P508"/>
    <mergeCell ref="O502:P502"/>
    <mergeCell ref="I315:J315"/>
    <mergeCell ref="E478:F478"/>
    <mergeCell ref="I429:J429"/>
    <mergeCell ref="K398:L398"/>
    <mergeCell ref="Q48:Q51"/>
    <mergeCell ref="Q346:Q349"/>
    <mergeCell ref="I335:J335"/>
    <mergeCell ref="E204:F204"/>
    <mergeCell ref="M462:N462"/>
    <mergeCell ref="K399:L399"/>
    <mergeCell ref="M157:N157"/>
    <mergeCell ref="E206:F206"/>
    <mergeCell ref="E529:F529"/>
    <mergeCell ref="G262:H262"/>
    <mergeCell ref="O526:P526"/>
    <mergeCell ref="E506:F506"/>
    <mergeCell ref="I326:J326"/>
    <mergeCell ref="E74:F74"/>
    <mergeCell ref="E151:Q151"/>
    <mergeCell ref="K117:L117"/>
    <mergeCell ref="I353:J353"/>
    <mergeCell ref="I48:J48"/>
    <mergeCell ref="E19:Q19"/>
    <mergeCell ref="K417:L417"/>
    <mergeCell ref="K427:L427"/>
    <mergeCell ref="O247:P247"/>
    <mergeCell ref="M483:N483"/>
    <mergeCell ref="E242:F242"/>
    <mergeCell ref="E217:F217"/>
    <mergeCell ref="M475:N475"/>
    <mergeCell ref="K298:L298"/>
    <mergeCell ref="O249:P249"/>
    <mergeCell ref="M176:N176"/>
    <mergeCell ref="I81:J81"/>
    <mergeCell ref="K412:L412"/>
    <mergeCell ref="I379:J379"/>
    <mergeCell ref="E129:F129"/>
    <mergeCell ref="G194:H194"/>
    <mergeCell ref="G316:H316"/>
    <mergeCell ref="K443:L443"/>
    <mergeCell ref="M201:N201"/>
    <mergeCell ref="E131:F131"/>
    <mergeCell ref="E87:F87"/>
    <mergeCell ref="B41:Q41"/>
    <mergeCell ref="K445:L445"/>
    <mergeCell ref="M203:N203"/>
    <mergeCell ref="G189:H189"/>
    <mergeCell ref="E276:F276"/>
    <mergeCell ref="K438:L438"/>
    <mergeCell ref="B265:D265"/>
    <mergeCell ref="K465:L465"/>
    <mergeCell ref="E221:Q221"/>
    <mergeCell ref="M529:N529"/>
    <mergeCell ref="O287:P287"/>
    <mergeCell ref="K496:L496"/>
    <mergeCell ref="G336:H336"/>
    <mergeCell ref="M343:N343"/>
    <mergeCell ref="E521:Q521"/>
    <mergeCell ref="K367:L367"/>
    <mergeCell ref="Q286:Q289"/>
    <mergeCell ref="O289:P289"/>
    <mergeCell ref="K498:L498"/>
    <mergeCell ref="I425:J425"/>
    <mergeCell ref="K158:L158"/>
    <mergeCell ref="B107:D107"/>
    <mergeCell ref="B405:D405"/>
    <mergeCell ref="K369:L369"/>
    <mergeCell ref="I427:J427"/>
    <mergeCell ref="K489:L489"/>
    <mergeCell ref="M247:N247"/>
    <mergeCell ref="K527:L527"/>
    <mergeCell ref="I306:J306"/>
    <mergeCell ref="G233:H233"/>
    <mergeCell ref="E200:F200"/>
    <mergeCell ref="M433:N433"/>
    <mergeCell ref="M426:N426"/>
    <mergeCell ref="G258:H258"/>
    <mergeCell ref="O315:P315"/>
    <mergeCell ref="G49:H49"/>
    <mergeCell ref="G266:H266"/>
    <mergeCell ref="I24:J24"/>
    <mergeCell ref="M428:N428"/>
    <mergeCell ref="E502:F502"/>
    <mergeCell ref="I322:J322"/>
    <mergeCell ref="K509:L509"/>
    <mergeCell ref="E451:Q451"/>
    <mergeCell ref="G259:H259"/>
    <mergeCell ref="I446:J446"/>
    <mergeCell ref="B31:D31"/>
    <mergeCell ref="I482:J482"/>
    <mergeCell ref="K212:L212"/>
    <mergeCell ref="I448:J448"/>
    <mergeCell ref="K206:L206"/>
    <mergeCell ref="M146:N146"/>
    <mergeCell ref="E342:F342"/>
    <mergeCell ref="M181:N181"/>
    <mergeCell ref="K83:L83"/>
    <mergeCell ref="I319:J319"/>
    <mergeCell ref="E213:F213"/>
    <mergeCell ref="K512:L512"/>
    <mergeCell ref="K506:L506"/>
    <mergeCell ref="O326:P326"/>
    <mergeCell ref="O245:P245"/>
    <mergeCell ref="E39:F39"/>
    <mergeCell ref="E215:F215"/>
    <mergeCell ref="E337:F337"/>
    <mergeCell ref="E513:F513"/>
    <mergeCell ref="E373:F373"/>
    <mergeCell ref="G402:H402"/>
    <mergeCell ref="Q60:Q63"/>
    <mergeCell ref="I377:J377"/>
    <mergeCell ref="E339:F339"/>
    <mergeCell ref="K439:L439"/>
    <mergeCell ref="I37:J37"/>
    <mergeCell ref="I159:J159"/>
    <mergeCell ref="I466:J466"/>
    <mergeCell ref="G403:H403"/>
    <mergeCell ref="M288:N288"/>
    <mergeCell ref="K225:L225"/>
    <mergeCell ref="M499:N499"/>
    <mergeCell ref="E57:F57"/>
    <mergeCell ref="I249:J249"/>
    <mergeCell ref="E355:F355"/>
    <mergeCell ref="M200:N200"/>
    <mergeCell ref="K436:L436"/>
    <mergeCell ref="G32:H32"/>
    <mergeCell ref="M194:N194"/>
    <mergeCell ref="E268:F268"/>
    <mergeCell ref="E243:F243"/>
    <mergeCell ref="Q526:Q529"/>
    <mergeCell ref="I63:J63"/>
    <mergeCell ref="G332:H332"/>
    <mergeCell ref="I388:J388"/>
    <mergeCell ref="B36:D39"/>
    <mergeCell ref="G27:H27"/>
    <mergeCell ref="B65:Q65"/>
    <mergeCell ref="I396:J396"/>
    <mergeCell ref="B103:D103"/>
    <mergeCell ref="E140:F140"/>
    <mergeCell ref="B336:D339"/>
    <mergeCell ref="G327:H327"/>
    <mergeCell ref="I85:J85"/>
    <mergeCell ref="I389:J389"/>
    <mergeCell ref="I93:J93"/>
    <mergeCell ref="G472:H472"/>
    <mergeCell ref="E287:F287"/>
    <mergeCell ref="G45:H45"/>
    <mergeCell ref="K449:L449"/>
    <mergeCell ref="G343:H343"/>
    <mergeCell ref="B7:D7"/>
    <mergeCell ref="G47:H47"/>
    <mergeCell ref="I109:J109"/>
    <mergeCell ref="G345:H345"/>
    <mergeCell ref="G467:H467"/>
    <mergeCell ref="B131:D131"/>
    <mergeCell ref="I119:J119"/>
    <mergeCell ref="B465:D465"/>
    <mergeCell ref="E282:F282"/>
    <mergeCell ref="B421:D421"/>
    <mergeCell ref="B431:D431"/>
    <mergeCell ref="I419:J419"/>
    <mergeCell ref="K177:L177"/>
    <mergeCell ref="I104:J104"/>
    <mergeCell ref="E313:F313"/>
    <mergeCell ref="G71:H71"/>
    <mergeCell ref="K475:L475"/>
    <mergeCell ref="E8:F8"/>
    <mergeCell ref="K508:L508"/>
    <mergeCell ref="M266:N266"/>
    <mergeCell ref="K502:L502"/>
    <mergeCell ref="K81:L81"/>
    <mergeCell ref="Q486:Q489"/>
    <mergeCell ref="E308:F308"/>
    <mergeCell ref="M268:N268"/>
    <mergeCell ref="B286:D289"/>
    <mergeCell ref="E335:F335"/>
    <mergeCell ref="G68:H68"/>
    <mergeCell ref="I155:J155"/>
    <mergeCell ref="G427:H427"/>
    <mergeCell ref="G399:H399"/>
    <mergeCell ref="I157:J157"/>
    <mergeCell ref="I193:J193"/>
    <mergeCell ref="K526:L526"/>
    <mergeCell ref="G213:H213"/>
    <mergeCell ref="I457:J457"/>
    <mergeCell ref="K215:L215"/>
    <mergeCell ref="E326:F326"/>
    <mergeCell ref="G513:H513"/>
    <mergeCell ref="K92:L92"/>
    <mergeCell ref="K223:L223"/>
    <mergeCell ref="M323:N323"/>
    <mergeCell ref="G117:H117"/>
    <mergeCell ref="M279:N279"/>
    <mergeCell ref="E353:F353"/>
    <mergeCell ref="I488:J488"/>
    <mergeCell ref="G425:H425"/>
    <mergeCell ref="E48:F48"/>
    <mergeCell ref="I61:J61"/>
    <mergeCell ref="I183:J183"/>
    <mergeCell ref="K248:L248"/>
    <mergeCell ref="G417:H417"/>
    <mergeCell ref="I517:J517"/>
    <mergeCell ref="K247:L247"/>
    <mergeCell ref="I212:J212"/>
    <mergeCell ref="I483:J483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K243:L243"/>
    <mergeCell ref="M305:N305"/>
    <mergeCell ref="G412:H412"/>
    <mergeCell ref="E379:F379"/>
    <mergeCell ref="K120:L120"/>
    <mergeCell ref="M307:N307"/>
    <mergeCell ref="E110:F110"/>
    <mergeCell ref="G443:H443"/>
    <mergeCell ref="I201:J201"/>
    <mergeCell ref="G453:H453"/>
    <mergeCell ref="B215:D215"/>
    <mergeCell ref="B60:D63"/>
    <mergeCell ref="G9:H9"/>
    <mergeCell ref="G140:H140"/>
    <mergeCell ref="G438:H438"/>
    <mergeCell ref="O425:P425"/>
    <mergeCell ref="B425:D425"/>
    <mergeCell ref="I232:J232"/>
    <mergeCell ref="G11:H11"/>
    <mergeCell ref="K419:L419"/>
    <mergeCell ref="I204:J204"/>
    <mergeCell ref="E92:F92"/>
    <mergeCell ref="B144:D147"/>
    <mergeCell ref="B245:D245"/>
    <mergeCell ref="K262:L262"/>
    <mergeCell ref="K44:L44"/>
    <mergeCell ref="M237:N237"/>
    <mergeCell ref="K473:L473"/>
    <mergeCell ref="G69:H69"/>
    <mergeCell ref="G367:H367"/>
    <mergeCell ref="M239:N239"/>
    <mergeCell ref="E95:F95"/>
    <mergeCell ref="G369:H369"/>
    <mergeCell ref="E393:F393"/>
    <mergeCell ref="Q108:Q111"/>
    <mergeCell ref="G527:H527"/>
    <mergeCell ref="K347:L347"/>
    <mergeCell ref="Q144:Q147"/>
    <mergeCell ref="E306:F306"/>
    <mergeCell ref="G368:H368"/>
    <mergeCell ref="I433:J433"/>
    <mergeCell ref="K191:L191"/>
    <mergeCell ref="G153:H153"/>
    <mergeCell ref="B115:D115"/>
    <mergeCell ref="I128:J128"/>
    <mergeCell ref="I426:J426"/>
    <mergeCell ref="K342:L342"/>
    <mergeCell ref="M407:N407"/>
    <mergeCell ref="I428:J428"/>
    <mergeCell ref="E24:F24"/>
    <mergeCell ref="E322:F322"/>
    <mergeCell ref="M408:N408"/>
    <mergeCell ref="E482:F482"/>
    <mergeCell ref="M402:N402"/>
    <mergeCell ref="B113:Q113"/>
    <mergeCell ref="I146:J146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326:L326"/>
    <mergeCell ref="K362:L362"/>
    <mergeCell ref="K245:L245"/>
    <mergeCell ref="I299:J299"/>
    <mergeCell ref="M309:N309"/>
    <mergeCell ref="M303:N303"/>
    <mergeCell ref="E37:F37"/>
    <mergeCell ref="E159:F159"/>
    <mergeCell ref="B456:D459"/>
    <mergeCell ref="E493:F493"/>
    <mergeCell ref="E47:F47"/>
    <mergeCell ref="O367:P367"/>
    <mergeCell ref="E406:F406"/>
    <mergeCell ref="E459:F459"/>
    <mergeCell ref="B179:D179"/>
    <mergeCell ref="I228:J228"/>
    <mergeCell ref="O527:P527"/>
    <mergeCell ref="E321:Q321"/>
    <mergeCell ref="I200:J200"/>
    <mergeCell ref="G436:H436"/>
    <mergeCell ref="I194:J194"/>
    <mergeCell ref="B197:Q197"/>
    <mergeCell ref="E63:F63"/>
    <mergeCell ref="K292:L292"/>
    <mergeCell ref="I528:J528"/>
    <mergeCell ref="I71:J71"/>
    <mergeCell ref="K258:L258"/>
    <mergeCell ref="I223:J223"/>
    <mergeCell ref="G465:H465"/>
    <mergeCell ref="M472:N472"/>
    <mergeCell ref="Q236:Q239"/>
    <mergeCell ref="K287:L287"/>
    <mergeCell ref="E119:F119"/>
    <mergeCell ref="B355:D355"/>
    <mergeCell ref="M352:N352"/>
    <mergeCell ref="E85:F85"/>
    <mergeCell ref="E389:F389"/>
    <mergeCell ref="K289:L289"/>
    <mergeCell ref="G183:H183"/>
    <mergeCell ref="M345:N345"/>
    <mergeCell ref="E419:F419"/>
    <mergeCell ref="E93:F93"/>
    <mergeCell ref="G193:H193"/>
    <mergeCell ref="K13:L13"/>
    <mergeCell ref="O409:P409"/>
    <mergeCell ref="B168:D171"/>
    <mergeCell ref="G483:H483"/>
    <mergeCell ref="B466:D469"/>
    <mergeCell ref="B225:D225"/>
    <mergeCell ref="E122:F122"/>
    <mergeCell ref="K15:L15"/>
    <mergeCell ref="I213:J213"/>
    <mergeCell ref="K313:L313"/>
    <mergeCell ref="G449:H449"/>
    <mergeCell ref="E416:F416"/>
    <mergeCell ref="B525:D525"/>
    <mergeCell ref="K315:L315"/>
    <mergeCell ref="I242:J242"/>
    <mergeCell ref="E147:F147"/>
    <mergeCell ref="E445:F445"/>
    <mergeCell ref="G509:H509"/>
    <mergeCell ref="B251:D251"/>
    <mergeCell ref="A1:D3"/>
    <mergeCell ref="G177:H177"/>
    <mergeCell ref="E104:F104"/>
    <mergeCell ref="G204:H204"/>
    <mergeCell ref="M406:N406"/>
    <mergeCell ref="G475:H475"/>
    <mergeCell ref="I269:J269"/>
    <mergeCell ref="M518:N518"/>
    <mergeCell ref="K482:L482"/>
    <mergeCell ref="M422:N422"/>
    <mergeCell ref="M432:N432"/>
    <mergeCell ref="K353:L353"/>
    <mergeCell ref="O488:P488"/>
    <mergeCell ref="E489:F489"/>
    <mergeCell ref="B108:D111"/>
    <mergeCell ref="I409:J409"/>
    <mergeCell ref="E132:F132"/>
    <mergeCell ref="M417:N417"/>
    <mergeCell ref="B211:D211"/>
    <mergeCell ref="M419:N419"/>
    <mergeCell ref="I313:J313"/>
    <mergeCell ref="B335:D335"/>
    <mergeCell ref="I165:J165"/>
    <mergeCell ref="B511:D511"/>
    <mergeCell ref="E59:F59"/>
    <mergeCell ref="I323:J323"/>
    <mergeCell ref="E61:F61"/>
    <mergeCell ref="E359:F359"/>
    <mergeCell ref="M145:N145"/>
    <mergeCell ref="K387:L387"/>
    <mergeCell ref="E103:Q103"/>
    <mergeCell ref="M443:N443"/>
    <mergeCell ref="E517:F517"/>
    <mergeCell ref="E212:F212"/>
    <mergeCell ref="M147:N147"/>
    <mergeCell ref="M445:N445"/>
    <mergeCell ref="O203:P203"/>
    <mergeCell ref="E519:F519"/>
    <mergeCell ref="G277:H277"/>
    <mergeCell ref="E56:F56"/>
    <mergeCell ref="G276:H276"/>
    <mergeCell ref="E512:F512"/>
    <mergeCell ref="B496:D499"/>
    <mergeCell ref="K397:L397"/>
    <mergeCell ref="G120:H120"/>
    <mergeCell ref="G278:H278"/>
    <mergeCell ref="I36:J36"/>
    <mergeCell ref="E7:Q7"/>
    <mergeCell ref="I336:J336"/>
    <mergeCell ref="M367:N367"/>
    <mergeCell ref="M498:N498"/>
    <mergeCell ref="K425:L425"/>
    <mergeCell ref="M158:N158"/>
    <mergeCell ref="E232:F232"/>
    <mergeCell ref="G419:H419"/>
    <mergeCell ref="G207:H207"/>
    <mergeCell ref="M369:N369"/>
    <mergeCell ref="G505:H505"/>
    <mergeCell ref="E225:F225"/>
    <mergeCell ref="M489:N489"/>
    <mergeCell ref="G200:H200"/>
    <mergeCell ref="O433:P433"/>
    <mergeCell ref="G507:H507"/>
    <mergeCell ref="I265:J265"/>
    <mergeCell ref="E227:F227"/>
    <mergeCell ref="Q246:Q249"/>
    <mergeCell ref="O435:P435"/>
    <mergeCell ref="K329:L329"/>
    <mergeCell ref="I266:J266"/>
    <mergeCell ref="K24:L24"/>
    <mergeCell ref="K295:L295"/>
    <mergeCell ref="G502:H502"/>
    <mergeCell ref="K322:L322"/>
    <mergeCell ref="K453:L453"/>
    <mergeCell ref="G347:H347"/>
    <mergeCell ref="K26:L26"/>
    <mergeCell ref="M359:N359"/>
    <mergeCell ref="E156:F156"/>
    <mergeCell ref="M517:N517"/>
    <mergeCell ref="O275:P275"/>
    <mergeCell ref="E128:F128"/>
    <mergeCell ref="E155:F155"/>
    <mergeCell ref="E426:F426"/>
    <mergeCell ref="O486:P486"/>
    <mergeCell ref="M388:N388"/>
    <mergeCell ref="E462:F462"/>
    <mergeCell ref="G342:H342"/>
    <mergeCell ref="O277:P277"/>
    <mergeCell ref="I407:J407"/>
    <mergeCell ref="E157:F157"/>
    <mergeCell ref="E428:F428"/>
    <mergeCell ref="G222:H222"/>
    <mergeCell ref="E79:Q79"/>
    <mergeCell ref="E371:Q371"/>
    <mergeCell ref="E231:Q231"/>
    <mergeCell ref="E457:F457"/>
    <mergeCell ref="G215:H215"/>
    <mergeCell ref="I110:J110"/>
    <mergeCell ref="I408:J408"/>
    <mergeCell ref="I402:J402"/>
    <mergeCell ref="B291:D291"/>
    <mergeCell ref="M141:N141"/>
    <mergeCell ref="K377:L377"/>
    <mergeCell ref="M439:N439"/>
    <mergeCell ref="I279:J279"/>
    <mergeCell ref="E146:F146"/>
    <mergeCell ref="K168:L168"/>
    <mergeCell ref="K466:L466"/>
    <mergeCell ref="E298:F298"/>
    <mergeCell ref="M143:N143"/>
    <mergeCell ref="E297:F297"/>
    <mergeCell ref="Q12:Q15"/>
    <mergeCell ref="M232:N232"/>
    <mergeCell ref="O288:P288"/>
    <mergeCell ref="G362:H362"/>
    <mergeCell ref="O207:P207"/>
    <mergeCell ref="O505:P505"/>
    <mergeCell ref="E299:F299"/>
    <mergeCell ref="G355:H355"/>
    <mergeCell ref="B89:Q89"/>
    <mergeCell ref="B19:D19"/>
    <mergeCell ref="O200:P200"/>
    <mergeCell ref="I32:J32"/>
    <mergeCell ref="G243:H243"/>
    <mergeCell ref="E170:F170"/>
    <mergeCell ref="I305:J305"/>
    <mergeCell ref="B276:D279"/>
    <mergeCell ref="K96:L96"/>
    <mergeCell ref="I332:J332"/>
    <mergeCell ref="E201:F201"/>
    <mergeCell ref="M283:N283"/>
    <mergeCell ref="G388:H388"/>
    <mergeCell ref="K98:L98"/>
    <mergeCell ref="K396:L396"/>
    <mergeCell ref="B17:Q17"/>
    <mergeCell ref="M156:N156"/>
    <mergeCell ref="K93:L93"/>
    <mergeCell ref="M155:N155"/>
    <mergeCell ref="I60:J60"/>
    <mergeCell ref="E223:F223"/>
    <mergeCell ref="O518:P518"/>
    <mergeCell ref="K423:L423"/>
    <mergeCell ref="I472:J472"/>
    <mergeCell ref="B296:D299"/>
    <mergeCell ref="G287:H287"/>
    <mergeCell ref="I45:J45"/>
    <mergeCell ref="M180:N180"/>
    <mergeCell ref="K238:L238"/>
    <mergeCell ref="B306:D309"/>
    <mergeCell ref="I352:J352"/>
    <mergeCell ref="G289:H289"/>
    <mergeCell ref="I47:J47"/>
    <mergeCell ref="M182:N182"/>
    <mergeCell ref="I345:J345"/>
    <mergeCell ref="G13:H13"/>
    <mergeCell ref="E249:F249"/>
    <mergeCell ref="O246:P246"/>
    <mergeCell ref="K409:L409"/>
    <mergeCell ref="Q84:Q87"/>
    <mergeCell ref="I376:J376"/>
    <mergeCell ref="E257:F257"/>
    <mergeCell ref="G15:H15"/>
    <mergeCell ref="G313:H313"/>
    <mergeCell ref="O273:P273"/>
    <mergeCell ref="O248:P248"/>
    <mergeCell ref="M297:N297"/>
    <mergeCell ref="M515:N515"/>
    <mergeCell ref="G305:H305"/>
    <mergeCell ref="B161:Q161"/>
    <mergeCell ref="B91:D91"/>
    <mergeCell ref="G315:H315"/>
    <mergeCell ref="I73:J73"/>
    <mergeCell ref="Q386:Q389"/>
    <mergeCell ref="E396:F396"/>
    <mergeCell ref="B391:D391"/>
    <mergeCell ref="B385:D385"/>
    <mergeCell ref="E267:F267"/>
    <mergeCell ref="E425:F425"/>
    <mergeCell ref="I406:J406"/>
    <mergeCell ref="K164:L164"/>
    <mergeCell ref="K462:L462"/>
    <mergeCell ref="E269:F269"/>
    <mergeCell ref="I518:J518"/>
    <mergeCell ref="O328:P328"/>
    <mergeCell ref="E262:F262"/>
    <mergeCell ref="M526:N526"/>
    <mergeCell ref="G326:H326"/>
    <mergeCell ref="O286:P286"/>
    <mergeCell ref="B72:D75"/>
    <mergeCell ref="G239:H239"/>
    <mergeCell ref="I432:J432"/>
    <mergeCell ref="I117:J117"/>
    <mergeCell ref="I92:J92"/>
    <mergeCell ref="G353:H353"/>
    <mergeCell ref="K488:L488"/>
    <mergeCell ref="B315:D315"/>
    <mergeCell ref="I303:J303"/>
    <mergeCell ref="E409:F409"/>
    <mergeCell ref="K359:L359"/>
    <mergeCell ref="O12:P12"/>
    <mergeCell ref="I417:J417"/>
    <mergeCell ref="Q36:Q39"/>
    <mergeCell ref="O14:P14"/>
    <mergeCell ref="G255:H255"/>
    <mergeCell ref="O318:P318"/>
    <mergeCell ref="O312:P312"/>
    <mergeCell ref="E497:F497"/>
    <mergeCell ref="K193:L193"/>
    <mergeCell ref="O13:P13"/>
    <mergeCell ref="E192:F192"/>
    <mergeCell ref="M249:N249"/>
    <mergeCell ref="E323:F323"/>
    <mergeCell ref="G81:H81"/>
    <mergeCell ref="E499:F499"/>
    <mergeCell ref="M285:N285"/>
    <mergeCell ref="Q336:Q339"/>
    <mergeCell ref="G379:H379"/>
    <mergeCell ref="O15:P15"/>
    <mergeCell ref="E194:F194"/>
    <mergeCell ref="B455:D455"/>
    <mergeCell ref="O313:P313"/>
    <mergeCell ref="G387:H387"/>
    <mergeCell ref="I145:J145"/>
    <mergeCell ref="B491:D491"/>
    <mergeCell ref="I443:J443"/>
    <mergeCell ref="I147:J147"/>
    <mergeCell ref="I445:J445"/>
    <mergeCell ref="K203:L203"/>
    <mergeCell ref="E139:Q139"/>
    <mergeCell ref="M267:N267"/>
    <mergeCell ref="G397:H397"/>
    <mergeCell ref="M478:N478"/>
    <mergeCell ref="B416:D419"/>
    <mergeCell ref="E36:F36"/>
    <mergeCell ref="M269:N269"/>
    <mergeCell ref="E336:F336"/>
    <mergeCell ref="B475:D475"/>
    <mergeCell ref="I69:J69"/>
    <mergeCell ref="I367:J367"/>
    <mergeCell ref="I158:J158"/>
    <mergeCell ref="I375:J375"/>
    <mergeCell ref="E281:Q281"/>
    <mergeCell ref="I369:J369"/>
    <mergeCell ref="I489:J489"/>
    <mergeCell ref="I527:J527"/>
    <mergeCell ref="K433:L433"/>
    <mergeCell ref="M191:N191"/>
    <mergeCell ref="M349:N349"/>
    <mergeCell ref="I72:J72"/>
    <mergeCell ref="K435:L435"/>
    <mergeCell ref="B185:Q185"/>
    <mergeCell ref="Q226:Q229"/>
    <mergeCell ref="M192:N192"/>
    <mergeCell ref="E266:F266"/>
    <mergeCell ref="G24:H24"/>
    <mergeCell ref="G322:H322"/>
    <mergeCell ref="I509:J509"/>
    <mergeCell ref="G26:H26"/>
    <mergeCell ref="K275:L275"/>
    <mergeCell ref="G482:H482"/>
    <mergeCell ref="E211:Q211"/>
    <mergeCell ref="K146:L146"/>
    <mergeCell ref="E407:F407"/>
    <mergeCell ref="E511:Q511"/>
    <mergeCell ref="K515:L515"/>
    <mergeCell ref="K306:L306"/>
    <mergeCell ref="M368:N368"/>
    <mergeCell ref="M245:N245"/>
    <mergeCell ref="E408:F408"/>
    <mergeCell ref="E402:F402"/>
    <mergeCell ref="O426:P426"/>
    <mergeCell ref="I141:J141"/>
    <mergeCell ref="E351:Q351"/>
    <mergeCell ref="G352:H352"/>
    <mergeCell ref="E279:F279"/>
    <mergeCell ref="G37:H37"/>
    <mergeCell ref="G377:H377"/>
    <mergeCell ref="I439:J439"/>
    <mergeCell ref="E437:F437"/>
    <mergeCell ref="G466:H466"/>
    <mergeCell ref="E55:Q55"/>
    <mergeCell ref="I143:J143"/>
    <mergeCell ref="G167:H167"/>
    <mergeCell ref="K288:L288"/>
    <mergeCell ref="K207:L207"/>
    <mergeCell ref="K505:L505"/>
    <mergeCell ref="M263:N263"/>
    <mergeCell ref="K499:L499"/>
    <mergeCell ref="K200:L200"/>
    <mergeCell ref="G526:H526"/>
    <mergeCell ref="E32:F32"/>
    <mergeCell ref="E305:F305"/>
    <mergeCell ref="G63:H63"/>
    <mergeCell ref="M265:N265"/>
    <mergeCell ref="Q476:Q479"/>
    <mergeCell ref="G96:H96"/>
    <mergeCell ref="E332:F332"/>
    <mergeCell ref="E307:F307"/>
    <mergeCell ref="G98:H98"/>
    <mergeCell ref="O322:P322"/>
    <mergeCell ref="G396:H396"/>
    <mergeCell ref="I156:J156"/>
    <mergeCell ref="K256:L256"/>
    <mergeCell ref="I498:J498"/>
    <mergeCell ref="O482:P482"/>
    <mergeCell ref="G93:H93"/>
    <mergeCell ref="E60:F60"/>
    <mergeCell ref="B501:D501"/>
    <mergeCell ref="B55:D55"/>
    <mergeCell ref="M293:N293"/>
    <mergeCell ref="M286:N286"/>
    <mergeCell ref="E45:F45"/>
    <mergeCell ref="I180:J180"/>
    <mergeCell ref="I182:J182"/>
    <mergeCell ref="G109:H109"/>
    <mergeCell ref="E345:F345"/>
    <mergeCell ref="B71:D71"/>
    <mergeCell ref="E311:Q311"/>
    <mergeCell ref="G119:H119"/>
    <mergeCell ref="B426:D429"/>
    <mergeCell ref="G295:H295"/>
    <mergeCell ref="B521:D521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69" t="n"/>
      <c r="G1" s="69" t="n"/>
      <c r="H1" s="69" t="n"/>
      <c r="I1" s="69" t="n"/>
      <c r="J1" s="69" t="n"/>
      <c r="K1" s="69" t="n"/>
      <c r="L1" s="70" t="n"/>
    </row>
    <row r="2">
      <c r="A2" s="7" t="inlineStr">
        <is>
          <t>Route 101</t>
        </is>
      </c>
      <c r="B2" s="6" t="inlineStr">
        <is>
          <t>Split 1</t>
        </is>
      </c>
      <c r="C2" s="71" t="inlineStr">
        <is>
          <t>Land</t>
        </is>
      </c>
      <c r="D2" s="6" t="n">
        <v>20</v>
      </c>
      <c r="E2" s="30" t="inlineStr">
        <is>
          <t>Wurmple  Lv 2-3  (45%)</t>
        </is>
      </c>
      <c r="F2" s="30" t="inlineStr">
        <is>
          <t>Poochyena  Lv 2-3  (45%)</t>
        </is>
      </c>
      <c r="G2" s="30" t="inlineStr">
        <is>
          <t>Zigzagoon  Lv 2-3  (10%)</t>
        </is>
      </c>
    </row>
    <row r="3">
      <c r="A3" s="7" t="inlineStr">
        <is>
          <t>Viridian Forest</t>
        </is>
      </c>
      <c r="B3" s="6" t="inlineStr">
        <is>
          <t>Split 1</t>
        </is>
      </c>
      <c r="C3" s="71" t="inlineStr">
        <is>
          <t>Land</t>
        </is>
      </c>
      <c r="D3" s="6" t="n">
        <v>20</v>
      </c>
      <c r="E3" s="30" t="inlineStr">
        <is>
          <t>Caterpie  Lv 9-10  (30%)</t>
        </is>
      </c>
      <c r="F3" s="30" t="inlineStr">
        <is>
          <t>Weedle  Lv 9-10  (30%)</t>
        </is>
      </c>
      <c r="G3" s="30" t="inlineStr">
        <is>
          <t>Metapod  Lv 10-11  (14%)</t>
        </is>
      </c>
      <c r="H3" s="30" t="inlineStr">
        <is>
          <t>Kakuna  Lv 10-11  (14%)</t>
        </is>
      </c>
      <c r="I3" s="30" t="inlineStr">
        <is>
          <t>Pidgey  Lv 9-11  (10%)</t>
        </is>
      </c>
      <c r="J3" s="30" t="inlineStr">
        <is>
          <t>Pikachu  Lv 10-11  (2%)</t>
        </is>
      </c>
    </row>
    <row r="4">
      <c r="A4" s="7" t="inlineStr">
        <is>
          <t>Route 102</t>
        </is>
      </c>
      <c r="B4" s="6" t="inlineStr">
        <is>
          <t>Split 1</t>
        </is>
      </c>
      <c r="C4" s="71" t="inlineStr">
        <is>
          <t>Land</t>
        </is>
      </c>
      <c r="D4" s="6" t="n">
        <v>20</v>
      </c>
      <c r="E4" s="30" t="inlineStr">
        <is>
          <t>Poochyena  Lv 3-4  (30%)</t>
        </is>
      </c>
      <c r="F4" s="30" t="inlineStr">
        <is>
          <t>Wurmple  Lv 3-4  (30%)</t>
        </is>
      </c>
      <c r="G4" s="30" t="inlineStr">
        <is>
          <t>Lotad  Lv 3-4  (20%)</t>
        </is>
      </c>
      <c r="H4" s="30" t="inlineStr">
        <is>
          <t>Zigzagoon  Lv 3-4  (15%)</t>
        </is>
      </c>
      <c r="I4" s="30" t="inlineStr">
        <is>
          <t>Ralts  Lv 4  (4%)</t>
        </is>
      </c>
      <c r="J4" s="30" t="inlineStr">
        <is>
          <t>Seedot  Lv 3  (1%)</t>
        </is>
      </c>
    </row>
    <row r="5">
      <c r="A5" s="7" t="n"/>
      <c r="B5" s="6" t="n"/>
      <c r="C5" s="72" t="inlineStr">
        <is>
          <t>Water</t>
        </is>
      </c>
      <c r="D5" s="6" t="n">
        <v>4</v>
      </c>
      <c r="E5" s="30" t="inlineStr">
        <is>
          <t>Marill  Lv 5-35  (99%)</t>
        </is>
      </c>
      <c r="F5" s="30" t="inlineStr">
        <is>
          <t>Goldeen  Lv 20-30  (1%)</t>
        </is>
      </c>
    </row>
    <row r="6">
      <c r="A6" s="7" t="n"/>
      <c r="B6" s="6" t="n"/>
      <c r="C6" s="73" t="inlineStr">
        <is>
          <t>Old Rod</t>
        </is>
      </c>
      <c r="D6" s="6" t="n">
        <v>30</v>
      </c>
      <c r="E6" s="30" t="inlineStr">
        <is>
          <t>Magikarp  Lv 5-10  (70%)</t>
        </is>
      </c>
      <c r="F6" s="30" t="inlineStr">
        <is>
          <t>Goldeen  Lv 5-10  (30%)</t>
        </is>
      </c>
    </row>
    <row r="7">
      <c r="A7" s="7" t="n"/>
      <c r="B7" s="6" t="n"/>
      <c r="C7" s="72" t="inlineStr">
        <is>
          <t>Good Rod</t>
        </is>
      </c>
      <c r="D7" s="6" t="n">
        <v>30</v>
      </c>
      <c r="E7" s="30" t="inlineStr">
        <is>
          <t>Magikarp  Lv 10-30  (60%)</t>
        </is>
      </c>
      <c r="F7" s="30" t="inlineStr">
        <is>
          <t>Goldeen  Lv 10-30  (20%)</t>
        </is>
      </c>
      <c r="G7" s="30" t="inlineStr">
        <is>
          <t>Corphish  Lv 10-30  (20%)</t>
        </is>
      </c>
    </row>
    <row r="8">
      <c r="A8" s="7" t="n"/>
      <c r="B8" s="6" t="n"/>
      <c r="C8" s="74" t="inlineStr">
        <is>
          <t>Super Rod</t>
        </is>
      </c>
      <c r="D8" s="6" t="n">
        <v>30</v>
      </c>
      <c r="E8" s="30" t="inlineStr">
        <is>
          <t>Corphish  Lv 20-45  (100%)</t>
        </is>
      </c>
    </row>
    <row r="9">
      <c r="A9" s="7" t="inlineStr">
        <is>
          <t>Route 103</t>
        </is>
      </c>
      <c r="B9" s="6" t="inlineStr">
        <is>
          <t>Split 1</t>
        </is>
      </c>
      <c r="C9" s="71" t="inlineStr">
        <is>
          <t>Land</t>
        </is>
      </c>
      <c r="D9" s="6" t="n">
        <v>20</v>
      </c>
      <c r="E9" s="30" t="inlineStr">
        <is>
          <t>Poochyena  Lv 2-4  (60%)</t>
        </is>
      </c>
      <c r="F9" s="30" t="inlineStr">
        <is>
          <t>Wingull  Lv 2-4  (20%)</t>
        </is>
      </c>
      <c r="G9" s="30" t="inlineStr">
        <is>
          <t>Zigzagoon  Lv 3-4  (20%)</t>
        </is>
      </c>
    </row>
    <row r="10">
      <c r="A10" s="7" t="n"/>
      <c r="B10" s="6" t="n"/>
      <c r="C10" s="72" t="inlineStr">
        <is>
          <t>Water</t>
        </is>
      </c>
      <c r="D10" s="6" t="n">
        <v>4</v>
      </c>
      <c r="E10" s="30" t="inlineStr">
        <is>
          <t>Tentacool  Lv 5-35  (60%)</t>
        </is>
      </c>
      <c r="F10" s="30" t="inlineStr">
        <is>
          <t>Wingull  Lv 10-30  (35%)</t>
        </is>
      </c>
      <c r="G10" s="30" t="inlineStr">
        <is>
          <t>Pelipper  Lv 25-30  (5%)</t>
        </is>
      </c>
    </row>
    <row r="11">
      <c r="A11" s="7" t="n"/>
      <c r="B11" s="6" t="n"/>
      <c r="C11" s="73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Tentacool  Lv 5-10  (30%)</t>
        </is>
      </c>
    </row>
    <row r="12">
      <c r="A12" s="7" t="n"/>
      <c r="B12" s="6" t="n"/>
      <c r="C12" s="72" t="inlineStr">
        <is>
          <t>Good Rod</t>
        </is>
      </c>
      <c r="D12" s="6" t="n">
        <v>30</v>
      </c>
      <c r="E12" s="30" t="inlineStr">
        <is>
          <t>Magikarp  Lv 10-30  (60%)</t>
        </is>
      </c>
      <c r="F12" s="30" t="inlineStr">
        <is>
          <t>Tentacool  Lv 10-30  (20%)</t>
        </is>
      </c>
      <c r="G12" s="30" t="inlineStr">
        <is>
          <t>Wailmer  Lv 10-30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Wailmer  Lv 25-45  (60%)</t>
        </is>
      </c>
      <c r="F13" s="30" t="inlineStr">
        <is>
          <t>Sharpedo  Lv 30-35  (40%)</t>
        </is>
      </c>
    </row>
    <row r="14">
      <c r="A14" s="7" t="inlineStr">
        <is>
          <t>Route 104</t>
        </is>
      </c>
      <c r="B14" s="6" t="inlineStr">
        <is>
          <t>Split 2</t>
        </is>
      </c>
      <c r="C14" s="71" t="inlineStr">
        <is>
          <t>Land</t>
        </is>
      </c>
      <c r="D14" s="6" t="n">
        <v>20</v>
      </c>
      <c r="E14" s="30" t="inlineStr">
        <is>
          <t>Poochyena  Lv 4-5  (40%)</t>
        </is>
      </c>
      <c r="F14" s="30" t="inlineStr">
        <is>
          <t>Wurmple  Lv 4  (20%)</t>
        </is>
      </c>
      <c r="G14" s="30" t="inlineStr">
        <is>
          <t>Marill  Lv 4-5  (20%)</t>
        </is>
      </c>
      <c r="H14" s="30" t="inlineStr">
        <is>
          <t>Taillow  Lv 4-5  (10%)</t>
        </is>
      </c>
      <c r="I14" s="30" t="inlineStr">
        <is>
          <t>Wingull  Lv 3-5  (10%)</t>
        </is>
      </c>
    </row>
    <row r="15">
      <c r="A15" s="7" t="n"/>
      <c r="B15" s="6" t="n"/>
      <c r="C15" s="72" t="inlineStr">
        <is>
          <t>Water</t>
        </is>
      </c>
      <c r="D15" s="6" t="n">
        <v>4</v>
      </c>
      <c r="E15" s="30" t="inlineStr">
        <is>
          <t>Wingull  Lv 10-30  (95%)</t>
        </is>
      </c>
      <c r="F15" s="30" t="inlineStr">
        <is>
          <t>Pelipper  Lv 25-30  (5%)</t>
        </is>
      </c>
    </row>
    <row r="16">
      <c r="A16" s="7" t="n"/>
      <c r="B16" s="6" t="n"/>
      <c r="C16" s="73" t="inlineStr">
        <is>
          <t>Old Rod</t>
        </is>
      </c>
      <c r="D16" s="6" t="n">
        <v>30</v>
      </c>
      <c r="E16" s="30" t="inlineStr">
        <is>
          <t>Magikarp  Lv 5-10  (100%)</t>
        </is>
      </c>
    </row>
    <row r="17">
      <c r="A17" s="7" t="n"/>
      <c r="B17" s="6" t="n"/>
      <c r="C17" s="72" t="inlineStr">
        <is>
          <t>Good Rod</t>
        </is>
      </c>
      <c r="D17" s="6" t="n">
        <v>30</v>
      </c>
      <c r="E17" s="30" t="inlineStr">
        <is>
          <t>Magikarp  Lv 10-30  (100%)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Magikarp  Lv 20-45  (100%)</t>
        </is>
      </c>
    </row>
    <row r="19">
      <c r="A19" s="7" t="inlineStr">
        <is>
          <t>Route 105</t>
        </is>
      </c>
      <c r="B19" s="6" t="inlineStr">
        <is>
          <t>Split 3</t>
        </is>
      </c>
      <c r="C19" s="72" t="inlineStr">
        <is>
          <t>Water</t>
        </is>
      </c>
      <c r="D19" s="6" t="n">
        <v>4</v>
      </c>
      <c r="E19" s="30" t="inlineStr">
        <is>
          <t>Tentacool  Lv 5-35  (60%)</t>
        </is>
      </c>
      <c r="F19" s="30" t="inlineStr">
        <is>
          <t>Wingull  Lv 10-30  (35%)</t>
        </is>
      </c>
      <c r="G19" s="30" t="inlineStr">
        <is>
          <t>Pelipper  Lv 25-30  (5%)</t>
        </is>
      </c>
    </row>
    <row r="20">
      <c r="A20" s="7" t="n"/>
      <c r="B20" s="6" t="n"/>
      <c r="C20" s="73" t="inlineStr">
        <is>
          <t>Old Rod</t>
        </is>
      </c>
      <c r="D20" s="6" t="n">
        <v>30</v>
      </c>
      <c r="E20" s="30" t="inlineStr">
        <is>
          <t>Magikarp  Lv 5-10  (70%)</t>
        </is>
      </c>
      <c r="F20" s="30" t="inlineStr">
        <is>
          <t>Tentacool  Lv 5-10  (30%)</t>
        </is>
      </c>
    </row>
    <row r="21">
      <c r="A21" s="7" t="n"/>
      <c r="B21" s="6" t="n"/>
      <c r="C21" s="72" t="inlineStr">
        <is>
          <t>Good Rod</t>
        </is>
      </c>
      <c r="D21" s="6" t="n">
        <v>30</v>
      </c>
      <c r="E21" s="30" t="inlineStr">
        <is>
          <t>Magikarp  Lv 10-30  (60%)</t>
        </is>
      </c>
      <c r="F21" s="30" t="inlineStr">
        <is>
          <t>Tentacool  Lv 10-30  (20%)</t>
        </is>
      </c>
      <c r="G21" s="30" t="inlineStr">
        <is>
          <t>Wailmer  Lv 10-30  (20%)</t>
        </is>
      </c>
    </row>
    <row r="22">
      <c r="A22" s="7" t="n"/>
      <c r="B22" s="6" t="n"/>
      <c r="C22" s="74" t="inlineStr">
        <is>
          <t>Super Rod</t>
        </is>
      </c>
      <c r="D22" s="6" t="n">
        <v>30</v>
      </c>
      <c r="E22" s="30" t="inlineStr">
        <is>
          <t>Wailmer  Lv 20-45  (100%)</t>
        </is>
      </c>
    </row>
    <row r="23">
      <c r="A23" s="7" t="inlineStr">
        <is>
          <t>Route 110</t>
        </is>
      </c>
      <c r="B23" s="6" t="inlineStr">
        <is>
          <t>Split 4</t>
        </is>
      </c>
      <c r="C23" s="71" t="inlineStr">
        <is>
          <t>Land</t>
        </is>
      </c>
      <c r="D23" s="6" t="n">
        <v>20</v>
      </c>
      <c r="E23" s="30" t="inlineStr">
        <is>
          <t>Electrike  Lv 12-13  (30%)</t>
        </is>
      </c>
      <c r="F23" s="30" t="inlineStr">
        <is>
          <t>Poochyena  Lv 12  (20%)</t>
        </is>
      </c>
      <c r="G23" s="30" t="inlineStr">
        <is>
          <t>Gulpin  Lv 12-13  (15%)</t>
        </is>
      </c>
      <c r="H23" s="30" t="inlineStr">
        <is>
          <t>Minun  Lv 13  (15%)</t>
        </is>
      </c>
      <c r="I23" s="30" t="inlineStr">
        <is>
          <t>Oddish  Lv 13  (10%)</t>
        </is>
      </c>
      <c r="J23" s="30" t="inlineStr">
        <is>
          <t>Wingull  Lv 12  (8%)</t>
        </is>
      </c>
      <c r="K23" s="30" t="inlineStr">
        <is>
          <t>Plusle  Lv 12-13  (2%)</t>
        </is>
      </c>
    </row>
    <row r="24">
      <c r="A24" s="7" t="n"/>
      <c r="B24" s="6" t="n"/>
      <c r="C24" s="72" t="inlineStr">
        <is>
          <t>Water</t>
        </is>
      </c>
      <c r="D24" s="6" t="n">
        <v>4</v>
      </c>
      <c r="E24" s="30" t="inlineStr">
        <is>
          <t>Tentacool  Lv 5-35  (60%)</t>
        </is>
      </c>
      <c r="F24" s="30" t="inlineStr">
        <is>
          <t>Wingull  Lv 10-30  (35%)</t>
        </is>
      </c>
      <c r="G24" s="30" t="inlineStr">
        <is>
          <t>Pelipper  Lv 25-30  (5%)</t>
        </is>
      </c>
    </row>
    <row r="25">
      <c r="A25" s="7" t="n"/>
      <c r="B25" s="6" t="n"/>
      <c r="C25" s="73" t="inlineStr">
        <is>
          <t>Old Rod</t>
        </is>
      </c>
      <c r="D25" s="6" t="n">
        <v>30</v>
      </c>
      <c r="E25" s="30" t="inlineStr">
        <is>
          <t>Magikarp  Lv 5-10  (70%)</t>
        </is>
      </c>
      <c r="F25" s="30" t="inlineStr">
        <is>
          <t>Tentacool  Lv 5-10  (30%)</t>
        </is>
      </c>
    </row>
    <row r="26">
      <c r="A26" s="7" t="n"/>
      <c r="B26" s="6" t="n"/>
      <c r="C26" s="72" t="inlineStr">
        <is>
          <t>Good Rod</t>
        </is>
      </c>
      <c r="D26" s="6" t="n">
        <v>30</v>
      </c>
      <c r="E26" s="30" t="inlineStr">
        <is>
          <t>Magikarp  Lv 10-30  (60%)</t>
        </is>
      </c>
      <c r="F26" s="30" t="inlineStr">
        <is>
          <t>Tentacool  Lv 10-30  (20%)</t>
        </is>
      </c>
      <c r="G26" s="30" t="inlineStr">
        <is>
          <t>Wailmer  Lv 10-30  (20%)</t>
        </is>
      </c>
    </row>
    <row r="27">
      <c r="A27" s="7" t="n"/>
      <c r="B27" s="6" t="n"/>
      <c r="C27" s="74" t="inlineStr">
        <is>
          <t>Super Rod</t>
        </is>
      </c>
      <c r="D27" s="6" t="n">
        <v>30</v>
      </c>
      <c r="E27" s="30" t="inlineStr">
        <is>
          <t>Wailmer  Lv 20-45  (100%)</t>
        </is>
      </c>
    </row>
    <row r="28">
      <c r="A28" s="7" t="inlineStr">
        <is>
          <t>Route 111</t>
        </is>
      </c>
      <c r="B28" s="6" t="inlineStr">
        <is>
          <t>Split 5</t>
        </is>
      </c>
      <c r="C28" s="71" t="inlineStr">
        <is>
          <t>Land</t>
        </is>
      </c>
      <c r="D28" s="6" t="n">
        <v>10</v>
      </c>
      <c r="E28" s="30" t="inlineStr">
        <is>
          <t>Sandshrew  Lv 19-21  (35%)</t>
        </is>
      </c>
      <c r="F28" s="30" t="inlineStr">
        <is>
          <t>Trapinch  Lv 19-21  (35%)</t>
        </is>
      </c>
      <c r="G28" s="30" t="inlineStr">
        <is>
          <t>Baltoy  Lv 19-21  (24%)</t>
        </is>
      </c>
      <c r="H28" s="30" t="inlineStr">
        <is>
          <t>Cacnea  Lv 20-22  (6%)</t>
        </is>
      </c>
    </row>
    <row r="29">
      <c r="A29" s="7" t="n"/>
      <c r="B29" s="6" t="n"/>
      <c r="C29" s="72" t="inlineStr">
        <is>
          <t>Water</t>
        </is>
      </c>
      <c r="D29" s="6" t="n">
        <v>4</v>
      </c>
      <c r="E29" s="30" t="inlineStr">
        <is>
          <t>Marill  Lv 5-35  (99%)</t>
        </is>
      </c>
      <c r="F29" s="30" t="inlineStr">
        <is>
          <t>Goldeen  Lv 20-30  (1%)</t>
        </is>
      </c>
    </row>
    <row r="30">
      <c r="A30" s="7" t="n"/>
      <c r="B30" s="6" t="n"/>
      <c r="C30" s="75" t="inlineStr">
        <is>
          <t>Rock Smash</t>
        </is>
      </c>
      <c r="D30" s="6" t="n">
        <v>20</v>
      </c>
      <c r="E30" s="30" t="inlineStr">
        <is>
          <t>Geodude  Lv 5-20  (100%)</t>
        </is>
      </c>
    </row>
    <row r="31">
      <c r="A31" s="7" t="n"/>
      <c r="B31" s="6" t="n"/>
      <c r="C31" s="73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Goldeen  Lv 5-10  (30%)</t>
        </is>
      </c>
    </row>
    <row r="32">
      <c r="A32" s="7" t="n"/>
      <c r="B32" s="6" t="n"/>
      <c r="C32" s="72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Goldeen  Lv 10-30  (20%)</t>
        </is>
      </c>
      <c r="G32" s="30" t="inlineStr">
        <is>
          <t>Barboach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Barboach  Lv 20-45  (100%)</t>
        </is>
      </c>
    </row>
    <row r="34">
      <c r="A34" s="7" t="inlineStr">
        <is>
          <t>Route 112</t>
        </is>
      </c>
      <c r="B34" s="6" t="inlineStr">
        <is>
          <t>Split 5</t>
        </is>
      </c>
      <c r="C34" s="71" t="inlineStr">
        <is>
          <t>Land</t>
        </is>
      </c>
      <c r="D34" s="6" t="n">
        <v>20</v>
      </c>
      <c r="E34" s="30" t="inlineStr">
        <is>
          <t>Numel  Lv 14-16  (75%)</t>
        </is>
      </c>
      <c r="F34" s="30" t="inlineStr">
        <is>
          <t>Marill  Lv 14-16  (25%)</t>
        </is>
      </c>
    </row>
    <row r="35">
      <c r="A35" s="7" t="inlineStr">
        <is>
          <t>Route 113</t>
        </is>
      </c>
      <c r="B35" s="6" t="inlineStr">
        <is>
          <t>Split 5</t>
        </is>
      </c>
      <c r="C35" s="71" t="inlineStr">
        <is>
          <t>Land</t>
        </is>
      </c>
      <c r="D35" s="6" t="n">
        <v>20</v>
      </c>
      <c r="E35" s="30" t="inlineStr">
        <is>
          <t>Spinda  Lv 14-16  (70%)</t>
        </is>
      </c>
      <c r="F35" s="30" t="inlineStr">
        <is>
          <t>Slugma  Lv 14-16  (25%)</t>
        </is>
      </c>
      <c r="G35" s="30" t="inlineStr">
        <is>
          <t>Skarmory  Lv 16  (5%)</t>
        </is>
      </c>
    </row>
    <row r="36">
      <c r="A36" s="7" t="inlineStr">
        <is>
          <t>Route 114</t>
        </is>
      </c>
      <c r="B36" s="6" t="inlineStr">
        <is>
          <t>Split 5</t>
        </is>
      </c>
      <c r="C36" s="71" t="inlineStr">
        <is>
          <t>Land</t>
        </is>
      </c>
      <c r="D36" s="6" t="n">
        <v>20</v>
      </c>
      <c r="E36" s="30" t="inlineStr">
        <is>
          <t>Swablu  Lv 15-17  (40%)</t>
        </is>
      </c>
      <c r="F36" s="30" t="inlineStr">
        <is>
          <t>Lotad  Lv 15-16  (30%)</t>
        </is>
      </c>
      <c r="G36" s="30" t="inlineStr">
        <is>
          <t>Lombre  Lv 16-18  (20%)</t>
        </is>
      </c>
      <c r="H36" s="30" t="inlineStr">
        <is>
          <t>Seviper  Lv 15-17  (9%)</t>
        </is>
      </c>
      <c r="I36" s="30" t="inlineStr">
        <is>
          <t>Nuzleaf  Lv 15  (1%)</t>
        </is>
      </c>
    </row>
    <row r="37">
      <c r="A37" s="7" t="n"/>
      <c r="B37" s="6" t="n"/>
      <c r="C37" s="72" t="inlineStr">
        <is>
          <t>Water</t>
        </is>
      </c>
      <c r="D37" s="6" t="n">
        <v>4</v>
      </c>
      <c r="E37" s="30" t="inlineStr">
        <is>
          <t>Marill  Lv 5-35  (99%)</t>
        </is>
      </c>
      <c r="F37" s="30" t="inlineStr">
        <is>
          <t>Goldeen  Lv 20-30  (1%)</t>
        </is>
      </c>
    </row>
    <row r="38">
      <c r="A38" s="7" t="n"/>
      <c r="B38" s="6" t="n"/>
      <c r="C38" s="75" t="inlineStr">
        <is>
          <t>Rock Smash</t>
        </is>
      </c>
      <c r="D38" s="6" t="n">
        <v>20</v>
      </c>
      <c r="E38" s="30" t="inlineStr">
        <is>
          <t>Geodude  Lv 5-20  (100%)</t>
        </is>
      </c>
    </row>
    <row r="39">
      <c r="A39" s="7" t="n"/>
      <c r="B39" s="6" t="n"/>
      <c r="C39" s="73" t="inlineStr">
        <is>
          <t>Old Rod</t>
        </is>
      </c>
      <c r="D39" s="6" t="n">
        <v>30</v>
      </c>
      <c r="E39" s="30" t="inlineStr">
        <is>
          <t>Magikarp  Lv 5-10  (70%)</t>
        </is>
      </c>
      <c r="F39" s="30" t="inlineStr">
        <is>
          <t>Goldeen  Lv 5-10  (30%)</t>
        </is>
      </c>
    </row>
    <row r="40">
      <c r="A40" s="7" t="n"/>
      <c r="B40" s="6" t="n"/>
      <c r="C40" s="72" t="inlineStr">
        <is>
          <t>Good Rod</t>
        </is>
      </c>
      <c r="D40" s="6" t="n">
        <v>30</v>
      </c>
      <c r="E40" s="30" t="inlineStr">
        <is>
          <t>Magikarp  Lv 10-30  (60%)</t>
        </is>
      </c>
      <c r="F40" s="30" t="inlineStr">
        <is>
          <t>Goldeen  Lv 10-30  (20%)</t>
        </is>
      </c>
      <c r="G40" s="30" t="inlineStr">
        <is>
          <t>Barboach  Lv 10-30  (20%)</t>
        </is>
      </c>
    </row>
    <row r="41">
      <c r="A41" s="7" t="n"/>
      <c r="B41" s="6" t="n"/>
      <c r="C41" s="74" t="inlineStr">
        <is>
          <t>Super Rod</t>
        </is>
      </c>
      <c r="D41" s="6" t="n">
        <v>30</v>
      </c>
      <c r="E41" s="30" t="inlineStr">
        <is>
          <t>Barboach  Lv 20-45  (100%)</t>
        </is>
      </c>
    </row>
    <row r="42">
      <c r="A42" s="7" t="inlineStr">
        <is>
          <t>Route 116</t>
        </is>
      </c>
      <c r="B42" s="6" t="inlineStr">
        <is>
          <t>Split 2</t>
        </is>
      </c>
      <c r="C42" s="71" t="inlineStr">
        <is>
          <t>Land</t>
        </is>
      </c>
      <c r="D42" s="6" t="n">
        <v>20</v>
      </c>
      <c r="E42" s="30" t="inlineStr">
        <is>
          <t>Poochyena  Lv 6-8  (28%)</t>
        </is>
      </c>
      <c r="F42" s="30" t="inlineStr">
        <is>
          <t>Whismur  Lv 6  (20%)</t>
        </is>
      </c>
      <c r="G42" s="30" t="inlineStr">
        <is>
          <t>Nincada  Lv 6-7  (20%)</t>
        </is>
      </c>
      <c r="H42" s="30" t="inlineStr">
        <is>
          <t>Taillow  Lv 6-8  (20%)</t>
        </is>
      </c>
      <c r="I42" s="30" t="inlineStr">
        <is>
          <t>Abra  Lv 7  (10%)</t>
        </is>
      </c>
      <c r="J42" s="30" t="inlineStr">
        <is>
          <t>Skitty  Lv 7-8  (2%)</t>
        </is>
      </c>
    </row>
    <row r="43">
      <c r="A43" s="7" t="inlineStr">
        <is>
          <t>Route 117</t>
        </is>
      </c>
      <c r="B43" s="6" t="inlineStr">
        <is>
          <t>Split 4</t>
        </is>
      </c>
      <c r="C43" s="71" t="inlineStr">
        <is>
          <t>Land</t>
        </is>
      </c>
      <c r="D43" s="6" t="n">
        <v>20</v>
      </c>
      <c r="E43" s="30" t="inlineStr">
        <is>
          <t>Oddish  Lv 13-14  (40%)</t>
        </is>
      </c>
      <c r="F43" s="30" t="inlineStr">
        <is>
          <t>Poochyena  Lv 13-14  (30%)</t>
        </is>
      </c>
      <c r="G43" s="30" t="inlineStr">
        <is>
          <t>Illumise  Lv 13-14  (18%)</t>
        </is>
      </c>
      <c r="H43" s="30" t="inlineStr">
        <is>
          <t>Marill  Lv 13  (10%)</t>
        </is>
      </c>
      <c r="I43" s="30" t="inlineStr">
        <is>
          <t>Volbeat  Lv 13  (1%)</t>
        </is>
      </c>
      <c r="J43" s="30" t="inlineStr">
        <is>
          <t>Seedot  Lv 13  (1%)</t>
        </is>
      </c>
    </row>
    <row r="44">
      <c r="A44" s="7" t="n"/>
      <c r="B44" s="6" t="n"/>
      <c r="C44" s="72" t="inlineStr">
        <is>
          <t>Water</t>
        </is>
      </c>
      <c r="D44" s="6" t="n">
        <v>4</v>
      </c>
      <c r="E44" s="30" t="inlineStr">
        <is>
          <t>Marill  Lv 5-35  (99%)</t>
        </is>
      </c>
      <c r="F44" s="30" t="inlineStr">
        <is>
          <t>Goldeen  Lv 20-30  (1%)</t>
        </is>
      </c>
    </row>
    <row r="45">
      <c r="A45" s="7" t="n"/>
      <c r="B45" s="6" t="n"/>
      <c r="C45" s="73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2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Corphish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Corphish  Lv 20-45  (100%)</t>
        </is>
      </c>
    </row>
    <row r="48">
      <c r="A48" s="7" t="inlineStr">
        <is>
          <t>Route 118</t>
        </is>
      </c>
      <c r="B48" s="6" t="inlineStr">
        <is>
          <t>Split 6</t>
        </is>
      </c>
      <c r="C48" s="71" t="inlineStr">
        <is>
          <t>Land</t>
        </is>
      </c>
      <c r="D48" s="6" t="n">
        <v>20</v>
      </c>
      <c r="E48" s="30" t="inlineStr">
        <is>
          <t>Zigzagoon  Lv 24-26  (30%)</t>
        </is>
      </c>
      <c r="F48" s="30" t="inlineStr">
        <is>
          <t>Electrike  Lv 24-26  (30%)</t>
        </is>
      </c>
      <c r="G48" s="30" t="inlineStr">
        <is>
          <t>Wingull  Lv 25-27  (19%)</t>
        </is>
      </c>
      <c r="H48" s="30" t="inlineStr">
        <is>
          <t>Linoone  Lv 26  (10%)</t>
        </is>
      </c>
      <c r="I48" s="30" t="inlineStr">
        <is>
          <t>Manectric  Lv 26  (10%)</t>
        </is>
      </c>
      <c r="J48" s="30" t="inlineStr">
        <is>
          <t>Kecleon  Lv 25  (1%)</t>
        </is>
      </c>
    </row>
    <row r="49">
      <c r="A49" s="7" t="n"/>
      <c r="B49" s="6" t="n"/>
      <c r="C49" s="72" t="inlineStr">
        <is>
          <t>Water</t>
        </is>
      </c>
      <c r="D49" s="6" t="n">
        <v>4</v>
      </c>
      <c r="E49" s="30" t="inlineStr">
        <is>
          <t>Tentacool  Lv 5-35  (60%)</t>
        </is>
      </c>
      <c r="F49" s="30" t="inlineStr">
        <is>
          <t>Wingull  Lv 10-30  (35%)</t>
        </is>
      </c>
      <c r="G49" s="30" t="inlineStr">
        <is>
          <t>Pelipper  Lv 25-30  (5%)</t>
        </is>
      </c>
    </row>
    <row r="50">
      <c r="A50" s="7" t="n"/>
      <c r="B50" s="6" t="n"/>
      <c r="C50" s="73" t="inlineStr">
        <is>
          <t>Old Rod</t>
        </is>
      </c>
      <c r="D50" s="6" t="n">
        <v>30</v>
      </c>
      <c r="E50" s="30" t="inlineStr">
        <is>
          <t>Magikarp  Lv 5-10  (70%)</t>
        </is>
      </c>
      <c r="F50" s="30" t="inlineStr">
        <is>
          <t>Tentacool  Lv 5-10  (30%)</t>
        </is>
      </c>
    </row>
    <row r="51">
      <c r="A51" s="7" t="n"/>
      <c r="B51" s="6" t="n"/>
      <c r="C51" s="72" t="inlineStr">
        <is>
          <t>Good Rod</t>
        </is>
      </c>
      <c r="D51" s="6" t="n">
        <v>30</v>
      </c>
      <c r="E51" s="30" t="inlineStr">
        <is>
          <t>Magikarp  Lv 10-30  (60%)</t>
        </is>
      </c>
      <c r="F51" s="30" t="inlineStr">
        <is>
          <t>Tentacool  Lv 10-30  (20%)</t>
        </is>
      </c>
      <c r="G51" s="30" t="inlineStr">
        <is>
          <t>Carvanha  Lv 10-30  (20%)</t>
        </is>
      </c>
    </row>
    <row r="52">
      <c r="A52" s="7" t="n"/>
      <c r="B52" s="6" t="n"/>
      <c r="C52" s="74" t="inlineStr">
        <is>
          <t>Super Rod</t>
        </is>
      </c>
      <c r="D52" s="6" t="n">
        <v>30</v>
      </c>
      <c r="E52" s="30" t="inlineStr">
        <is>
          <t>Carvanha  Lv 20-45  (60%)</t>
        </is>
      </c>
      <c r="F52" s="30" t="inlineStr">
        <is>
          <t>Sharpedo  Lv 30-35  (40%)</t>
        </is>
      </c>
    </row>
    <row r="53">
      <c r="A53" s="7" t="inlineStr">
        <is>
          <t>Route 124</t>
        </is>
      </c>
      <c r="B53" s="6" t="inlineStr">
        <is>
          <t>Split 7</t>
        </is>
      </c>
      <c r="C53" s="72" t="inlineStr">
        <is>
          <t>Water</t>
        </is>
      </c>
      <c r="D53" s="6" t="n">
        <v>4</v>
      </c>
      <c r="E53" s="30" t="inlineStr">
        <is>
          <t>Tentacool  Lv 5-35  (60%)</t>
        </is>
      </c>
      <c r="F53" s="30" t="inlineStr">
        <is>
          <t>Wingull  Lv 10-30  (35%)</t>
        </is>
      </c>
      <c r="G53" s="30" t="inlineStr">
        <is>
          <t>Pelipper  Lv 25-30  (5%)</t>
        </is>
      </c>
    </row>
    <row r="54">
      <c r="A54" s="7" t="n"/>
      <c r="B54" s="6" t="n"/>
      <c r="C54" s="73" t="inlineStr">
        <is>
          <t>Old Rod</t>
        </is>
      </c>
      <c r="D54" s="6" t="n">
        <v>30</v>
      </c>
      <c r="E54" s="30" t="inlineStr">
        <is>
          <t>Magikarp  Lv 5-10  (70%)</t>
        </is>
      </c>
      <c r="F54" s="30" t="inlineStr">
        <is>
          <t>Tentacool  Lv 5-10  (30%)</t>
        </is>
      </c>
    </row>
    <row r="55">
      <c r="A55" s="7" t="n"/>
      <c r="B55" s="6" t="n"/>
      <c r="C55" s="72" t="inlineStr">
        <is>
          <t>Good Rod</t>
        </is>
      </c>
      <c r="D55" s="6" t="n">
        <v>30</v>
      </c>
      <c r="E55" s="30" t="inlineStr">
        <is>
          <t>Magikarp  Lv 10-30  (60%)</t>
        </is>
      </c>
      <c r="F55" s="30" t="inlineStr">
        <is>
          <t>Tentacool  Lv 10-30  (20%)</t>
        </is>
      </c>
      <c r="G55" s="30" t="inlineStr">
        <is>
          <t>Wailmer  Lv 10-30  (20%)</t>
        </is>
      </c>
    </row>
    <row r="56">
      <c r="A56" s="7" t="n"/>
      <c r="B56" s="6" t="n"/>
      <c r="C56" s="74" t="inlineStr">
        <is>
          <t>Super Rod</t>
        </is>
      </c>
      <c r="D56" s="6" t="n">
        <v>30</v>
      </c>
      <c r="E56" s="30" t="inlineStr">
        <is>
          <t>Wailmer  Lv 25-45  (60%)</t>
        </is>
      </c>
      <c r="F56" s="30" t="inlineStr">
        <is>
          <t>Sharpedo  Lv 30-35  (40%)</t>
        </is>
      </c>
    </row>
    <row r="57">
      <c r="A57" s="7" t="inlineStr">
        <is>
          <t>Petalburg Woods</t>
        </is>
      </c>
      <c r="B57" s="6" t="inlineStr">
        <is>
          <t>Split 2</t>
        </is>
      </c>
      <c r="C57" s="71" t="inlineStr">
        <is>
          <t>Land</t>
        </is>
      </c>
      <c r="D57" s="6" t="n">
        <v>20</v>
      </c>
      <c r="E57" s="30" t="inlineStr">
        <is>
          <t>Poochyena  Lv 5-6  (30%)</t>
        </is>
      </c>
      <c r="F57" s="30" t="inlineStr">
        <is>
          <t>Wurmple  Lv 5-6  (25%)</t>
        </is>
      </c>
      <c r="G57" s="30" t="inlineStr">
        <is>
          <t>Shroomish  Lv 5-6  (15%)</t>
        </is>
      </c>
      <c r="H57" s="30" t="inlineStr">
        <is>
          <t>Silcoon  Lv 5  (10%)</t>
        </is>
      </c>
      <c r="I57" s="30" t="inlineStr">
        <is>
          <t>Cascoon  Lv 5  (10%)</t>
        </is>
      </c>
      <c r="J57" s="30" t="inlineStr">
        <is>
          <t>Taillow  Lv 5-6  (5%)</t>
        </is>
      </c>
      <c r="K57" s="30" t="inlineStr">
        <is>
          <t>Slakoth  Lv 5-6  (5%)</t>
        </is>
      </c>
    </row>
    <row r="58">
      <c r="A58" s="7" t="inlineStr">
        <is>
          <t>Rusturf Tunnel</t>
        </is>
      </c>
      <c r="B58" s="6" t="inlineStr">
        <is>
          <t>Split 2</t>
        </is>
      </c>
      <c r="C58" s="71" t="inlineStr">
        <is>
          <t>Land</t>
        </is>
      </c>
      <c r="D58" s="6" t="n">
        <v>10</v>
      </c>
      <c r="E58" s="30" t="inlineStr">
        <is>
          <t>Whismur  Lv 5-8  (100%)</t>
        </is>
      </c>
    </row>
    <row r="59">
      <c r="A59" s="7" t="inlineStr">
        <is>
          <t>Granite Cave 1F</t>
        </is>
      </c>
      <c r="B59" s="6" t="inlineStr">
        <is>
          <t>Split 3</t>
        </is>
      </c>
      <c r="C59" s="71" t="inlineStr">
        <is>
          <t>Land</t>
        </is>
      </c>
      <c r="D59" s="6" t="n">
        <v>10</v>
      </c>
      <c r="E59" s="30" t="inlineStr">
        <is>
          <t>Makuhita  Lv 6-10  (50%)</t>
        </is>
      </c>
      <c r="F59" s="30" t="inlineStr">
        <is>
          <t>Zubat  Lv 7-8  (30%)</t>
        </is>
      </c>
      <c r="G59" s="30" t="inlineStr">
        <is>
          <t>Abra  Lv 8  (10%)</t>
        </is>
      </c>
      <c r="H59" s="30" t="inlineStr">
        <is>
          <t>Geodude  Lv 6-9  (10%)</t>
        </is>
      </c>
    </row>
    <row r="60">
      <c r="A60" s="7" t="inlineStr">
        <is>
          <t>Granite Cave B1F</t>
        </is>
      </c>
      <c r="B60" s="6" t="inlineStr">
        <is>
          <t>Split 3</t>
        </is>
      </c>
      <c r="C60" s="71" t="inlineStr">
        <is>
          <t>Land</t>
        </is>
      </c>
      <c r="D60" s="6" t="n">
        <v>10</v>
      </c>
      <c r="E60" s="30" t="inlineStr">
        <is>
          <t>Aron  Lv 9-11  (40%)</t>
        </is>
      </c>
      <c r="F60" s="30" t="inlineStr">
        <is>
          <t>Zubat  Lv 9-10  (30%)</t>
        </is>
      </c>
      <c r="G60" s="30" t="inlineStr">
        <is>
          <t>Abra  Lv 9  (10%)</t>
        </is>
      </c>
      <c r="H60" s="30" t="inlineStr">
        <is>
          <t>Makuhita  Lv 10-11  (10%)</t>
        </is>
      </c>
      <c r="I60" s="30" t="inlineStr">
        <is>
          <t>Sableye  Lv 9-11  (10%)</t>
        </is>
      </c>
    </row>
    <row r="61">
      <c r="A61" s="7" t="inlineStr">
        <is>
          <t>Mt Pyre 1F</t>
        </is>
      </c>
      <c r="B61" s="6" t="inlineStr">
        <is>
          <t>Split 7</t>
        </is>
      </c>
      <c r="C61" s="71" t="inlineStr">
        <is>
          <t>Land</t>
        </is>
      </c>
      <c r="D61" s="6" t="n">
        <v>10</v>
      </c>
      <c r="E61" s="30" t="inlineStr">
        <is>
          <t>Shuppet  Lv 22-29  (100%)</t>
        </is>
      </c>
    </row>
    <row r="62">
      <c r="A62" s="7" t="inlineStr">
        <is>
          <t>Victory Road 1F</t>
        </is>
      </c>
      <c r="B62" s="6" t="inlineStr">
        <is>
          <t>Elite Four &amp; Champion</t>
        </is>
      </c>
      <c r="C62" s="71" t="inlineStr">
        <is>
          <t>Land</t>
        </is>
      </c>
      <c r="D62" s="6" t="n">
        <v>10</v>
      </c>
      <c r="E62" s="30" t="inlineStr">
        <is>
          <t>Golbat  Lv 38-40  (25%)</t>
        </is>
      </c>
      <c r="F62" s="30" t="inlineStr">
        <is>
          <t>Hariyama  Lv 38-40  (25%)</t>
        </is>
      </c>
      <c r="G62" s="30" t="inlineStr">
        <is>
          <t>Lairon  Lv 40  (10%)</t>
        </is>
      </c>
      <c r="H62" s="30" t="inlineStr">
        <is>
          <t>Loudred  Lv 40  (10%)</t>
        </is>
      </c>
      <c r="I62" s="30" t="inlineStr">
        <is>
          <t>Zubat  Lv 36  (10%)</t>
        </is>
      </c>
      <c r="J62" s="30" t="inlineStr">
        <is>
          <t>Makuhita  Lv 36  (10%)</t>
        </is>
      </c>
      <c r="K62" s="30" t="inlineStr">
        <is>
          <t>Aron  Lv 36  (5%)</t>
        </is>
      </c>
      <c r="L62" s="30" t="inlineStr">
        <is>
          <t>Whismur  Lv 36  (5%)</t>
        </is>
      </c>
    </row>
    <row r="63">
      <c r="A63" s="7" t="inlineStr">
        <is>
          <t>Safari Zone South</t>
        </is>
      </c>
      <c r="B63" s="6" t="inlineStr">
        <is>
          <t>Postgame</t>
        </is>
      </c>
      <c r="C63" s="71" t="inlineStr">
        <is>
          <t>Land</t>
        </is>
      </c>
      <c r="D63" s="6" t="n">
        <v>25</v>
      </c>
      <c r="E63" s="30" t="inlineStr">
        <is>
          <t>Oddish  Lv 25-27  (40%)</t>
        </is>
      </c>
      <c r="F63" s="30" t="inlineStr">
        <is>
          <t>Girafarig  Lv 25-27  (20%)</t>
        </is>
      </c>
      <c r="G63" s="30" t="inlineStr">
        <is>
          <t>Natu  Lv 25  (10%)</t>
        </is>
      </c>
      <c r="H63" s="30" t="inlineStr">
        <is>
          <t>Doduo  Lv 25  (10%)</t>
        </is>
      </c>
      <c r="I63" s="30" t="inlineStr">
        <is>
          <t>Wobbuffet  Lv 27-29  (10%)</t>
        </is>
      </c>
      <c r="J63" s="30" t="inlineStr">
        <is>
          <t>Gloom  Lv 25  (5%)</t>
        </is>
      </c>
      <c r="K63" s="30" t="inlineStr">
        <is>
          <t>Pikachu  Lv 25-27  (5%)</t>
        </is>
      </c>
    </row>
    <row r="64">
      <c r="A64" s="7" t="inlineStr">
        <is>
          <t>Underwater Route 126</t>
        </is>
      </c>
      <c r="B64" s="6" t="inlineStr">
        <is>
          <t>Unassigned</t>
        </is>
      </c>
      <c r="C64" s="72" t="inlineStr">
        <is>
          <t>Water</t>
        </is>
      </c>
      <c r="D64" s="6" t="n">
        <v>4</v>
      </c>
      <c r="E64" s="30" t="inlineStr">
        <is>
          <t>Clamperl  Lv 20-35  (65%)</t>
        </is>
      </c>
      <c r="F64" s="30" t="inlineStr">
        <is>
          <t>Chinchou  Lv 20-30  (30%)</t>
        </is>
      </c>
      <c r="G64" s="30" t="inlineStr">
        <is>
          <t>Relicanth  Lv 30-35  (5%)</t>
        </is>
      </c>
    </row>
    <row r="65">
      <c r="A65" s="7" t="inlineStr">
        <is>
          <t>Abandoned Ship Rooms B1F</t>
        </is>
      </c>
      <c r="B65" s="6" t="inlineStr">
        <is>
          <t>Split 4</t>
        </is>
      </c>
      <c r="C65" s="72" t="inlineStr">
        <is>
          <t>Water</t>
        </is>
      </c>
      <c r="D65" s="6" t="n">
        <v>4</v>
      </c>
      <c r="E65" s="30" t="inlineStr">
        <is>
          <t>Tentacool  Lv 5-35  (99%)</t>
        </is>
      </c>
      <c r="F65" s="30" t="inlineStr">
        <is>
          <t>Tentacruel  Lv 30-35  (1%)</t>
        </is>
      </c>
    </row>
    <row r="66">
      <c r="A66" s="7" t="n"/>
      <c r="B66" s="6" t="n"/>
      <c r="C66" s="73" t="inlineStr">
        <is>
          <t>Old Rod</t>
        </is>
      </c>
      <c r="D66" s="6" t="n">
        <v>20</v>
      </c>
      <c r="E66" s="30" t="inlineStr">
        <is>
          <t>Magikarp  Lv 5-10  (70%)</t>
        </is>
      </c>
      <c r="F66" s="30" t="inlineStr">
        <is>
          <t>Tentacool  Lv 5-10  (30%)</t>
        </is>
      </c>
    </row>
    <row r="67">
      <c r="A67" s="7" t="n"/>
      <c r="B67" s="6" t="n"/>
      <c r="C67" s="72" t="inlineStr">
        <is>
          <t>Good Rod</t>
        </is>
      </c>
      <c r="D67" s="6" t="n">
        <v>20</v>
      </c>
      <c r="E67" s="30" t="inlineStr">
        <is>
          <t>Magikarp  Lv 10-30  (60%)</t>
        </is>
      </c>
      <c r="F67" s="30" t="inlineStr">
        <is>
          <t>Tentacool  Lv 10-30  (40%)</t>
        </is>
      </c>
    </row>
    <row r="68">
      <c r="A68" s="7" t="n"/>
      <c r="B68" s="6" t="n"/>
      <c r="C68" s="74" t="inlineStr">
        <is>
          <t>Super Rod</t>
        </is>
      </c>
      <c r="D68" s="6" t="n">
        <v>20</v>
      </c>
      <c r="E68" s="30" t="inlineStr">
        <is>
          <t>Tentacool  Lv 25-35  (80%)</t>
        </is>
      </c>
      <c r="F68" s="30" t="inlineStr">
        <is>
          <t>Tentacruel  Lv 20-35  (20%)</t>
        </is>
      </c>
    </row>
    <row r="69">
      <c r="A69" s="7" t="inlineStr">
        <is>
          <t>Granite Cave B2F</t>
        </is>
      </c>
      <c r="B69" s="6" t="inlineStr">
        <is>
          <t>Split 3</t>
        </is>
      </c>
      <c r="C69" s="71" t="inlineStr">
        <is>
          <t>Land</t>
        </is>
      </c>
      <c r="D69" s="6" t="n">
        <v>10</v>
      </c>
      <c r="E69" s="30" t="inlineStr">
        <is>
          <t>Aron  Lv 10-12  (40%)</t>
        </is>
      </c>
      <c r="F69" s="30" t="inlineStr">
        <is>
          <t>Zubat  Lv 10-11  (30%)</t>
        </is>
      </c>
      <c r="G69" s="30" t="inlineStr">
        <is>
          <t>Sableye  Lv 10-12  (20%)</t>
        </is>
      </c>
      <c r="H69" s="30" t="inlineStr">
        <is>
          <t>Abra  Lv 10  (10%)</t>
        </is>
      </c>
    </row>
    <row r="70">
      <c r="A70" s="7" t="n"/>
      <c r="B70" s="6" t="n"/>
      <c r="C70" s="75" t="inlineStr">
        <is>
          <t>Rock Smash</t>
        </is>
      </c>
      <c r="D70" s="6" t="n">
        <v>20</v>
      </c>
      <c r="E70" s="30" t="inlineStr">
        <is>
          <t>Geodude  Lv 5-20  (70%)</t>
        </is>
      </c>
      <c r="F70" s="30" t="inlineStr">
        <is>
          <t>Nosepass  Lv 10-20  (30%)</t>
        </is>
      </c>
    </row>
    <row r="71">
      <c r="A71" s="7" t="inlineStr">
        <is>
          <t>Fiery Path</t>
        </is>
      </c>
      <c r="B71" s="6" t="inlineStr">
        <is>
          <t>Split 5</t>
        </is>
      </c>
      <c r="C71" s="71" t="inlineStr">
        <is>
          <t>Land</t>
        </is>
      </c>
      <c r="D71" s="6" t="n">
        <v>10</v>
      </c>
      <c r="E71" s="30" t="inlineStr">
        <is>
          <t>Numel  Lv 15-16  (30%)</t>
        </is>
      </c>
      <c r="F71" s="30" t="inlineStr">
        <is>
          <t>Koffing  Lv 15-16  (25%)</t>
        </is>
      </c>
      <c r="G71" s="30" t="inlineStr">
        <is>
          <t>Torkoal  Lv 14-16  (18%)</t>
        </is>
      </c>
      <c r="H71" s="30" t="inlineStr">
        <is>
          <t>Machop  Lv 15-16  (15%)</t>
        </is>
      </c>
      <c r="I71" s="30" t="inlineStr">
        <is>
          <t>Slugma  Lv 15  (10%)</t>
        </is>
      </c>
      <c r="J71" s="30" t="inlineStr">
        <is>
          <t>Grimer  Lv 14  (2%)</t>
        </is>
      </c>
    </row>
    <row r="72">
      <c r="A72" s="7" t="inlineStr">
        <is>
          <t>Meteor Falls B1 F2R</t>
        </is>
      </c>
      <c r="B72" s="6" t="inlineStr">
        <is>
          <t>Unassigned</t>
        </is>
      </c>
      <c r="C72" s="71" t="inlineStr">
        <is>
          <t>Land</t>
        </is>
      </c>
      <c r="D72" s="6" t="n">
        <v>10</v>
      </c>
      <c r="E72" s="30" t="inlineStr">
        <is>
          <t>Golbat  Lv 33-40  (50%)</t>
        </is>
      </c>
      <c r="F72" s="30" t="inlineStr">
        <is>
          <t>Bagon  Lv 25-35  (25%)</t>
        </is>
      </c>
      <c r="G72" s="30" t="inlineStr">
        <is>
          <t>Solrock  Lv 35-39  (25%)</t>
        </is>
      </c>
    </row>
    <row r="73">
      <c r="A73" s="7" t="n"/>
      <c r="B73" s="6" t="n"/>
      <c r="C73" s="72" t="inlineStr">
        <is>
          <t>Water</t>
        </is>
      </c>
      <c r="D73" s="6" t="n">
        <v>4</v>
      </c>
      <c r="E73" s="30" t="inlineStr">
        <is>
          <t>Golbat  Lv 30-35  (90%)</t>
        </is>
      </c>
      <c r="F73" s="30" t="inlineStr">
        <is>
          <t>Solrock  Lv 5-35  (10%)</t>
        </is>
      </c>
    </row>
    <row r="74">
      <c r="A74" s="7" t="n"/>
      <c r="B74" s="6" t="n"/>
      <c r="C74" s="73" t="inlineStr">
        <is>
          <t>Old Rod</t>
        </is>
      </c>
      <c r="D74" s="6" t="n">
        <v>30</v>
      </c>
      <c r="E74" s="30" t="inlineStr">
        <is>
          <t>Magikarp  Lv 5-10  (70%)</t>
        </is>
      </c>
      <c r="F74" s="30" t="inlineStr">
        <is>
          <t>Goldeen  Lv 5-10  (30%)</t>
        </is>
      </c>
    </row>
    <row r="75">
      <c r="A75" s="7" t="n"/>
      <c r="B75" s="6" t="n"/>
      <c r="C75" s="72" t="inlineStr">
        <is>
          <t>Good Rod</t>
        </is>
      </c>
      <c r="D75" s="6" t="n">
        <v>30</v>
      </c>
      <c r="E75" s="30" t="inlineStr">
        <is>
          <t>Magikarp  Lv 10-30  (60%)</t>
        </is>
      </c>
      <c r="F75" s="30" t="inlineStr">
        <is>
          <t>Goldeen  Lv 10-30  (20%)</t>
        </is>
      </c>
      <c r="G75" s="30" t="inlineStr">
        <is>
          <t>Barboach  Lv 10-30  (20%)</t>
        </is>
      </c>
    </row>
    <row r="76">
      <c r="A76" s="7" t="n"/>
      <c r="B76" s="6" t="n"/>
      <c r="C76" s="74" t="inlineStr">
        <is>
          <t>Super Rod</t>
        </is>
      </c>
      <c r="D76" s="6" t="n">
        <v>30</v>
      </c>
      <c r="E76" s="30" t="inlineStr">
        <is>
          <t>Barboach  Lv 25-35  (80%)</t>
        </is>
      </c>
      <c r="F76" s="30" t="inlineStr">
        <is>
          <t>Whiscash  Lv 30-45  (20%)</t>
        </is>
      </c>
    </row>
    <row r="77">
      <c r="A77" s="7" t="inlineStr">
        <is>
          <t>Jagged Pass</t>
        </is>
      </c>
      <c r="B77" s="6" t="inlineStr">
        <is>
          <t>Split 5</t>
        </is>
      </c>
      <c r="C77" s="71" t="inlineStr">
        <is>
          <t>Land</t>
        </is>
      </c>
      <c r="D77" s="6" t="n">
        <v>20</v>
      </c>
      <c r="E77" s="30" t="inlineStr">
        <is>
          <t>Numel  Lv 20-22  (55%)</t>
        </is>
      </c>
      <c r="F77" s="30" t="inlineStr">
        <is>
          <t>Machop  Lv 20-22  (25%)</t>
        </is>
      </c>
      <c r="G77" s="30" t="inlineStr">
        <is>
          <t>Spoink  Lv 20-22  (20%)</t>
        </is>
      </c>
    </row>
    <row r="78">
      <c r="A78" s="7" t="inlineStr">
        <is>
          <t>Route 106</t>
        </is>
      </c>
      <c r="B78" s="6" t="inlineStr">
        <is>
          <t>Split 3</t>
        </is>
      </c>
      <c r="C78" s="72" t="inlineStr">
        <is>
          <t>Water</t>
        </is>
      </c>
      <c r="D78" s="6" t="n">
        <v>4</v>
      </c>
      <c r="E78" s="30" t="inlineStr">
        <is>
          <t>Tentacool  Lv 5-35  (60%)</t>
        </is>
      </c>
      <c r="F78" s="30" t="inlineStr">
        <is>
          <t>Wingull  Lv 10-30  (35%)</t>
        </is>
      </c>
      <c r="G78" s="30" t="inlineStr">
        <is>
          <t>Pelipper  Lv 25-30  (5%)</t>
        </is>
      </c>
    </row>
    <row r="79">
      <c r="A79" s="7" t="n"/>
      <c r="B79" s="6" t="n"/>
      <c r="C79" s="73" t="inlineStr">
        <is>
          <t>Old Rod</t>
        </is>
      </c>
      <c r="D79" s="6" t="n">
        <v>30</v>
      </c>
      <c r="E79" s="30" t="inlineStr">
        <is>
          <t>Magikarp  Lv 5-10  (70%)</t>
        </is>
      </c>
      <c r="F79" s="30" t="inlineStr">
        <is>
          <t>Tentacool  Lv 5-10  (30%)</t>
        </is>
      </c>
    </row>
    <row r="80">
      <c r="A80" s="7" t="n"/>
      <c r="B80" s="6" t="n"/>
      <c r="C80" s="72" t="inlineStr">
        <is>
          <t>Good Rod</t>
        </is>
      </c>
      <c r="D80" s="6" t="n">
        <v>30</v>
      </c>
      <c r="E80" s="30" t="inlineStr">
        <is>
          <t>Magikarp  Lv 10-30  (60%)</t>
        </is>
      </c>
      <c r="F80" s="30" t="inlineStr">
        <is>
          <t>Tentacool  Lv 10-30  (20%)</t>
        </is>
      </c>
      <c r="G80" s="30" t="inlineStr">
        <is>
          <t>Wailmer  Lv 10-30  (20%)</t>
        </is>
      </c>
    </row>
    <row r="81">
      <c r="A81" s="7" t="n"/>
      <c r="B81" s="6" t="n"/>
      <c r="C81" s="74" t="inlineStr">
        <is>
          <t>Super Rod</t>
        </is>
      </c>
      <c r="D81" s="6" t="n">
        <v>30</v>
      </c>
      <c r="E81" s="30" t="inlineStr">
        <is>
          <t>Wailmer  Lv 20-45  (100%)</t>
        </is>
      </c>
    </row>
    <row r="82">
      <c r="A82" s="7" t="inlineStr">
        <is>
          <t>Route 107</t>
        </is>
      </c>
      <c r="B82" s="6" t="inlineStr">
        <is>
          <t>Split 3</t>
        </is>
      </c>
      <c r="C82" s="72" t="inlineStr">
        <is>
          <t>Water</t>
        </is>
      </c>
      <c r="D82" s="6" t="n">
        <v>4</v>
      </c>
      <c r="E82" s="30" t="inlineStr">
        <is>
          <t>Tentacool  Lv 5-35  (60%)</t>
        </is>
      </c>
      <c r="F82" s="30" t="inlineStr">
        <is>
          <t>Wingull  Lv 10-30  (35%)</t>
        </is>
      </c>
      <c r="G82" s="30" t="inlineStr">
        <is>
          <t>Pelipper  Lv 25-30  (5%)</t>
        </is>
      </c>
    </row>
    <row r="83">
      <c r="A83" s="7" t="n"/>
      <c r="B83" s="6" t="n"/>
      <c r="C83" s="73" t="inlineStr">
        <is>
          <t>Old Rod</t>
        </is>
      </c>
      <c r="D83" s="6" t="n">
        <v>30</v>
      </c>
      <c r="E83" s="30" t="inlineStr">
        <is>
          <t>Magikarp  Lv 5-10  (70%)</t>
        </is>
      </c>
      <c r="F83" s="30" t="inlineStr">
        <is>
          <t>Tentacool  Lv 5-10  (30%)</t>
        </is>
      </c>
    </row>
    <row r="84">
      <c r="A84" s="7" t="n"/>
      <c r="B84" s="6" t="n"/>
      <c r="C84" s="72" t="inlineStr">
        <is>
          <t>Good Rod</t>
        </is>
      </c>
      <c r="D84" s="6" t="n">
        <v>30</v>
      </c>
      <c r="E84" s="30" t="inlineStr">
        <is>
          <t>Magikarp  Lv 10-30  (60%)</t>
        </is>
      </c>
      <c r="F84" s="30" t="inlineStr">
        <is>
          <t>Tentacool  Lv 10-30  (20%)</t>
        </is>
      </c>
      <c r="G84" s="30" t="inlineStr">
        <is>
          <t>Wailmer  Lv 10-30  (20%)</t>
        </is>
      </c>
    </row>
    <row r="85">
      <c r="A85" s="7" t="n"/>
      <c r="B85" s="6" t="n"/>
      <c r="C85" s="74" t="inlineStr">
        <is>
          <t>Super Rod</t>
        </is>
      </c>
      <c r="D85" s="6" t="n">
        <v>30</v>
      </c>
      <c r="E85" s="30" t="inlineStr">
        <is>
          <t>Wailmer  Lv 20-45  (100%)</t>
        </is>
      </c>
    </row>
    <row r="86">
      <c r="A86" s="7" t="inlineStr">
        <is>
          <t>Route 108</t>
        </is>
      </c>
      <c r="B86" s="6" t="inlineStr">
        <is>
          <t>Split 4</t>
        </is>
      </c>
      <c r="C86" s="72" t="inlineStr">
        <is>
          <t>Water</t>
        </is>
      </c>
      <c r="D86" s="6" t="n">
        <v>4</v>
      </c>
      <c r="E86" s="30" t="inlineStr">
        <is>
          <t>Tentacool  Lv 5-35  (60%)</t>
        </is>
      </c>
      <c r="F86" s="30" t="inlineStr">
        <is>
          <t>Wingull  Lv 10-30  (35%)</t>
        </is>
      </c>
      <c r="G86" s="30" t="inlineStr">
        <is>
          <t>Pelipper  Lv 25-30  (5%)</t>
        </is>
      </c>
    </row>
    <row r="87">
      <c r="A87" s="7" t="n"/>
      <c r="B87" s="6" t="n"/>
      <c r="C87" s="73" t="inlineStr">
        <is>
          <t>Old Rod</t>
        </is>
      </c>
      <c r="D87" s="6" t="n">
        <v>30</v>
      </c>
      <c r="E87" s="30" t="inlineStr">
        <is>
          <t>Magikarp  Lv 5-10  (70%)</t>
        </is>
      </c>
      <c r="F87" s="30" t="inlineStr">
        <is>
          <t>Tentacool  Lv 5-10  (30%)</t>
        </is>
      </c>
    </row>
    <row r="88">
      <c r="A88" s="7" t="n"/>
      <c r="B88" s="6" t="n"/>
      <c r="C88" s="72" t="inlineStr">
        <is>
          <t>Good Rod</t>
        </is>
      </c>
      <c r="D88" s="6" t="n">
        <v>30</v>
      </c>
      <c r="E88" s="30" t="inlineStr">
        <is>
          <t>Magikarp  Lv 10-30  (60%)</t>
        </is>
      </c>
      <c r="F88" s="30" t="inlineStr">
        <is>
          <t>Tentacool  Lv 10-30  (20%)</t>
        </is>
      </c>
      <c r="G88" s="30" t="inlineStr">
        <is>
          <t>Wailmer  Lv 10-30  (20%)</t>
        </is>
      </c>
    </row>
    <row r="89">
      <c r="A89" s="7" t="n"/>
      <c r="B89" s="6" t="n"/>
      <c r="C89" s="74" t="inlineStr">
        <is>
          <t>Super Rod</t>
        </is>
      </c>
      <c r="D89" s="6" t="n">
        <v>30</v>
      </c>
      <c r="E89" s="30" t="inlineStr">
        <is>
          <t>Wailmer  Lv 20-45  (100%)</t>
        </is>
      </c>
    </row>
    <row r="90">
      <c r="A90" s="7" t="inlineStr">
        <is>
          <t>Route 109</t>
        </is>
      </c>
      <c r="B90" s="6" t="inlineStr">
        <is>
          <t>Split 4</t>
        </is>
      </c>
      <c r="C90" s="72" t="inlineStr">
        <is>
          <t>Water</t>
        </is>
      </c>
      <c r="D90" s="6" t="n">
        <v>4</v>
      </c>
      <c r="E90" s="30" t="inlineStr">
        <is>
          <t>Tentacool  Lv 5-35  (60%)</t>
        </is>
      </c>
      <c r="F90" s="30" t="inlineStr">
        <is>
          <t>Wingull  Lv 10-30  (35%)</t>
        </is>
      </c>
      <c r="G90" s="30" t="inlineStr">
        <is>
          <t>Pelipper  Lv 25-30  (5%)</t>
        </is>
      </c>
    </row>
    <row r="91">
      <c r="A91" s="7" t="n"/>
      <c r="B91" s="6" t="n"/>
      <c r="C91" s="73" t="inlineStr">
        <is>
          <t>Old Rod</t>
        </is>
      </c>
      <c r="D91" s="6" t="n">
        <v>30</v>
      </c>
      <c r="E91" s="30" t="inlineStr">
        <is>
          <t>Magikarp  Lv 5-10  (70%)</t>
        </is>
      </c>
      <c r="F91" s="30" t="inlineStr">
        <is>
          <t>Tentacool  Lv 5-10  (30%)</t>
        </is>
      </c>
    </row>
    <row r="92">
      <c r="A92" s="7" t="n"/>
      <c r="B92" s="6" t="n"/>
      <c r="C92" s="72" t="inlineStr">
        <is>
          <t>Good Rod</t>
        </is>
      </c>
      <c r="D92" s="6" t="n">
        <v>30</v>
      </c>
      <c r="E92" s="30" t="inlineStr">
        <is>
          <t>Magikarp  Lv 10-30  (60%)</t>
        </is>
      </c>
      <c r="F92" s="30" t="inlineStr">
        <is>
          <t>Tentacool  Lv 10-30  (20%)</t>
        </is>
      </c>
      <c r="G92" s="30" t="inlineStr">
        <is>
          <t>Wailmer  Lv 10-30  (20%)</t>
        </is>
      </c>
    </row>
    <row r="93">
      <c r="A93" s="7" t="n"/>
      <c r="B93" s="6" t="n"/>
      <c r="C93" s="74" t="inlineStr">
        <is>
          <t>Super Rod</t>
        </is>
      </c>
      <c r="D93" s="6" t="n">
        <v>30</v>
      </c>
      <c r="E93" s="30" t="inlineStr">
        <is>
          <t>Wailmer  Lv 20-45  (100%)</t>
        </is>
      </c>
    </row>
    <row r="94">
      <c r="A94" s="7" t="inlineStr">
        <is>
          <t>Route 115</t>
        </is>
      </c>
      <c r="B94" s="6" t="inlineStr">
        <is>
          <t>Unassigned</t>
        </is>
      </c>
      <c r="C94" s="71" t="inlineStr">
        <is>
          <t>Land</t>
        </is>
      </c>
      <c r="D94" s="6" t="n">
        <v>20</v>
      </c>
      <c r="E94" s="30" t="inlineStr">
        <is>
          <t>Taillow  Lv 23-25  (40%)</t>
        </is>
      </c>
      <c r="F94" s="30" t="inlineStr">
        <is>
          <t>Swablu  Lv 23-25  (30%)</t>
        </is>
      </c>
      <c r="G94" s="30" t="inlineStr">
        <is>
          <t>Swellow  Lv 25  (10%)</t>
        </is>
      </c>
      <c r="H94" s="30" t="inlineStr">
        <is>
          <t>Jigglypuff  Lv 24-25  (10%)</t>
        </is>
      </c>
      <c r="I94" s="30" t="inlineStr">
        <is>
          <t>Wingull  Lv 24-26  (10%)</t>
        </is>
      </c>
    </row>
    <row r="95">
      <c r="A95" s="7" t="n"/>
      <c r="B95" s="6" t="n"/>
      <c r="C95" s="72" t="inlineStr">
        <is>
          <t>Water</t>
        </is>
      </c>
      <c r="D95" s="6" t="n">
        <v>4</v>
      </c>
      <c r="E95" s="30" t="inlineStr">
        <is>
          <t>Tentacool  Lv 5-35  (60%)</t>
        </is>
      </c>
      <c r="F95" s="30" t="inlineStr">
        <is>
          <t>Wingull  Lv 10-30  (35%)</t>
        </is>
      </c>
      <c r="G95" s="30" t="inlineStr">
        <is>
          <t>Pelipper  Lv 25-30  (5%)</t>
        </is>
      </c>
    </row>
    <row r="96">
      <c r="A96" s="7" t="n"/>
      <c r="B96" s="6" t="n"/>
      <c r="C96" s="73" t="inlineStr">
        <is>
          <t>Old Rod</t>
        </is>
      </c>
      <c r="D96" s="6" t="n">
        <v>30</v>
      </c>
      <c r="E96" s="30" t="inlineStr">
        <is>
          <t>Magikarp  Lv 5-10  (70%)</t>
        </is>
      </c>
      <c r="F96" s="30" t="inlineStr">
        <is>
          <t>Tentacool  Lv 5-10  (30%)</t>
        </is>
      </c>
    </row>
    <row r="97">
      <c r="A97" s="7" t="n"/>
      <c r="B97" s="6" t="n"/>
      <c r="C97" s="72" t="inlineStr">
        <is>
          <t>Good Rod</t>
        </is>
      </c>
      <c r="D97" s="6" t="n">
        <v>30</v>
      </c>
      <c r="E97" s="30" t="inlineStr">
        <is>
          <t>Magikarp  Lv 10-30  (60%)</t>
        </is>
      </c>
      <c r="F97" s="30" t="inlineStr">
        <is>
          <t>Tentacool  Lv 10-30  (20%)</t>
        </is>
      </c>
      <c r="G97" s="30" t="inlineStr">
        <is>
          <t>Wailmer  Lv 10-30  (20%)</t>
        </is>
      </c>
    </row>
    <row r="98">
      <c r="A98" s="7" t="n"/>
      <c r="B98" s="6" t="n"/>
      <c r="C98" s="74" t="inlineStr">
        <is>
          <t>Super Rod</t>
        </is>
      </c>
      <c r="D98" s="6" t="n">
        <v>30</v>
      </c>
      <c r="E98" s="30" t="inlineStr">
        <is>
          <t>Wailmer  Lv 20-45  (100%)</t>
        </is>
      </c>
    </row>
    <row r="99">
      <c r="A99" s="7" t="inlineStr">
        <is>
          <t>New Mauville Inside</t>
        </is>
      </c>
      <c r="B99" s="6" t="inlineStr">
        <is>
          <t>Split 4</t>
        </is>
      </c>
      <c r="C99" s="71" t="inlineStr">
        <is>
          <t>Land</t>
        </is>
      </c>
      <c r="D99" s="6" t="n">
        <v>10</v>
      </c>
      <c r="E99" s="30" t="inlineStr">
        <is>
          <t>Voltorb  Lv 22-26  (49%)</t>
        </is>
      </c>
      <c r="F99" s="30" t="inlineStr">
        <is>
          <t>Magnemite  Lv 22-26  (49%)</t>
        </is>
      </c>
      <c r="G99" s="30" t="inlineStr">
        <is>
          <t>Electrode  Lv 26  (1%)</t>
        </is>
      </c>
      <c r="H99" s="30" t="inlineStr">
        <is>
          <t>Magneton  Lv 26  (1%)</t>
        </is>
      </c>
    </row>
    <row r="100">
      <c r="A100" s="7" t="inlineStr">
        <is>
          <t>Route 119</t>
        </is>
      </c>
      <c r="B100" s="6" t="inlineStr">
        <is>
          <t>Split 6</t>
        </is>
      </c>
      <c r="C100" s="71" t="inlineStr">
        <is>
          <t>Land</t>
        </is>
      </c>
      <c r="D100" s="6" t="n">
        <v>15</v>
      </c>
      <c r="E100" s="30" t="inlineStr">
        <is>
          <t>Zigzagoon  Lv 25-27  (30%)</t>
        </is>
      </c>
      <c r="F100" s="30" t="inlineStr">
        <is>
          <t>Linoone  Lv 25-27  (30%)</t>
        </is>
      </c>
      <c r="G100" s="30" t="inlineStr">
        <is>
          <t>Oddish  Lv 24-27  (30%)</t>
        </is>
      </c>
      <c r="H100" s="30" t="inlineStr">
        <is>
          <t>Tropius  Lv 25-27  (9%)</t>
        </is>
      </c>
      <c r="I100" s="30" t="inlineStr">
        <is>
          <t>Kecleon  Lv 25  (1%)</t>
        </is>
      </c>
    </row>
    <row r="101">
      <c r="A101" s="7" t="n"/>
      <c r="B101" s="6" t="n"/>
      <c r="C101" s="72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3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2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Carvanha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Carvanha  Lv 20-45  (100%)</t>
        </is>
      </c>
    </row>
    <row r="105">
      <c r="A105" s="7" t="inlineStr">
        <is>
          <t>Route 120</t>
        </is>
      </c>
      <c r="B105" s="6" t="inlineStr">
        <is>
          <t>Split 7</t>
        </is>
      </c>
      <c r="C105" s="71" t="inlineStr">
        <is>
          <t>Land</t>
        </is>
      </c>
      <c r="D105" s="6" t="n">
        <v>20</v>
      </c>
      <c r="E105" s="30" t="inlineStr">
        <is>
          <t>Mightyena  Lv 25-27  (30%)</t>
        </is>
      </c>
      <c r="F105" s="30" t="inlineStr">
        <is>
          <t>Oddish  Lv 25-27  (25%)</t>
        </is>
      </c>
      <c r="G105" s="30" t="inlineStr">
        <is>
          <t>Poochyena  Lv 25  (20%)</t>
        </is>
      </c>
      <c r="H105" s="30" t="inlineStr">
        <is>
          <t>Marill  Lv 25-27  (15%)</t>
        </is>
      </c>
      <c r="I105" s="30" t="inlineStr">
        <is>
          <t>Absol  Lv 25-27  (8%)</t>
        </is>
      </c>
      <c r="J105" s="30" t="inlineStr">
        <is>
          <t>Kecleon  Lv 25  (1%)</t>
        </is>
      </c>
      <c r="K105" s="30" t="inlineStr">
        <is>
          <t>Seedot  Lv 25  (1%)</t>
        </is>
      </c>
    </row>
    <row r="106">
      <c r="A106" s="7" t="n"/>
      <c r="B106" s="6" t="n"/>
      <c r="C106" s="72" t="inlineStr">
        <is>
          <t>Water</t>
        </is>
      </c>
      <c r="D106" s="6" t="n">
        <v>4</v>
      </c>
      <c r="E106" s="30" t="inlineStr">
        <is>
          <t>Marill  Lv 5-35  (99%)</t>
        </is>
      </c>
      <c r="F106" s="30" t="inlineStr">
        <is>
          <t>Goldeen  Lv 20-30  (1%)</t>
        </is>
      </c>
    </row>
    <row r="107">
      <c r="A107" s="7" t="n"/>
      <c r="B107" s="6" t="n"/>
      <c r="C107" s="73" t="inlineStr">
        <is>
          <t>Old Rod</t>
        </is>
      </c>
      <c r="D107" s="6" t="n">
        <v>30</v>
      </c>
      <c r="E107" s="30" t="inlineStr">
        <is>
          <t>Magikarp  Lv 5-10  (70%)</t>
        </is>
      </c>
      <c r="F107" s="30" t="inlineStr">
        <is>
          <t>Goldeen  Lv 5-10  (30%)</t>
        </is>
      </c>
    </row>
    <row r="108">
      <c r="A108" s="7" t="n"/>
      <c r="B108" s="6" t="n"/>
      <c r="C108" s="72" t="inlineStr">
        <is>
          <t>Good Rod</t>
        </is>
      </c>
      <c r="D108" s="6" t="n">
        <v>30</v>
      </c>
      <c r="E108" s="30" t="inlineStr">
        <is>
          <t>Magikarp  Lv 10-30  (60%)</t>
        </is>
      </c>
      <c r="F108" s="30" t="inlineStr">
        <is>
          <t>Goldeen  Lv 10-30  (20%)</t>
        </is>
      </c>
      <c r="G108" s="30" t="inlineStr">
        <is>
          <t>Barboach  Lv 10-30  (20%)</t>
        </is>
      </c>
    </row>
    <row r="109">
      <c r="A109" s="7" t="n"/>
      <c r="B109" s="6" t="n"/>
      <c r="C109" s="74" t="inlineStr">
        <is>
          <t>Super Rod</t>
        </is>
      </c>
      <c r="D109" s="6" t="n">
        <v>30</v>
      </c>
      <c r="E109" s="30" t="inlineStr">
        <is>
          <t>Barboach  Lv 20-45  (100%)</t>
        </is>
      </c>
    </row>
    <row r="110">
      <c r="A110" s="7" t="inlineStr">
        <is>
          <t>Route 121</t>
        </is>
      </c>
      <c r="B110" s="6" t="inlineStr">
        <is>
          <t>Split 7</t>
        </is>
      </c>
      <c r="C110" s="71" t="inlineStr">
        <is>
          <t>Land</t>
        </is>
      </c>
      <c r="D110" s="6" t="n">
        <v>20</v>
      </c>
      <c r="E110" s="30" t="inlineStr">
        <is>
          <t>Shuppet  Lv 26-28  (30%)</t>
        </is>
      </c>
      <c r="F110" s="30" t="inlineStr">
        <is>
          <t>Poochyena  Lv 26  (20%)</t>
        </is>
      </c>
      <c r="G110" s="30" t="inlineStr">
        <is>
          <t>Mightyena  Lv 26-28  (20%)</t>
        </is>
      </c>
      <c r="H110" s="30" t="inlineStr">
        <is>
          <t>Oddish  Lv 26-28  (15%)</t>
        </is>
      </c>
      <c r="I110" s="30" t="inlineStr">
        <is>
          <t>Wingull  Lv 26-28  (9%)</t>
        </is>
      </c>
      <c r="J110" s="30" t="inlineStr">
        <is>
          <t>Gloom  Lv 28  (5%)</t>
        </is>
      </c>
      <c r="K110" s="30" t="inlineStr">
        <is>
          <t>Kecleon  Lv 25  (1%)</t>
        </is>
      </c>
    </row>
    <row r="111">
      <c r="A111" s="7" t="n"/>
      <c r="B111" s="6" t="n"/>
      <c r="C111" s="72" t="inlineStr">
        <is>
          <t>Water</t>
        </is>
      </c>
      <c r="D111" s="6" t="n">
        <v>4</v>
      </c>
      <c r="E111" s="30" t="inlineStr">
        <is>
          <t>Tentacool  Lv 5-35  (60%)</t>
        </is>
      </c>
      <c r="F111" s="30" t="inlineStr">
        <is>
          <t>Wingull  Lv 10-30  (35%)</t>
        </is>
      </c>
      <c r="G111" s="30" t="inlineStr">
        <is>
          <t>Pelipper  Lv 25-30  (5%)</t>
        </is>
      </c>
    </row>
    <row r="112">
      <c r="A112" s="7" t="n"/>
      <c r="B112" s="6" t="n"/>
      <c r="C112" s="73" t="inlineStr">
        <is>
          <t>Old Rod</t>
        </is>
      </c>
      <c r="D112" s="6" t="n">
        <v>30</v>
      </c>
      <c r="E112" s="30" t="inlineStr">
        <is>
          <t>Magikarp  Lv 5-10  (70%)</t>
        </is>
      </c>
      <c r="F112" s="30" t="inlineStr">
        <is>
          <t>Tentacool  Lv 5-10  (30%)</t>
        </is>
      </c>
    </row>
    <row r="113">
      <c r="A113" s="7" t="n"/>
      <c r="B113" s="6" t="n"/>
      <c r="C113" s="72" t="inlineStr">
        <is>
          <t>Good Rod</t>
        </is>
      </c>
      <c r="D113" s="6" t="n">
        <v>30</v>
      </c>
      <c r="E113" s="30" t="inlineStr">
        <is>
          <t>Magikarp  Lv 10-30  (60%)</t>
        </is>
      </c>
      <c r="F113" s="30" t="inlineStr">
        <is>
          <t>Tentacool  Lv 10-30  (20%)</t>
        </is>
      </c>
      <c r="G113" s="30" t="inlineStr">
        <is>
          <t>Wailmer  Lv 10-30  (20%)</t>
        </is>
      </c>
    </row>
    <row r="114">
      <c r="A114" s="7" t="n"/>
      <c r="B114" s="6" t="n"/>
      <c r="C114" s="74" t="inlineStr">
        <is>
          <t>Super Rod</t>
        </is>
      </c>
      <c r="D114" s="6" t="n">
        <v>30</v>
      </c>
      <c r="E114" s="30" t="inlineStr">
        <is>
          <t>Wailmer  Lv 20-45  (100%)</t>
        </is>
      </c>
    </row>
    <row r="115">
      <c r="A115" s="7" t="inlineStr">
        <is>
          <t>Route 122</t>
        </is>
      </c>
      <c r="B115" s="6" t="inlineStr">
        <is>
          <t>Split 7</t>
        </is>
      </c>
      <c r="C115" s="72" t="inlineStr">
        <is>
          <t>Water</t>
        </is>
      </c>
      <c r="D115" s="6" t="n">
        <v>4</v>
      </c>
      <c r="E115" s="30" t="inlineStr">
        <is>
          <t>Tentacool  Lv 5-35  (60%)</t>
        </is>
      </c>
      <c r="F115" s="30" t="inlineStr">
        <is>
          <t>Wingull  Lv 10-30  (35%)</t>
        </is>
      </c>
      <c r="G115" s="30" t="inlineStr">
        <is>
          <t>Pelipper  Lv 25-30  (5%)</t>
        </is>
      </c>
    </row>
    <row r="116">
      <c r="A116" s="7" t="n"/>
      <c r="B116" s="6" t="n"/>
      <c r="C116" s="73" t="inlineStr">
        <is>
          <t>Old Rod</t>
        </is>
      </c>
      <c r="D116" s="6" t="n">
        <v>30</v>
      </c>
      <c r="E116" s="30" t="inlineStr">
        <is>
          <t>Magikarp  Lv 5-10  (70%)</t>
        </is>
      </c>
      <c r="F116" s="30" t="inlineStr">
        <is>
          <t>Tentacool  Lv 5-10  (30%)</t>
        </is>
      </c>
    </row>
    <row r="117">
      <c r="A117" s="7" t="n"/>
      <c r="B117" s="6" t="n"/>
      <c r="C117" s="72" t="inlineStr">
        <is>
          <t>Good Rod</t>
        </is>
      </c>
      <c r="D117" s="6" t="n">
        <v>30</v>
      </c>
      <c r="E117" s="30" t="inlineStr">
        <is>
          <t>Magikarp  Lv 10-30  (60%)</t>
        </is>
      </c>
      <c r="F117" s="30" t="inlineStr">
        <is>
          <t>Tentacool  Lv 10-30  (20%)</t>
        </is>
      </c>
      <c r="G117" s="30" t="inlineStr">
        <is>
          <t>Wailmer  Lv 10-30  (20%)</t>
        </is>
      </c>
    </row>
    <row r="118">
      <c r="A118" s="7" t="n"/>
      <c r="B118" s="6" t="n"/>
      <c r="C118" s="74" t="inlineStr">
        <is>
          <t>Super Rod</t>
        </is>
      </c>
      <c r="D118" s="6" t="n">
        <v>30</v>
      </c>
      <c r="E118" s="30" t="inlineStr">
        <is>
          <t>Wailmer  Lv 25-45  (60%)</t>
        </is>
      </c>
      <c r="F118" s="30" t="inlineStr">
        <is>
          <t>Sharpedo  Lv 30-35  (40%)</t>
        </is>
      </c>
    </row>
    <row r="119">
      <c r="A119" s="7" t="inlineStr">
        <is>
          <t>Route 123</t>
        </is>
      </c>
      <c r="B119" s="6" t="inlineStr">
        <is>
          <t>Split 7</t>
        </is>
      </c>
      <c r="C119" s="71" t="inlineStr">
        <is>
          <t>Land</t>
        </is>
      </c>
      <c r="D119" s="6" t="n">
        <v>20</v>
      </c>
      <c r="E119" s="30" t="inlineStr">
        <is>
          <t>Shuppet  Lv 26-28  (30%)</t>
        </is>
      </c>
      <c r="F119" s="30" t="inlineStr">
        <is>
          <t>Poochyena  Lv 26  (20%)</t>
        </is>
      </c>
      <c r="G119" s="30" t="inlineStr">
        <is>
          <t>Mightyena  Lv 26-28  (20%)</t>
        </is>
      </c>
      <c r="H119" s="30" t="inlineStr">
        <is>
          <t>Oddish  Lv 26-28  (15%)</t>
        </is>
      </c>
      <c r="I119" s="30" t="inlineStr">
        <is>
          <t>Wingull  Lv 26-28  (9%)</t>
        </is>
      </c>
      <c r="J119" s="30" t="inlineStr">
        <is>
          <t>Gloom  Lv 28  (5%)</t>
        </is>
      </c>
      <c r="K119" s="30" t="inlineStr">
        <is>
          <t>Kecleon  Lv 25  (1%)</t>
        </is>
      </c>
    </row>
    <row r="120">
      <c r="A120" s="7" t="n"/>
      <c r="B120" s="6" t="n"/>
      <c r="C120" s="72" t="inlineStr">
        <is>
          <t>Water</t>
        </is>
      </c>
      <c r="D120" s="6" t="n">
        <v>4</v>
      </c>
      <c r="E120" s="30" t="inlineStr">
        <is>
          <t>Tentacool  Lv 5-35  (60%)</t>
        </is>
      </c>
      <c r="F120" s="30" t="inlineStr">
        <is>
          <t>Wingull  Lv 10-30  (35%)</t>
        </is>
      </c>
      <c r="G120" s="30" t="inlineStr">
        <is>
          <t>Pelipper  Lv 25-30  (5%)</t>
        </is>
      </c>
    </row>
    <row r="121">
      <c r="A121" s="7" t="n"/>
      <c r="B121" s="6" t="n"/>
      <c r="C121" s="73" t="inlineStr">
        <is>
          <t>Old Rod</t>
        </is>
      </c>
      <c r="D121" s="6" t="n">
        <v>30</v>
      </c>
      <c r="E121" s="30" t="inlineStr">
        <is>
          <t>Magikarp  Lv 5-10  (70%)</t>
        </is>
      </c>
      <c r="F121" s="30" t="inlineStr">
        <is>
          <t>Tentacool  Lv 5-10  (30%)</t>
        </is>
      </c>
    </row>
    <row r="122">
      <c r="A122" s="7" t="n"/>
      <c r="B122" s="6" t="n"/>
      <c r="C122" s="72" t="inlineStr">
        <is>
          <t>Good Rod</t>
        </is>
      </c>
      <c r="D122" s="6" t="n">
        <v>30</v>
      </c>
      <c r="E122" s="30" t="inlineStr">
        <is>
          <t>Magikarp  Lv 10-30  (60%)</t>
        </is>
      </c>
      <c r="F122" s="30" t="inlineStr">
        <is>
          <t>Tentacool  Lv 10-30  (20%)</t>
        </is>
      </c>
      <c r="G122" s="30" t="inlineStr">
        <is>
          <t>Wailmer  Lv 10-30  (20%)</t>
        </is>
      </c>
    </row>
    <row r="123">
      <c r="A123" s="7" t="n"/>
      <c r="B123" s="6" t="n"/>
      <c r="C123" s="74" t="inlineStr">
        <is>
          <t>Super Rod</t>
        </is>
      </c>
      <c r="D123" s="6" t="n">
        <v>30</v>
      </c>
      <c r="E123" s="30" t="inlineStr">
        <is>
          <t>Wailmer  Lv 20-45  (100%)</t>
        </is>
      </c>
    </row>
    <row r="124">
      <c r="A124" s="7" t="inlineStr">
        <is>
          <t>Mt Pyre 2F</t>
        </is>
      </c>
      <c r="B124" s="6" t="inlineStr">
        <is>
          <t>Split 7</t>
        </is>
      </c>
      <c r="C124" s="71" t="inlineStr">
        <is>
          <t>Land</t>
        </is>
      </c>
      <c r="D124" s="6" t="n">
        <v>10</v>
      </c>
      <c r="E124" s="30" t="inlineStr">
        <is>
          <t>Shuppet  Lv 22-29  (100%)</t>
        </is>
      </c>
    </row>
    <row r="125">
      <c r="A125" s="7" t="inlineStr">
        <is>
          <t>Mt Pyre 3F</t>
        </is>
      </c>
      <c r="B125" s="6" t="inlineStr">
        <is>
          <t>Split 7</t>
        </is>
      </c>
      <c r="C125" s="71" t="inlineStr">
        <is>
          <t>Land</t>
        </is>
      </c>
      <c r="D125" s="6" t="n">
        <v>10</v>
      </c>
      <c r="E125" s="30" t="inlineStr">
        <is>
          <t>Shuppet  Lv 22-29  (100%)</t>
        </is>
      </c>
    </row>
    <row r="126">
      <c r="A126" s="7" t="inlineStr">
        <is>
          <t>Mt Pyre 4F</t>
        </is>
      </c>
      <c r="B126" s="6" t="inlineStr">
        <is>
          <t>Split 7</t>
        </is>
      </c>
      <c r="C126" s="71" t="inlineStr">
        <is>
          <t>Land</t>
        </is>
      </c>
      <c r="D126" s="6" t="n">
        <v>10</v>
      </c>
      <c r="E126" s="30" t="inlineStr">
        <is>
          <t>Shuppet  Lv 22-29  (90%)</t>
        </is>
      </c>
      <c r="F126" s="30" t="inlineStr">
        <is>
          <t>Duskull  Lv 25-29  (10%)</t>
        </is>
      </c>
    </row>
    <row r="127">
      <c r="A127" s="7" t="inlineStr">
        <is>
          <t>Mt Pyre 5F</t>
        </is>
      </c>
      <c r="B127" s="6" t="inlineStr">
        <is>
          <t>Split 7</t>
        </is>
      </c>
      <c r="C127" s="71" t="inlineStr">
        <is>
          <t>Land</t>
        </is>
      </c>
      <c r="D127" s="6" t="n">
        <v>10</v>
      </c>
      <c r="E127" s="30" t="inlineStr">
        <is>
          <t>Shuppet  Lv 22-29  (90%)</t>
        </is>
      </c>
      <c r="F127" s="30" t="inlineStr">
        <is>
          <t>Duskull  Lv 25-29  (10%)</t>
        </is>
      </c>
    </row>
    <row r="128">
      <c r="A128" s="7" t="inlineStr">
        <is>
          <t>Mt Pyre 6F</t>
        </is>
      </c>
      <c r="B128" s="6" t="inlineStr">
        <is>
          <t>Split 7</t>
        </is>
      </c>
      <c r="C128" s="71" t="inlineStr">
        <is>
          <t>Land</t>
        </is>
      </c>
      <c r="D128" s="6" t="n">
        <v>10</v>
      </c>
      <c r="E128" s="30" t="inlineStr">
        <is>
          <t>Shuppet  Lv 22-29  (90%)</t>
        </is>
      </c>
      <c r="F128" s="30" t="inlineStr">
        <is>
          <t>Duskull  Lv 25-29  (10%)</t>
        </is>
      </c>
    </row>
    <row r="129">
      <c r="A129" s="7" t="inlineStr">
        <is>
          <t>Mt Pyre Exterior</t>
        </is>
      </c>
      <c r="B129" s="6" t="inlineStr">
        <is>
          <t>Split 7</t>
        </is>
      </c>
      <c r="C129" s="71" t="inlineStr">
        <is>
          <t>Land</t>
        </is>
      </c>
      <c r="D129" s="6" t="n">
        <v>10</v>
      </c>
      <c r="E129" s="30" t="inlineStr">
        <is>
          <t>Shuppet  Lv 27-29  (60%)</t>
        </is>
      </c>
      <c r="F129" s="30" t="inlineStr">
        <is>
          <t>Vulpix  Lv 25-29  (30%)</t>
        </is>
      </c>
      <c r="G129" s="30" t="inlineStr">
        <is>
          <t>Wingull  Lv 26-28  (10%)</t>
        </is>
      </c>
    </row>
    <row r="130">
      <c r="A130" s="7" t="inlineStr">
        <is>
          <t>Mt Pyre Summit</t>
        </is>
      </c>
      <c r="B130" s="6" t="inlineStr">
        <is>
          <t>Split 7</t>
        </is>
      </c>
      <c r="C130" s="71" t="inlineStr">
        <is>
          <t>Land</t>
        </is>
      </c>
      <c r="D130" s="6" t="n">
        <v>10</v>
      </c>
      <c r="E130" s="30" t="inlineStr">
        <is>
          <t>Shuppet  Lv 24-30  (85%)</t>
        </is>
      </c>
      <c r="F130" s="30" t="inlineStr">
        <is>
          <t>Duskull  Lv 26-30  (13%)</t>
        </is>
      </c>
      <c r="G130" s="30" t="inlineStr">
        <is>
          <t>Chimecho  Lv 28  (2%)</t>
        </is>
      </c>
    </row>
    <row r="131">
      <c r="A131" s="7" t="inlineStr">
        <is>
          <t>Granite Cave Stevens Room</t>
        </is>
      </c>
      <c r="B131" s="6" t="inlineStr">
        <is>
          <t>Split 3</t>
        </is>
      </c>
      <c r="C131" s="71" t="inlineStr">
        <is>
          <t>Land</t>
        </is>
      </c>
      <c r="D131" s="6" t="n">
        <v>10</v>
      </c>
      <c r="E131" s="30" t="inlineStr">
        <is>
          <t>Makuhita  Lv 6-10  (50%)</t>
        </is>
      </c>
      <c r="F131" s="30" t="inlineStr">
        <is>
          <t>Zubat  Lv 7-8  (30%)</t>
        </is>
      </c>
      <c r="G131" s="30" t="inlineStr">
        <is>
          <t>Abra  Lv 8  (10%)</t>
        </is>
      </c>
      <c r="H131" s="30" t="inlineStr">
        <is>
          <t>Aron  Lv 7-8  (10%)</t>
        </is>
      </c>
    </row>
    <row r="132">
      <c r="A132" s="7" t="inlineStr">
        <is>
          <t>Route 125</t>
        </is>
      </c>
      <c r="B132" s="6" t="inlineStr">
        <is>
          <t>Split 8</t>
        </is>
      </c>
      <c r="C132" s="72" t="inlineStr">
        <is>
          <t>Water</t>
        </is>
      </c>
      <c r="D132" s="6" t="n">
        <v>4</v>
      </c>
      <c r="E132" s="30" t="inlineStr">
        <is>
          <t>Tentacool  Lv 5-35  (60%)</t>
        </is>
      </c>
      <c r="F132" s="30" t="inlineStr">
        <is>
          <t>Wingull  Lv 10-30  (35%)</t>
        </is>
      </c>
      <c r="G132" s="30" t="inlineStr">
        <is>
          <t>Pelipper  Lv 25-30  (5%)</t>
        </is>
      </c>
    </row>
    <row r="133">
      <c r="A133" s="7" t="n"/>
      <c r="B133" s="6" t="n"/>
      <c r="C133" s="73" t="inlineStr">
        <is>
          <t>Old Rod</t>
        </is>
      </c>
      <c r="D133" s="6" t="n">
        <v>30</v>
      </c>
      <c r="E133" s="30" t="inlineStr">
        <is>
          <t>Magikarp  Lv 5-10  (70%)</t>
        </is>
      </c>
      <c r="F133" s="30" t="inlineStr">
        <is>
          <t>Tentacool  Lv 5-10  (30%)</t>
        </is>
      </c>
    </row>
    <row r="134">
      <c r="A134" s="7" t="n"/>
      <c r="B134" s="6" t="n"/>
      <c r="C134" s="72" t="inlineStr">
        <is>
          <t>Good Rod</t>
        </is>
      </c>
      <c r="D134" s="6" t="n">
        <v>30</v>
      </c>
      <c r="E134" s="30" t="inlineStr">
        <is>
          <t>Magikarp  Lv 10-30  (60%)</t>
        </is>
      </c>
      <c r="F134" s="30" t="inlineStr">
        <is>
          <t>Tentacool  Lv 10-30  (20%)</t>
        </is>
      </c>
      <c r="G134" s="30" t="inlineStr">
        <is>
          <t>Wailmer  Lv 10-30  (20%)</t>
        </is>
      </c>
    </row>
    <row r="135">
      <c r="A135" s="7" t="n"/>
      <c r="B135" s="6" t="n"/>
      <c r="C135" s="74" t="inlineStr">
        <is>
          <t>Super Rod</t>
        </is>
      </c>
      <c r="D135" s="6" t="n">
        <v>30</v>
      </c>
      <c r="E135" s="30" t="inlineStr">
        <is>
          <t>Wailmer  Lv 25-45  (60%)</t>
        </is>
      </c>
      <c r="F135" s="30" t="inlineStr">
        <is>
          <t>Sharpedo  Lv 30-35  (40%)</t>
        </is>
      </c>
    </row>
    <row r="136">
      <c r="A136" s="7" t="inlineStr">
        <is>
          <t>Route 126</t>
        </is>
      </c>
      <c r="B136" s="6" t="inlineStr">
        <is>
          <t>Split 8</t>
        </is>
      </c>
      <c r="C136" s="72" t="inlineStr">
        <is>
          <t>Water</t>
        </is>
      </c>
      <c r="D136" s="6" t="n">
        <v>4</v>
      </c>
      <c r="E136" s="30" t="inlineStr">
        <is>
          <t>Tentacool  Lv 5-35  (60%)</t>
        </is>
      </c>
      <c r="F136" s="30" t="inlineStr">
        <is>
          <t>Wingull  Lv 10-30  (35%)</t>
        </is>
      </c>
      <c r="G136" s="30" t="inlineStr">
        <is>
          <t>Pelipper  Lv 25-30  (5%)</t>
        </is>
      </c>
    </row>
    <row r="137">
      <c r="A137" s="7" t="n"/>
      <c r="B137" s="6" t="n"/>
      <c r="C137" s="73" t="inlineStr">
        <is>
          <t>Old Rod</t>
        </is>
      </c>
      <c r="D137" s="6" t="n">
        <v>30</v>
      </c>
      <c r="E137" s="30" t="inlineStr">
        <is>
          <t>Magikarp  Lv 5-10  (70%)</t>
        </is>
      </c>
      <c r="F137" s="30" t="inlineStr">
        <is>
          <t>Tentacool  Lv 5-10  (30%)</t>
        </is>
      </c>
    </row>
    <row r="138">
      <c r="A138" s="7" t="n"/>
      <c r="B138" s="6" t="n"/>
      <c r="C138" s="72" t="inlineStr">
        <is>
          <t>Good Rod</t>
        </is>
      </c>
      <c r="D138" s="6" t="n">
        <v>30</v>
      </c>
      <c r="E138" s="30" t="inlineStr">
        <is>
          <t>Magikarp  Lv 10-30  (60%)</t>
        </is>
      </c>
      <c r="F138" s="30" t="inlineStr">
        <is>
          <t>Tentacool  Lv 10-30  (20%)</t>
        </is>
      </c>
      <c r="G138" s="30" t="inlineStr">
        <is>
          <t>Wailmer  Lv 10-30  (20%)</t>
        </is>
      </c>
    </row>
    <row r="139">
      <c r="A139" s="7" t="n"/>
      <c r="B139" s="6" t="n"/>
      <c r="C139" s="74" t="inlineStr">
        <is>
          <t>Super Rod</t>
        </is>
      </c>
      <c r="D139" s="6" t="n">
        <v>30</v>
      </c>
      <c r="E139" s="30" t="inlineStr">
        <is>
          <t>Wailmer  Lv 25-45  (60%)</t>
        </is>
      </c>
      <c r="F139" s="30" t="inlineStr">
        <is>
          <t>Sharpedo  Lv 30-35  (40%)</t>
        </is>
      </c>
    </row>
    <row r="140">
      <c r="A140" s="7" t="inlineStr">
        <is>
          <t>Route 127</t>
        </is>
      </c>
      <c r="B140" s="6" t="inlineStr">
        <is>
          <t>Split 8</t>
        </is>
      </c>
      <c r="C140" s="72" t="inlineStr">
        <is>
          <t>Water</t>
        </is>
      </c>
      <c r="D140" s="6" t="n">
        <v>4</v>
      </c>
      <c r="E140" s="30" t="inlineStr">
        <is>
          <t>Tentacool  Lv 5-35  (60%)</t>
        </is>
      </c>
      <c r="F140" s="30" t="inlineStr">
        <is>
          <t>Wingull  Lv 10-30  (35%)</t>
        </is>
      </c>
      <c r="G140" s="30" t="inlineStr">
        <is>
          <t>Pelipper  Lv 25-30  (5%)</t>
        </is>
      </c>
    </row>
    <row r="141">
      <c r="A141" s="7" t="n"/>
      <c r="B141" s="6" t="n"/>
      <c r="C141" s="73" t="inlineStr">
        <is>
          <t>Old Rod</t>
        </is>
      </c>
      <c r="D141" s="6" t="n">
        <v>30</v>
      </c>
      <c r="E141" s="30" t="inlineStr">
        <is>
          <t>Magikarp  Lv 5-10  (70%)</t>
        </is>
      </c>
      <c r="F141" s="30" t="inlineStr">
        <is>
          <t>Tentacool  Lv 5-10  (30%)</t>
        </is>
      </c>
    </row>
    <row r="142">
      <c r="A142" s="7" t="n"/>
      <c r="B142" s="6" t="n"/>
      <c r="C142" s="72" t="inlineStr">
        <is>
          <t>Good Rod</t>
        </is>
      </c>
      <c r="D142" s="6" t="n">
        <v>30</v>
      </c>
      <c r="E142" s="30" t="inlineStr">
        <is>
          <t>Magikarp  Lv 10-30  (60%)</t>
        </is>
      </c>
      <c r="F142" s="30" t="inlineStr">
        <is>
          <t>Tentacool  Lv 10-30  (20%)</t>
        </is>
      </c>
      <c r="G142" s="30" t="inlineStr">
        <is>
          <t>Wailmer  Lv 10-30  (20%)</t>
        </is>
      </c>
    </row>
    <row r="143">
      <c r="A143" s="7" t="n"/>
      <c r="B143" s="6" t="n"/>
      <c r="C143" s="74" t="inlineStr">
        <is>
          <t>Super Rod</t>
        </is>
      </c>
      <c r="D143" s="6" t="n">
        <v>30</v>
      </c>
      <c r="E143" s="30" t="inlineStr">
        <is>
          <t>Wailmer  Lv 25-45  (60%)</t>
        </is>
      </c>
      <c r="F143" s="30" t="inlineStr">
        <is>
          <t>Sharpedo  Lv 30-35  (40%)</t>
        </is>
      </c>
    </row>
    <row r="144">
      <c r="A144" s="7" t="inlineStr">
        <is>
          <t>Route 128</t>
        </is>
      </c>
      <c r="B144" s="6" t="inlineStr">
        <is>
          <t>Split 8</t>
        </is>
      </c>
      <c r="C144" s="72" t="inlineStr">
        <is>
          <t>Water</t>
        </is>
      </c>
      <c r="D144" s="6" t="n">
        <v>4</v>
      </c>
      <c r="E144" s="30" t="inlineStr">
        <is>
          <t>Tentacool  Lv 5-35  (60%)</t>
        </is>
      </c>
      <c r="F144" s="30" t="inlineStr">
        <is>
          <t>Wingull  Lv 10-30  (35%)</t>
        </is>
      </c>
      <c r="G144" s="30" t="inlineStr">
        <is>
          <t>Pelipper  Lv 25-30  (5%)</t>
        </is>
      </c>
    </row>
    <row r="145">
      <c r="A145" s="7" t="n"/>
      <c r="B145" s="6" t="n"/>
      <c r="C145" s="73" t="inlineStr">
        <is>
          <t>Old Rod</t>
        </is>
      </c>
      <c r="D145" s="6" t="n">
        <v>30</v>
      </c>
      <c r="E145" s="30" t="inlineStr">
        <is>
          <t>Magikarp  Lv 5-10  (70%)</t>
        </is>
      </c>
      <c r="F145" s="30" t="inlineStr">
        <is>
          <t>Tentacool  Lv 5-10  (30%)</t>
        </is>
      </c>
    </row>
    <row r="146">
      <c r="A146" s="7" t="n"/>
      <c r="B146" s="6" t="n"/>
      <c r="C146" s="72" t="inlineStr">
        <is>
          <t>Good Rod</t>
        </is>
      </c>
      <c r="D146" s="6" t="n">
        <v>30</v>
      </c>
      <c r="E146" s="30" t="inlineStr">
        <is>
          <t>Magikarp  Lv 10-30  (60%)</t>
        </is>
      </c>
      <c r="F146" s="30" t="inlineStr">
        <is>
          <t>Luvdisc  Lv 10-30  (20%)</t>
        </is>
      </c>
      <c r="G146" s="30" t="inlineStr">
        <is>
          <t>Wailmer  Lv 10-30  (20%)</t>
        </is>
      </c>
    </row>
    <row r="147">
      <c r="A147" s="7" t="n"/>
      <c r="B147" s="6" t="n"/>
      <c r="C147" s="74" t="inlineStr">
        <is>
          <t>Super Rod</t>
        </is>
      </c>
      <c r="D147" s="6" t="n">
        <v>30</v>
      </c>
      <c r="E147" s="30" t="inlineStr">
        <is>
          <t>Wailmer  Lv 30-45  (45%)</t>
        </is>
      </c>
      <c r="F147" s="30" t="inlineStr">
        <is>
          <t>Luvdisc  Lv 30-35  (40%)</t>
        </is>
      </c>
      <c r="G147" s="30" t="inlineStr">
        <is>
          <t>Corsola  Lv 30-35  (15%)</t>
        </is>
      </c>
    </row>
    <row r="148">
      <c r="A148" s="7" t="inlineStr">
        <is>
          <t>Route 129</t>
        </is>
      </c>
      <c r="B148" s="6" t="inlineStr">
        <is>
          <t>Unassigned</t>
        </is>
      </c>
      <c r="C148" s="72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(4%)</t>
        </is>
      </c>
      <c r="H148" s="30" t="inlineStr">
        <is>
          <t>Wailord  Lv 25-30  (1%)</t>
        </is>
      </c>
    </row>
    <row r="149">
      <c r="A149" s="7" t="n"/>
      <c r="B149" s="6" t="n"/>
      <c r="C149" s="73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2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130</t>
        </is>
      </c>
      <c r="B152" s="6" t="inlineStr">
        <is>
          <t>Unassigned</t>
        </is>
      </c>
      <c r="C152" s="71" t="inlineStr">
        <is>
          <t>Land</t>
        </is>
      </c>
      <c r="D152" s="6" t="n">
        <v>20</v>
      </c>
      <c r="E152" s="30" t="inlineStr">
        <is>
          <t>Wynaut  Lv 5-50  (100%)</t>
        </is>
      </c>
    </row>
    <row r="153">
      <c r="A153" s="7" t="n"/>
      <c r="B153" s="6" t="n"/>
      <c r="C153" s="72" t="inlineStr">
        <is>
          <t>Water</t>
        </is>
      </c>
      <c r="D153" s="6" t="n">
        <v>4</v>
      </c>
      <c r="E153" s="30" t="inlineStr">
        <is>
          <t>Tentacool  Lv 5-35  (60%)</t>
        </is>
      </c>
      <c r="F153" s="30" t="inlineStr">
        <is>
          <t>Wingull  Lv 10-30  (35%)</t>
        </is>
      </c>
      <c r="G153" s="30" t="inlineStr">
        <is>
          <t>Pelipper  Lv 25-30  (5%)</t>
        </is>
      </c>
    </row>
    <row r="154">
      <c r="A154" s="7" t="n"/>
      <c r="B154" s="6" t="n"/>
      <c r="C154" s="73" t="inlineStr">
        <is>
          <t>Old Rod</t>
        </is>
      </c>
      <c r="D154" s="6" t="n">
        <v>30</v>
      </c>
      <c r="E154" s="30" t="inlineStr">
        <is>
          <t>Magikarp  Lv 5-10  (70%)</t>
        </is>
      </c>
      <c r="F154" s="30" t="inlineStr">
        <is>
          <t>Tentacool  Lv 5-10  (30%)</t>
        </is>
      </c>
    </row>
    <row r="155">
      <c r="A155" s="7" t="n"/>
      <c r="B155" s="6" t="n"/>
      <c r="C155" s="72" t="inlineStr">
        <is>
          <t>Good Rod</t>
        </is>
      </c>
      <c r="D155" s="6" t="n">
        <v>30</v>
      </c>
      <c r="E155" s="30" t="inlineStr">
        <is>
          <t>Magikarp  Lv 10-30  (60%)</t>
        </is>
      </c>
      <c r="F155" s="30" t="inlineStr">
        <is>
          <t>Tentacool  Lv 10-30  (20%)</t>
        </is>
      </c>
      <c r="G155" s="30" t="inlineStr">
        <is>
          <t>Wailmer  Lv 10-30  (20%)</t>
        </is>
      </c>
    </row>
    <row r="156">
      <c r="A156" s="7" t="n"/>
      <c r="B156" s="6" t="n"/>
      <c r="C156" s="74" t="inlineStr">
        <is>
          <t>Super Rod</t>
        </is>
      </c>
      <c r="D156" s="6" t="n">
        <v>30</v>
      </c>
      <c r="E156" s="30" t="inlineStr">
        <is>
          <t>Wailmer  Lv 25-45  (60%)</t>
        </is>
      </c>
      <c r="F156" s="30" t="inlineStr">
        <is>
          <t>Sharpedo  Lv 30-35  (40%)</t>
        </is>
      </c>
    </row>
    <row r="157">
      <c r="A157" s="7" t="inlineStr">
        <is>
          <t>Route 131</t>
        </is>
      </c>
      <c r="B157" s="6" t="inlineStr">
        <is>
          <t>Unassigned</t>
        </is>
      </c>
      <c r="C157" s="72" t="inlineStr">
        <is>
          <t>Water</t>
        </is>
      </c>
      <c r="D157" s="6" t="n">
        <v>4</v>
      </c>
      <c r="E157" s="30" t="inlineStr">
        <is>
          <t>Tentacool  Lv 5-35  (60%)</t>
        </is>
      </c>
      <c r="F157" s="30" t="inlineStr">
        <is>
          <t>Wingull  Lv 10-30  (35%)</t>
        </is>
      </c>
      <c r="G157" s="30" t="inlineStr">
        <is>
          <t>Pelipper  Lv 25-30  (5%)</t>
        </is>
      </c>
    </row>
    <row r="158">
      <c r="A158" s="7" t="n"/>
      <c r="B158" s="6" t="n"/>
      <c r="C158" s="73" t="inlineStr">
        <is>
          <t>Old Rod</t>
        </is>
      </c>
      <c r="D158" s="6" t="n">
        <v>30</v>
      </c>
      <c r="E158" s="30" t="inlineStr">
        <is>
          <t>Magikarp  Lv 5-10  (70%)</t>
        </is>
      </c>
      <c r="F158" s="30" t="inlineStr">
        <is>
          <t>Tentacool  Lv 5-10  (30%)</t>
        </is>
      </c>
    </row>
    <row r="159">
      <c r="A159" s="7" t="n"/>
      <c r="B159" s="6" t="n"/>
      <c r="C159" s="72" t="inlineStr">
        <is>
          <t>Good Rod</t>
        </is>
      </c>
      <c r="D159" s="6" t="n">
        <v>30</v>
      </c>
      <c r="E159" s="30" t="inlineStr">
        <is>
          <t>Magikarp  Lv 10-30  (60%)</t>
        </is>
      </c>
      <c r="F159" s="30" t="inlineStr">
        <is>
          <t>Tentacool  Lv 10-30  (20%)</t>
        </is>
      </c>
      <c r="G159" s="30" t="inlineStr">
        <is>
          <t>Wailmer  Lv 10-30  (20%)</t>
        </is>
      </c>
    </row>
    <row r="160">
      <c r="A160" s="7" t="n"/>
      <c r="B160" s="6" t="n"/>
      <c r="C160" s="74" t="inlineStr">
        <is>
          <t>Super Rod</t>
        </is>
      </c>
      <c r="D160" s="6" t="n">
        <v>30</v>
      </c>
      <c r="E160" s="30" t="inlineStr">
        <is>
          <t>Wailmer  Lv 25-45  (60%)</t>
        </is>
      </c>
      <c r="F160" s="30" t="inlineStr">
        <is>
          <t>Sharpedo  Lv 30-35  (40%)</t>
        </is>
      </c>
    </row>
    <row r="161">
      <c r="A161" s="7" t="inlineStr">
        <is>
          <t>Route 132</t>
        </is>
      </c>
      <c r="B161" s="6" t="inlineStr">
        <is>
          <t>Unassigned</t>
        </is>
      </c>
      <c r="C161" s="72" t="inlineStr">
        <is>
          <t>Water</t>
        </is>
      </c>
      <c r="D161" s="6" t="n">
        <v>4</v>
      </c>
      <c r="E161" s="30" t="inlineStr">
        <is>
          <t>Tentacool  Lv 5-35  (60%)</t>
        </is>
      </c>
      <c r="F161" s="30" t="inlineStr">
        <is>
          <t>Wingull  Lv 10-30  (35%)</t>
        </is>
      </c>
      <c r="G161" s="30" t="inlineStr">
        <is>
          <t>Pelipper  Lv 25-30  (5%)</t>
        </is>
      </c>
    </row>
    <row r="162">
      <c r="A162" s="7" t="n"/>
      <c r="B162" s="6" t="n"/>
      <c r="C162" s="73" t="inlineStr">
        <is>
          <t>Old Rod</t>
        </is>
      </c>
      <c r="D162" s="6" t="n">
        <v>30</v>
      </c>
      <c r="E162" s="30" t="inlineStr">
        <is>
          <t>Magikarp  Lv 5-10  (70%)</t>
        </is>
      </c>
      <c r="F162" s="30" t="inlineStr">
        <is>
          <t>Tentacool  Lv 5-10  (30%)</t>
        </is>
      </c>
    </row>
    <row r="163">
      <c r="A163" s="7" t="n"/>
      <c r="B163" s="6" t="n"/>
      <c r="C163" s="72" t="inlineStr">
        <is>
          <t>Good Rod</t>
        </is>
      </c>
      <c r="D163" s="6" t="n">
        <v>30</v>
      </c>
      <c r="E163" s="30" t="inlineStr">
        <is>
          <t>Magikarp  Lv 10-30  (60%)</t>
        </is>
      </c>
      <c r="F163" s="30" t="inlineStr">
        <is>
          <t>Tentacool  Lv 10-30  (20%)</t>
        </is>
      </c>
      <c r="G163" s="30" t="inlineStr">
        <is>
          <t>Wailmer  Lv 10-30  (20%)</t>
        </is>
      </c>
    </row>
    <row r="164">
      <c r="A164" s="7" t="n"/>
      <c r="B164" s="6" t="n"/>
      <c r="C164" s="74" t="inlineStr">
        <is>
          <t>Super Rod</t>
        </is>
      </c>
      <c r="D164" s="6" t="n">
        <v>30</v>
      </c>
      <c r="E164" s="30" t="inlineStr">
        <is>
          <t>Wailmer  Lv 30-45  (45%)</t>
        </is>
      </c>
      <c r="F164" s="30" t="inlineStr">
        <is>
          <t>Sharpedo  Lv 30-35  (40%)</t>
        </is>
      </c>
      <c r="G164" s="30" t="inlineStr">
        <is>
          <t>Horsea  Lv 25-30  (15%)</t>
        </is>
      </c>
    </row>
    <row r="165">
      <c r="A165" s="7" t="inlineStr">
        <is>
          <t>Route 133</t>
        </is>
      </c>
      <c r="B165" s="6" t="inlineStr">
        <is>
          <t>Unassigned</t>
        </is>
      </c>
      <c r="C165" s="72" t="inlineStr">
        <is>
          <t>Water</t>
        </is>
      </c>
      <c r="D165" s="6" t="n">
        <v>4</v>
      </c>
      <c r="E165" s="30" t="inlineStr">
        <is>
          <t>Tentacool  Lv 5-35  (60%)</t>
        </is>
      </c>
      <c r="F165" s="30" t="inlineStr">
        <is>
          <t>Wingull  Lv 10-30  (35%)</t>
        </is>
      </c>
      <c r="G165" s="30" t="inlineStr">
        <is>
          <t>Pelipper  Lv 25-30  (5%)</t>
        </is>
      </c>
    </row>
    <row r="166">
      <c r="A166" s="7" t="n"/>
      <c r="B166" s="6" t="n"/>
      <c r="C166" s="73" t="inlineStr">
        <is>
          <t>Old Rod</t>
        </is>
      </c>
      <c r="D166" s="6" t="n">
        <v>30</v>
      </c>
      <c r="E166" s="30" t="inlineStr">
        <is>
          <t>Magikarp  Lv 5-10  (70%)</t>
        </is>
      </c>
      <c r="F166" s="30" t="inlineStr">
        <is>
          <t>Tentacool  Lv 5-10  (30%)</t>
        </is>
      </c>
    </row>
    <row r="167">
      <c r="A167" s="7" t="n"/>
      <c r="B167" s="6" t="n"/>
      <c r="C167" s="72" t="inlineStr">
        <is>
          <t>Good Rod</t>
        </is>
      </c>
      <c r="D167" s="6" t="n">
        <v>30</v>
      </c>
      <c r="E167" s="30" t="inlineStr">
        <is>
          <t>Magikarp  Lv 10-30  (60%)</t>
        </is>
      </c>
      <c r="F167" s="30" t="inlineStr">
        <is>
          <t>Tentacool  Lv 10-30  (20%)</t>
        </is>
      </c>
      <c r="G167" s="30" t="inlineStr">
        <is>
          <t>Wailmer  Lv 10-30  (20%)</t>
        </is>
      </c>
    </row>
    <row r="168">
      <c r="A168" s="7" t="n"/>
      <c r="B168" s="6" t="n"/>
      <c r="C168" s="74" t="inlineStr">
        <is>
          <t>Super Rod</t>
        </is>
      </c>
      <c r="D168" s="6" t="n">
        <v>30</v>
      </c>
      <c r="E168" s="30" t="inlineStr">
        <is>
          <t>Wailmer  Lv 30-45  (45%)</t>
        </is>
      </c>
      <c r="F168" s="30" t="inlineStr">
        <is>
          <t>Sharpedo  Lv 30-35  (40%)</t>
        </is>
      </c>
      <c r="G168" s="30" t="inlineStr">
        <is>
          <t>Horsea  Lv 25-30  (15%)</t>
        </is>
      </c>
    </row>
    <row r="169">
      <c r="A169" s="7" t="inlineStr">
        <is>
          <t>Route 134</t>
        </is>
      </c>
      <c r="B169" s="6" t="inlineStr">
        <is>
          <t>Unassigned</t>
        </is>
      </c>
      <c r="C169" s="72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3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2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30-45  (45%)</t>
        </is>
      </c>
      <c r="F172" s="30" t="inlineStr">
        <is>
          <t>Sharpedo  Lv 30-35  (40%)</t>
        </is>
      </c>
      <c r="G172" s="30" t="inlineStr">
        <is>
          <t>Horsea  Lv 25-30  (15%)</t>
        </is>
      </c>
    </row>
    <row r="173">
      <c r="A173" s="7" t="inlineStr">
        <is>
          <t>Abandoned Ship Hidden Floor Corridors</t>
        </is>
      </c>
      <c r="B173" s="6" t="inlineStr">
        <is>
          <t>Split 4</t>
        </is>
      </c>
      <c r="C173" s="72" t="inlineStr">
        <is>
          <t>Water</t>
        </is>
      </c>
      <c r="D173" s="6" t="n">
        <v>4</v>
      </c>
      <c r="E173" s="30" t="inlineStr">
        <is>
          <t>Tentacool  Lv 5-35  (99%)</t>
        </is>
      </c>
      <c r="F173" s="30" t="inlineStr">
        <is>
          <t>Tentacruel  Lv 30-35  (1%)</t>
        </is>
      </c>
    </row>
    <row r="174">
      <c r="A174" s="7" t="n"/>
      <c r="B174" s="6" t="n"/>
      <c r="C174" s="73" t="inlineStr">
        <is>
          <t>Old Rod</t>
        </is>
      </c>
      <c r="D174" s="6" t="n">
        <v>20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2" t="inlineStr">
        <is>
          <t>Good Rod</t>
        </is>
      </c>
      <c r="D175" s="6" t="n">
        <v>20</v>
      </c>
      <c r="E175" s="30" t="inlineStr">
        <is>
          <t>Magikarp  Lv 10-30  (60%)</t>
        </is>
      </c>
      <c r="F175" s="30" t="inlineStr">
        <is>
          <t>Tentacool  Lv 10-30  (40%)</t>
        </is>
      </c>
    </row>
    <row r="176">
      <c r="A176" s="7" t="n"/>
      <c r="B176" s="6" t="n"/>
      <c r="C176" s="74" t="inlineStr">
        <is>
          <t>Super Rod</t>
        </is>
      </c>
      <c r="D176" s="6" t="n">
        <v>20</v>
      </c>
      <c r="E176" s="30" t="inlineStr">
        <is>
          <t>Tentacool  Lv 25-35  (80%)</t>
        </is>
      </c>
      <c r="F176" s="30" t="inlineStr">
        <is>
          <t>Tentacruel  Lv 20-35  (20%)</t>
        </is>
      </c>
    </row>
    <row r="177">
      <c r="A177" s="7" t="inlineStr">
        <is>
          <t>Seafloor Cavern Room 1</t>
        </is>
      </c>
      <c r="B177" s="6" t="inlineStr">
        <is>
          <t>Split 8</t>
        </is>
      </c>
      <c r="C177" s="71" t="inlineStr">
        <is>
          <t>Land</t>
        </is>
      </c>
      <c r="D177" s="6" t="n">
        <v>4</v>
      </c>
      <c r="E177" s="30" t="inlineStr">
        <is>
          <t>Zubat  Lv 28-35  (90%)</t>
        </is>
      </c>
      <c r="F177" s="30" t="inlineStr">
        <is>
          <t>Golbat  Lv 33-36  (10%)</t>
        </is>
      </c>
    </row>
    <row r="178">
      <c r="A178" s="7" t="inlineStr">
        <is>
          <t>Seafloor Cavern Room 2</t>
        </is>
      </c>
      <c r="B178" s="6" t="inlineStr">
        <is>
          <t>Split 8</t>
        </is>
      </c>
      <c r="C178" s="71" t="inlineStr">
        <is>
          <t>Land</t>
        </is>
      </c>
      <c r="D178" s="6" t="n">
        <v>4</v>
      </c>
      <c r="E178" s="30" t="inlineStr">
        <is>
          <t>Zubat  Lv 28-35  (90%)</t>
        </is>
      </c>
      <c r="F178" s="30" t="inlineStr">
        <is>
          <t>Golbat  Lv 33-36  (10%)</t>
        </is>
      </c>
    </row>
    <row r="179">
      <c r="A179" s="7" t="inlineStr">
        <is>
          <t>Seafloor Cavern Room 3</t>
        </is>
      </c>
      <c r="B179" s="6" t="inlineStr">
        <is>
          <t>Split 8</t>
        </is>
      </c>
      <c r="C179" s="71" t="inlineStr">
        <is>
          <t>Land</t>
        </is>
      </c>
      <c r="D179" s="6" t="n">
        <v>4</v>
      </c>
      <c r="E179" s="30" t="inlineStr">
        <is>
          <t>Zubat  Lv 28-35  (90%)</t>
        </is>
      </c>
      <c r="F179" s="30" t="inlineStr">
        <is>
          <t>Golbat  Lv 33-36  (10%)</t>
        </is>
      </c>
    </row>
    <row r="180">
      <c r="A180" s="7" t="inlineStr">
        <is>
          <t>Seafloor Cavern Room 4</t>
        </is>
      </c>
      <c r="B180" s="6" t="inlineStr">
        <is>
          <t>Split 8</t>
        </is>
      </c>
      <c r="C180" s="71" t="inlineStr">
        <is>
          <t>Land</t>
        </is>
      </c>
      <c r="D180" s="6" t="n">
        <v>4</v>
      </c>
      <c r="E180" s="30" t="inlineStr">
        <is>
          <t>Zubat  Lv 28-35  (90%)</t>
        </is>
      </c>
      <c r="F180" s="30" t="inlineStr">
        <is>
          <t>Golbat  Lv 33-36  (10%)</t>
        </is>
      </c>
    </row>
    <row r="181">
      <c r="A181" s="7" t="inlineStr">
        <is>
          <t>Seafloor Cavern Room 5</t>
        </is>
      </c>
      <c r="B181" s="6" t="inlineStr">
        <is>
          <t>Split 8</t>
        </is>
      </c>
      <c r="C181" s="71" t="inlineStr">
        <is>
          <t>Land</t>
        </is>
      </c>
      <c r="D181" s="6" t="n">
        <v>4</v>
      </c>
      <c r="E181" s="30" t="inlineStr">
        <is>
          <t>Zubat  Lv 28-35  (90%)</t>
        </is>
      </c>
      <c r="F181" s="30" t="inlineStr">
        <is>
          <t>Golbat  Lv 33-36  (10%)</t>
        </is>
      </c>
    </row>
    <row r="182">
      <c r="A182" s="7" t="inlineStr">
        <is>
          <t>Seafloor Cavern Room 6</t>
        </is>
      </c>
      <c r="B182" s="6" t="inlineStr">
        <is>
          <t>Split 8</t>
        </is>
      </c>
      <c r="C182" s="71" t="inlineStr">
        <is>
          <t>Land</t>
        </is>
      </c>
      <c r="D182" s="6" t="n">
        <v>4</v>
      </c>
      <c r="E182" s="30" t="inlineStr">
        <is>
          <t>Zubat  Lv 28-35  (90%)</t>
        </is>
      </c>
      <c r="F182" s="30" t="inlineStr">
        <is>
          <t>Golbat  Lv 33-36  (10%)</t>
        </is>
      </c>
    </row>
    <row r="183">
      <c r="A183" s="7" t="n"/>
      <c r="B183" s="6" t="n"/>
      <c r="C183" s="72" t="inlineStr">
        <is>
          <t>Water</t>
        </is>
      </c>
      <c r="D183" s="6" t="n">
        <v>4</v>
      </c>
      <c r="E183" s="30" t="inlineStr">
        <is>
          <t>Tentacool  Lv 5-35  (60%)</t>
        </is>
      </c>
      <c r="F183" s="30" t="inlineStr">
        <is>
          <t>Zubat  Lv 5-35  (35%)</t>
        </is>
      </c>
      <c r="G183" s="30" t="inlineStr">
        <is>
          <t>Golbat  Lv 30-35  (5%)</t>
        </is>
      </c>
    </row>
    <row r="184">
      <c r="A184" s="7" t="n"/>
      <c r="B184" s="6" t="n"/>
      <c r="C184" s="73" t="inlineStr">
        <is>
          <t>Old Rod</t>
        </is>
      </c>
      <c r="D184" s="6" t="n">
        <v>10</v>
      </c>
      <c r="E184" s="30" t="inlineStr">
        <is>
          <t>Magikarp  Lv 5-10  (70%)</t>
        </is>
      </c>
      <c r="F184" s="30" t="inlineStr">
        <is>
          <t>Tentacool  Lv 5-10  (30%)</t>
        </is>
      </c>
    </row>
    <row r="185">
      <c r="A185" s="7" t="n"/>
      <c r="B185" s="6" t="n"/>
      <c r="C185" s="72" t="inlineStr">
        <is>
          <t>Good Rod</t>
        </is>
      </c>
      <c r="D185" s="6" t="n">
        <v>10</v>
      </c>
      <c r="E185" s="30" t="inlineStr">
        <is>
          <t>Magikarp  Lv 10-30  (60%)</t>
        </is>
      </c>
      <c r="F185" s="30" t="inlineStr">
        <is>
          <t>Tentacool  Lv 10-30  (20%)</t>
        </is>
      </c>
      <c r="G185" s="30" t="inlineStr">
        <is>
          <t>Wailmer  Lv 10-30  (20%)</t>
        </is>
      </c>
    </row>
    <row r="186">
      <c r="A186" s="7" t="n"/>
      <c r="B186" s="6" t="n"/>
      <c r="C186" s="74" t="inlineStr">
        <is>
          <t>Super Rod</t>
        </is>
      </c>
      <c r="D186" s="6" t="n">
        <v>10</v>
      </c>
      <c r="E186" s="30" t="inlineStr">
        <is>
          <t>Wailmer  Lv 20-45  (100%)</t>
        </is>
      </c>
    </row>
    <row r="187">
      <c r="A187" s="7" t="inlineStr">
        <is>
          <t>Seafloor Cavern Room 7</t>
        </is>
      </c>
      <c r="B187" s="6" t="inlineStr">
        <is>
          <t>Split 8</t>
        </is>
      </c>
      <c r="C187" s="71" t="inlineStr">
        <is>
          <t>Land</t>
        </is>
      </c>
      <c r="D187" s="6" t="n">
        <v>4</v>
      </c>
      <c r="E187" s="30" t="inlineStr">
        <is>
          <t>Zubat  Lv 28-35  (90%)</t>
        </is>
      </c>
      <c r="F187" s="30" t="inlineStr">
        <is>
          <t>Golbat  Lv 33-36  (10%)</t>
        </is>
      </c>
    </row>
    <row r="188">
      <c r="A188" s="7" t="n"/>
      <c r="B188" s="6" t="n"/>
      <c r="C188" s="72" t="inlineStr">
        <is>
          <t>Water</t>
        </is>
      </c>
      <c r="D188" s="6" t="n">
        <v>4</v>
      </c>
      <c r="E188" s="30" t="inlineStr">
        <is>
          <t>Tentacool  Lv 5-35  (60%)</t>
        </is>
      </c>
      <c r="F188" s="30" t="inlineStr">
        <is>
          <t>Zubat  Lv 5-35  (35%)</t>
        </is>
      </c>
      <c r="G188" s="30" t="inlineStr">
        <is>
          <t>Golbat  Lv 30-35  (5%)</t>
        </is>
      </c>
    </row>
    <row r="189">
      <c r="A189" s="7" t="n"/>
      <c r="B189" s="6" t="n"/>
      <c r="C189" s="73" t="inlineStr">
        <is>
          <t>Old Rod</t>
        </is>
      </c>
      <c r="D189" s="6" t="n">
        <v>10</v>
      </c>
      <c r="E189" s="30" t="inlineStr">
        <is>
          <t>Magikarp  Lv 5-10  (70%)</t>
        </is>
      </c>
      <c r="F189" s="30" t="inlineStr">
        <is>
          <t>Tentacool  Lv 5-10  (30%)</t>
        </is>
      </c>
    </row>
    <row r="190">
      <c r="A190" s="7" t="n"/>
      <c r="B190" s="6" t="n"/>
      <c r="C190" s="72" t="inlineStr">
        <is>
          <t>Good Rod</t>
        </is>
      </c>
      <c r="D190" s="6" t="n">
        <v>10</v>
      </c>
      <c r="E190" s="30" t="inlineStr">
        <is>
          <t>Magikarp  Lv 10-30  (60%)</t>
        </is>
      </c>
      <c r="F190" s="30" t="inlineStr">
        <is>
          <t>Tentacool  Lv 10-30  (20%)</t>
        </is>
      </c>
      <c r="G190" s="30" t="inlineStr">
        <is>
          <t>Wailmer  Lv 10-30  (20%)</t>
        </is>
      </c>
    </row>
    <row r="191">
      <c r="A191" s="7" t="n"/>
      <c r="B191" s="6" t="n"/>
      <c r="C191" s="74" t="inlineStr">
        <is>
          <t>Super Rod</t>
        </is>
      </c>
      <c r="D191" s="6" t="n">
        <v>10</v>
      </c>
      <c r="E191" s="30" t="inlineStr">
        <is>
          <t>Wailmer  Lv 20-45  (100%)</t>
        </is>
      </c>
    </row>
    <row r="192">
      <c r="A192" s="7" t="inlineStr">
        <is>
          <t>Seafloor Cavern Room 8</t>
        </is>
      </c>
      <c r="B192" s="6" t="inlineStr">
        <is>
          <t>Split 8</t>
        </is>
      </c>
      <c r="C192" s="71" t="inlineStr">
        <is>
          <t>Land</t>
        </is>
      </c>
      <c r="D192" s="6" t="n">
        <v>4</v>
      </c>
      <c r="E192" s="30" t="inlineStr">
        <is>
          <t>Zubat  Lv 28-35  (90%)</t>
        </is>
      </c>
      <c r="F192" s="30" t="inlineStr">
        <is>
          <t>Golbat  Lv 33-36  (10%)</t>
        </is>
      </c>
    </row>
    <row r="193">
      <c r="A193" s="7" t="inlineStr">
        <is>
          <t>Seafloor Cavern Entrance</t>
        </is>
      </c>
      <c r="B193" s="6" t="inlineStr">
        <is>
          <t>Split 8</t>
        </is>
      </c>
      <c r="C193" s="72" t="inlineStr">
        <is>
          <t>Water</t>
        </is>
      </c>
      <c r="D193" s="6" t="n">
        <v>4</v>
      </c>
      <c r="E193" s="30" t="inlineStr">
        <is>
          <t>Tentacool  Lv 5-35  (60%)</t>
        </is>
      </c>
      <c r="F193" s="30" t="inlineStr">
        <is>
          <t>Zubat  Lv 5-35  (35%)</t>
        </is>
      </c>
      <c r="G193" s="30" t="inlineStr">
        <is>
          <t>Golbat  Lv 30-35  (5%)</t>
        </is>
      </c>
    </row>
    <row r="194">
      <c r="A194" s="7" t="n"/>
      <c r="B194" s="6" t="n"/>
      <c r="C194" s="73" t="inlineStr">
        <is>
          <t>Old Rod</t>
        </is>
      </c>
      <c r="D194" s="6" t="n">
        <v>10</v>
      </c>
      <c r="E194" s="30" t="inlineStr">
        <is>
          <t>Magikarp  Lv 5-10  (70%)</t>
        </is>
      </c>
      <c r="F194" s="30" t="inlineStr">
        <is>
          <t>Tentacool  Lv 5-10  (30%)</t>
        </is>
      </c>
    </row>
    <row r="195">
      <c r="A195" s="7" t="n"/>
      <c r="B195" s="6" t="n"/>
      <c r="C195" s="72" t="inlineStr">
        <is>
          <t>Good Rod</t>
        </is>
      </c>
      <c r="D195" s="6" t="n">
        <v>10</v>
      </c>
      <c r="E195" s="30" t="inlineStr">
        <is>
          <t>Magikarp  Lv 10-30  (60%)</t>
        </is>
      </c>
      <c r="F195" s="30" t="inlineStr">
        <is>
          <t>Tentacool  Lv 10-30  (20%)</t>
        </is>
      </c>
      <c r="G195" s="30" t="inlineStr">
        <is>
          <t>Wailmer  Lv 10-30  (20%)</t>
        </is>
      </c>
    </row>
    <row r="196">
      <c r="A196" s="7" t="n"/>
      <c r="B196" s="6" t="n"/>
      <c r="C196" s="74" t="inlineStr">
        <is>
          <t>Super Rod</t>
        </is>
      </c>
      <c r="D196" s="6" t="n">
        <v>10</v>
      </c>
      <c r="E196" s="30" t="inlineStr">
        <is>
          <t>Wailmer  Lv 20-45  (100%)</t>
        </is>
      </c>
    </row>
    <row r="197">
      <c r="A197" s="7" t="inlineStr">
        <is>
          <t>Cave Of Origin Entrance</t>
        </is>
      </c>
      <c r="B197" s="6" t="inlineStr">
        <is>
          <t>Unassigned</t>
        </is>
      </c>
      <c r="C197" s="71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Cave Of Origin 1F</t>
        </is>
      </c>
      <c r="B198" s="6" t="inlineStr">
        <is>
          <t>Unassigned</t>
        </is>
      </c>
      <c r="C198" s="71" t="inlineStr">
        <is>
          <t>Land</t>
        </is>
      </c>
      <c r="D198" s="6" t="n">
        <v>4</v>
      </c>
      <c r="E198" s="30" t="inlineStr">
        <is>
          <t>Zubat  Lv 30-34  (60%)</t>
        </is>
      </c>
      <c r="F198" s="30" t="inlineStr">
        <is>
          <t>Sableye  Lv 30-34  (30%)</t>
        </is>
      </c>
      <c r="G198" s="30" t="inlineStr">
        <is>
          <t>Golbat  Lv 33-36  (10%)</t>
        </is>
      </c>
    </row>
    <row r="199">
      <c r="A199" s="7" t="inlineStr">
        <is>
          <t>Cave Of Origin Unused Ruby Sapphire Map 1</t>
        </is>
      </c>
      <c r="B199" s="6" t="inlineStr">
        <is>
          <t>Unassigned</t>
        </is>
      </c>
      <c r="C199" s="71" t="inlineStr">
        <is>
          <t>Land</t>
        </is>
      </c>
      <c r="D199" s="6" t="n">
        <v>4</v>
      </c>
      <c r="E199" s="30" t="inlineStr">
        <is>
          <t>Zubat  Lv 30-34  (60%)</t>
        </is>
      </c>
      <c r="F199" s="30" t="inlineStr">
        <is>
          <t>Sableye  Lv 30-34  (30%)</t>
        </is>
      </c>
      <c r="G199" s="30" t="inlineStr">
        <is>
          <t>Golbat  Lv 33-36  (10%)</t>
        </is>
      </c>
    </row>
    <row r="200">
      <c r="A200" s="7" t="inlineStr">
        <is>
          <t>Cave Of Origin Unused Ruby Sapphire Map 2</t>
        </is>
      </c>
      <c r="B200" s="6" t="inlineStr">
        <is>
          <t>Unassigned</t>
        </is>
      </c>
      <c r="C200" s="71" t="inlineStr">
        <is>
          <t>Land</t>
        </is>
      </c>
      <c r="D200" s="6" t="n">
        <v>4</v>
      </c>
      <c r="E200" s="30" t="inlineStr">
        <is>
          <t>Zubat  Lv 30-34  (60%)</t>
        </is>
      </c>
      <c r="F200" s="30" t="inlineStr">
        <is>
          <t>Sableye  Lv 30-34  (30%)</t>
        </is>
      </c>
      <c r="G200" s="30" t="inlineStr">
        <is>
          <t>Golbat  Lv 33-36  (10%)</t>
        </is>
      </c>
    </row>
    <row r="201">
      <c r="A201" s="7" t="inlineStr">
        <is>
          <t>Cave Of Origin Unused Ruby Sapphire Map 3</t>
        </is>
      </c>
      <c r="B201" s="6" t="inlineStr">
        <is>
          <t>Unassigned</t>
        </is>
      </c>
      <c r="C201" s="71" t="inlineStr">
        <is>
          <t>Land</t>
        </is>
      </c>
      <c r="D201" s="6" t="n">
        <v>4</v>
      </c>
      <c r="E201" s="30" t="inlineStr">
        <is>
          <t>Zubat  Lv 30-34  (60%)</t>
        </is>
      </c>
      <c r="F201" s="30" t="inlineStr">
        <is>
          <t>Sableye  Lv 30-34  (30%)</t>
        </is>
      </c>
      <c r="G201" s="30" t="inlineStr">
        <is>
          <t>Golbat  Lv 33-36  (10%)</t>
        </is>
      </c>
    </row>
    <row r="202">
      <c r="A202" s="7" t="inlineStr">
        <is>
          <t>New Mauville Entrance</t>
        </is>
      </c>
      <c r="B202" s="6" t="inlineStr">
        <is>
          <t>Split 4</t>
        </is>
      </c>
      <c r="C202" s="71" t="inlineStr">
        <is>
          <t>Land</t>
        </is>
      </c>
      <c r="D202" s="6" t="n">
        <v>10</v>
      </c>
      <c r="E202" s="30" t="inlineStr">
        <is>
          <t>Voltorb  Lv 22-26  (50%)</t>
        </is>
      </c>
      <c r="F202" s="30" t="inlineStr">
        <is>
          <t>Magnemite  Lv 22-26  (50%)</t>
        </is>
      </c>
    </row>
    <row r="203">
      <c r="A203" s="7" t="inlineStr">
        <is>
          <t>Safari Zone Southwest</t>
        </is>
      </c>
      <c r="B203" s="6" t="inlineStr">
        <is>
          <t>Postgame</t>
        </is>
      </c>
      <c r="C203" s="71" t="inlineStr">
        <is>
          <t>Land</t>
        </is>
      </c>
      <c r="D203" s="6" t="n">
        <v>25</v>
      </c>
      <c r="E203" s="30" t="inlineStr">
        <is>
          <t>Oddish  Lv 25-27  (40%)</t>
        </is>
      </c>
      <c r="F203" s="30" t="inlineStr">
        <is>
          <t>Girafarig  Lv 25-27  (20%)</t>
        </is>
      </c>
      <c r="G203" s="30" t="inlineStr">
        <is>
          <t>Natu  Lv 25  (10%)</t>
        </is>
      </c>
      <c r="H203" s="30" t="inlineStr">
        <is>
          <t>Doduo  Lv 27  (10%)</t>
        </is>
      </c>
      <c r="I203" s="30" t="inlineStr">
        <is>
          <t>Wobbuffet  Lv 27-29  (10%)</t>
        </is>
      </c>
      <c r="J203" s="30" t="inlineStr">
        <is>
          <t>Gloom  Lv 25  (5%)</t>
        </is>
      </c>
      <c r="K203" s="30" t="inlineStr">
        <is>
          <t>Pikachu  Lv 25-27  (5%)</t>
        </is>
      </c>
    </row>
    <row r="204">
      <c r="A204" s="7" t="n"/>
      <c r="B204" s="6" t="n"/>
      <c r="C204" s="72" t="inlineStr">
        <is>
          <t>Water</t>
        </is>
      </c>
      <c r="D204" s="6" t="n">
        <v>9</v>
      </c>
      <c r="E204" s="30" t="inlineStr">
        <is>
          <t>Psyduck  Lv 20-35  (100%)</t>
        </is>
      </c>
    </row>
    <row r="205">
      <c r="A205" s="7" t="n"/>
      <c r="B205" s="6" t="n"/>
      <c r="C205" s="73" t="inlineStr">
        <is>
          <t>Old Rod</t>
        </is>
      </c>
      <c r="D205" s="6" t="n">
        <v>35</v>
      </c>
      <c r="E205" s="30" t="inlineStr">
        <is>
          <t>Magikarp  Lv 5-10  (70%)</t>
        </is>
      </c>
      <c r="F205" s="30" t="inlineStr">
        <is>
          <t>Goldeen  Lv 5-10  (30%)</t>
        </is>
      </c>
    </row>
    <row r="206">
      <c r="A206" s="7" t="n"/>
      <c r="B206" s="6" t="n"/>
      <c r="C206" s="72" t="inlineStr">
        <is>
          <t>Good Rod</t>
        </is>
      </c>
      <c r="D206" s="6" t="n">
        <v>35</v>
      </c>
      <c r="E206" s="30" t="inlineStr">
        <is>
          <t>Magikarp  Lv 10-30  (60%)</t>
        </is>
      </c>
      <c r="F206" s="30" t="inlineStr">
        <is>
          <t>Goldeen  Lv 10-30  (40%)</t>
        </is>
      </c>
    </row>
    <row r="207">
      <c r="A207" s="7" t="n"/>
      <c r="B207" s="6" t="n"/>
      <c r="C207" s="74" t="inlineStr">
        <is>
          <t>Super Rod</t>
        </is>
      </c>
      <c r="D207" s="6" t="n">
        <v>35</v>
      </c>
      <c r="E207" s="30" t="inlineStr">
        <is>
          <t>Goldeen  Lv 25-35  (80%)</t>
        </is>
      </c>
      <c r="F207" s="30" t="inlineStr">
        <is>
          <t>Seaking  Lv 25-40  (20%)</t>
        </is>
      </c>
    </row>
    <row r="208">
      <c r="A208" s="7" t="inlineStr">
        <is>
          <t>Safari Zone North</t>
        </is>
      </c>
      <c r="B208" s="6" t="inlineStr">
        <is>
          <t>Postgame</t>
        </is>
      </c>
      <c r="C208" s="71" t="inlineStr">
        <is>
          <t>Land</t>
        </is>
      </c>
      <c r="D208" s="6" t="n">
        <v>25</v>
      </c>
      <c r="E208" s="30" t="inlineStr">
        <is>
          <t>Phanpy  Lv 27-29  (30%)</t>
        </is>
      </c>
      <c r="F208" s="30" t="inlineStr">
        <is>
          <t>Oddish  Lv 27-29  (30%)</t>
        </is>
      </c>
      <c r="G208" s="30" t="inlineStr">
        <is>
          <t>Natu  Lv 27-29  (15%)</t>
        </is>
      </c>
      <c r="H208" s="30" t="inlineStr">
        <is>
          <t>Gloom  Lv 29-31  (15%)</t>
        </is>
      </c>
      <c r="I208" s="30" t="inlineStr">
        <is>
          <t>Xatu  Lv 29-31  (5%)</t>
        </is>
      </c>
      <c r="J208" s="30" t="inlineStr">
        <is>
          <t>Heracross  Lv 27-29  (5%)</t>
        </is>
      </c>
    </row>
    <row r="209">
      <c r="A209" s="7" t="n"/>
      <c r="B209" s="6" t="n"/>
      <c r="C209" s="75" t="inlineStr">
        <is>
          <t>Rock Smash</t>
        </is>
      </c>
      <c r="D209" s="6" t="n">
        <v>25</v>
      </c>
      <c r="E209" s="30" t="inlineStr">
        <is>
          <t>Geodude  Lv 5-30  (100%)</t>
        </is>
      </c>
    </row>
    <row r="210">
      <c r="A210" s="7" t="inlineStr">
        <is>
          <t>Safari Zone Northwest</t>
        </is>
      </c>
      <c r="B210" s="6" t="inlineStr">
        <is>
          <t>Postgame</t>
        </is>
      </c>
      <c r="C210" s="71" t="inlineStr">
        <is>
          <t>Land</t>
        </is>
      </c>
      <c r="D210" s="6" t="n">
        <v>25</v>
      </c>
      <c r="E210" s="30" t="inlineStr">
        <is>
          <t>Rhyhorn  Lv 27-29  (30%)</t>
        </is>
      </c>
      <c r="F210" s="30" t="inlineStr">
        <is>
          <t>Oddish  Lv 27-29  (30%)</t>
        </is>
      </c>
      <c r="G210" s="30" t="inlineStr">
        <is>
          <t>Doduo  Lv 27-29  (15%)</t>
        </is>
      </c>
      <c r="H210" s="30" t="inlineStr">
        <is>
          <t>Gloom  Lv 29-31  (15%)</t>
        </is>
      </c>
      <c r="I210" s="30" t="inlineStr">
        <is>
          <t>Dodrio  Lv 29-31  (5%)</t>
        </is>
      </c>
      <c r="J210" s="30" t="inlineStr">
        <is>
          <t>Pinsir  Lv 27-29  (5%)</t>
        </is>
      </c>
    </row>
    <row r="211">
      <c r="A211" s="7" t="n"/>
      <c r="B211" s="6" t="n"/>
      <c r="C211" s="72" t="inlineStr">
        <is>
          <t>Water</t>
        </is>
      </c>
      <c r="D211" s="6" t="n">
        <v>9</v>
      </c>
      <c r="E211" s="30" t="inlineStr">
        <is>
          <t>Psyduck  Lv 20-35  (95%)</t>
        </is>
      </c>
      <c r="F211" s="30" t="inlineStr">
        <is>
          <t>Golduck  Lv 25-40  (5%)</t>
        </is>
      </c>
    </row>
    <row r="212">
      <c r="A212" s="7" t="n"/>
      <c r="B212" s="6" t="n"/>
      <c r="C212" s="73" t="inlineStr">
        <is>
          <t>Old Rod</t>
        </is>
      </c>
      <c r="D212" s="6" t="n">
        <v>35</v>
      </c>
      <c r="E212" s="30" t="inlineStr">
        <is>
          <t>Magikarp  Lv 5-10  (70%)</t>
        </is>
      </c>
      <c r="F212" s="30" t="inlineStr">
        <is>
          <t>Goldeen  Lv 5-10  (30%)</t>
        </is>
      </c>
    </row>
    <row r="213">
      <c r="A213" s="7" t="n"/>
      <c r="B213" s="6" t="n"/>
      <c r="C213" s="72" t="inlineStr">
        <is>
          <t>Good Rod</t>
        </is>
      </c>
      <c r="D213" s="6" t="n">
        <v>35</v>
      </c>
      <c r="E213" s="30" t="inlineStr">
        <is>
          <t>Magikarp  Lv 10-30  (60%)</t>
        </is>
      </c>
      <c r="F213" s="30" t="inlineStr">
        <is>
          <t>Goldeen  Lv 10-30  (40%)</t>
        </is>
      </c>
    </row>
    <row r="214">
      <c r="A214" s="7" t="n"/>
      <c r="B214" s="6" t="n"/>
      <c r="C214" s="74" t="inlineStr">
        <is>
          <t>Super Rod</t>
        </is>
      </c>
      <c r="D214" s="6" t="n">
        <v>35</v>
      </c>
      <c r="E214" s="30" t="inlineStr">
        <is>
          <t>Goldeen  Lv 25-35  (80%)</t>
        </is>
      </c>
      <c r="F214" s="30" t="inlineStr">
        <is>
          <t>Seaking  Lv 25-40  (20%)</t>
        </is>
      </c>
    </row>
    <row r="215">
      <c r="A215" s="7" t="inlineStr">
        <is>
          <t>Victory Road B1F</t>
        </is>
      </c>
      <c r="B215" s="6" t="inlineStr">
        <is>
          <t>Elite Four &amp; Champion</t>
        </is>
      </c>
      <c r="C215" s="71" t="inlineStr">
        <is>
          <t>Land</t>
        </is>
      </c>
      <c r="D215" s="6" t="n">
        <v>10</v>
      </c>
      <c r="E215" s="30" t="inlineStr">
        <is>
          <t>Golbat  Lv 38-42  (35%)</t>
        </is>
      </c>
      <c r="F215" s="30" t="inlineStr">
        <is>
          <t>Hariyama  Lv 38-42  (35%)</t>
        </is>
      </c>
      <c r="G215" s="30" t="inlineStr">
        <is>
          <t>Lairon  Lv 40-42  (25%)</t>
        </is>
      </c>
      <c r="H215" s="30" t="inlineStr">
        <is>
          <t>Mawile  Lv 38  (5%)</t>
        </is>
      </c>
    </row>
    <row r="216">
      <c r="A216" s="7" t="n"/>
      <c r="B216" s="6" t="n"/>
      <c r="C216" s="75" t="inlineStr">
        <is>
          <t>Rock Smash</t>
        </is>
      </c>
      <c r="D216" s="6" t="n">
        <v>20</v>
      </c>
      <c r="E216" s="30" t="inlineStr">
        <is>
          <t>Graveler  Lv 30-40  (70%)</t>
        </is>
      </c>
      <c r="F216" s="30" t="inlineStr">
        <is>
          <t>Geodude  Lv 30-40  (30%)</t>
        </is>
      </c>
    </row>
    <row r="217">
      <c r="A217" s="7" t="inlineStr">
        <is>
          <t>Victory Road B2F</t>
        </is>
      </c>
      <c r="B217" s="6" t="inlineStr">
        <is>
          <t>Elite Four &amp; Champion</t>
        </is>
      </c>
      <c r="C217" s="71" t="inlineStr">
        <is>
          <t>Land</t>
        </is>
      </c>
      <c r="D217" s="6" t="n">
        <v>10</v>
      </c>
      <c r="E217" s="30" t="inlineStr">
        <is>
          <t>Golbat  Lv 40-44  (35%)</t>
        </is>
      </c>
      <c r="F217" s="30" t="inlineStr">
        <is>
          <t>Sableye  Lv 40-44  (35%)</t>
        </is>
      </c>
      <c r="G217" s="30" t="inlineStr">
        <is>
          <t>Lairon  Lv 40-44  (25%)</t>
        </is>
      </c>
      <c r="H217" s="30" t="inlineStr">
        <is>
          <t>Mawile  Lv 42-44  (5%)</t>
        </is>
      </c>
    </row>
    <row r="218">
      <c r="A218" s="7" t="n"/>
      <c r="B218" s="6" t="n"/>
      <c r="C218" s="72" t="inlineStr">
        <is>
          <t>Water</t>
        </is>
      </c>
      <c r="D218" s="6" t="n">
        <v>4</v>
      </c>
      <c r="E218" s="30" t="inlineStr">
        <is>
          <t>Golbat  Lv 25-40  (100%)</t>
        </is>
      </c>
    </row>
    <row r="219">
      <c r="A219" s="7" t="n"/>
      <c r="B219" s="6" t="n"/>
      <c r="C219" s="73" t="inlineStr">
        <is>
          <t>Old Rod</t>
        </is>
      </c>
      <c r="D219" s="6" t="n">
        <v>30</v>
      </c>
      <c r="E219" s="30" t="inlineStr">
        <is>
          <t>Magikarp  Lv 5-10  (70%)</t>
        </is>
      </c>
      <c r="F219" s="30" t="inlineStr">
        <is>
          <t>Goldeen  Lv 5-10  (30%)</t>
        </is>
      </c>
    </row>
    <row r="220">
      <c r="A220" s="7" t="n"/>
      <c r="B220" s="6" t="n"/>
      <c r="C220" s="72" t="inlineStr">
        <is>
          <t>Good Rod</t>
        </is>
      </c>
      <c r="D220" s="6" t="n">
        <v>30</v>
      </c>
      <c r="E220" s="30" t="inlineStr">
        <is>
          <t>Magikarp  Lv 10-30  (60%)</t>
        </is>
      </c>
      <c r="F220" s="30" t="inlineStr">
        <is>
          <t>Goldeen  Lv 10-30  (20%)</t>
        </is>
      </c>
      <c r="G220" s="30" t="inlineStr">
        <is>
          <t>Barboach  Lv 10-30  (20%)</t>
        </is>
      </c>
    </row>
    <row r="221">
      <c r="A221" s="7" t="n"/>
      <c r="B221" s="6" t="n"/>
      <c r="C221" s="74" t="inlineStr">
        <is>
          <t>Super Rod</t>
        </is>
      </c>
      <c r="D221" s="6" t="n">
        <v>30</v>
      </c>
      <c r="E221" s="30" t="inlineStr">
        <is>
          <t>Barboach  Lv 25-35  (80%)</t>
        </is>
      </c>
      <c r="F221" s="30" t="inlineStr">
        <is>
          <t>Whiscash  Lv 30-45  (20%)</t>
        </is>
      </c>
    </row>
    <row r="222">
      <c r="A222" s="7" t="inlineStr">
        <is>
          <t>Meteor Falls 1 F1R</t>
        </is>
      </c>
      <c r="B222" s="6" t="inlineStr">
        <is>
          <t>Unassigned</t>
        </is>
      </c>
      <c r="C222" s="71" t="inlineStr">
        <is>
          <t>Land</t>
        </is>
      </c>
      <c r="D222" s="6" t="n">
        <v>10</v>
      </c>
      <c r="E222" s="30" t="inlineStr">
        <is>
          <t>Zubat  Lv 14-20  (80%)</t>
        </is>
      </c>
      <c r="F222" s="30" t="inlineStr">
        <is>
          <t>Solrock  Lv 14-18  (20%)</t>
        </is>
      </c>
    </row>
    <row r="223">
      <c r="A223" s="7" t="n"/>
      <c r="B223" s="6" t="n"/>
      <c r="C223" s="72" t="inlineStr">
        <is>
          <t>Water</t>
        </is>
      </c>
      <c r="D223" s="6" t="n">
        <v>4</v>
      </c>
      <c r="E223" s="30" t="inlineStr">
        <is>
          <t>Zubat  Lv 5-35  (90%)</t>
        </is>
      </c>
      <c r="F223" s="30" t="inlineStr">
        <is>
          <t>Solrock  Lv 5-35  (10%)</t>
        </is>
      </c>
    </row>
    <row r="224">
      <c r="A224" s="7" t="n"/>
      <c r="B224" s="6" t="n"/>
      <c r="C224" s="73" t="inlineStr">
        <is>
          <t>Old Rod</t>
        </is>
      </c>
      <c r="D224" s="6" t="n">
        <v>30</v>
      </c>
      <c r="E224" s="30" t="inlineStr">
        <is>
          <t>Magikarp  Lv 5-10  (70%)</t>
        </is>
      </c>
      <c r="F224" s="30" t="inlineStr">
        <is>
          <t>Goldeen  Lv 5-10  (30%)</t>
        </is>
      </c>
    </row>
    <row r="225">
      <c r="A225" s="7" t="n"/>
      <c r="B225" s="6" t="n"/>
      <c r="C225" s="72" t="inlineStr">
        <is>
          <t>Good Rod</t>
        </is>
      </c>
      <c r="D225" s="6" t="n">
        <v>30</v>
      </c>
      <c r="E225" s="30" t="inlineStr">
        <is>
          <t>Magikarp  Lv 10-30  (60%)</t>
        </is>
      </c>
      <c r="F225" s="30" t="inlineStr">
        <is>
          <t>Goldeen  Lv 10-30  (20%)</t>
        </is>
      </c>
      <c r="G225" s="30" t="inlineStr">
        <is>
          <t>Barboach  Lv 10-30  (20%)</t>
        </is>
      </c>
    </row>
    <row r="226">
      <c r="A226" s="7" t="n"/>
      <c r="B226" s="6" t="n"/>
      <c r="C226" s="74" t="inlineStr">
        <is>
          <t>Super Rod</t>
        </is>
      </c>
      <c r="D226" s="6" t="n">
        <v>30</v>
      </c>
      <c r="E226" s="30" t="inlineStr">
        <is>
          <t>Barboach  Lv 20-45  (100%)</t>
        </is>
      </c>
    </row>
    <row r="227">
      <c r="A227" s="7" t="inlineStr">
        <is>
          <t>Meteor Falls 1 F2R</t>
        </is>
      </c>
      <c r="B227" s="6" t="inlineStr">
        <is>
          <t>Unassigned</t>
        </is>
      </c>
      <c r="C227" s="71" t="inlineStr">
        <is>
          <t>Land</t>
        </is>
      </c>
      <c r="D227" s="6" t="n">
        <v>10</v>
      </c>
      <c r="E227" s="30" t="inlineStr">
        <is>
          <t>Golbat  Lv 33-40  (65%)</t>
        </is>
      </c>
      <c r="F227" s="30" t="inlineStr">
        <is>
          <t>Solrock  Lv 33-39  (35%)</t>
        </is>
      </c>
    </row>
    <row r="228">
      <c r="A228" s="7" t="n"/>
      <c r="B228" s="6" t="n"/>
      <c r="C228" s="72" t="inlineStr">
        <is>
          <t>Water</t>
        </is>
      </c>
      <c r="D228" s="6" t="n">
        <v>4</v>
      </c>
      <c r="E228" s="30" t="inlineStr">
        <is>
          <t>Golbat  Lv 30-35  (90%)</t>
        </is>
      </c>
      <c r="F228" s="30" t="inlineStr">
        <is>
          <t>Solrock  Lv 5-35  (10%)</t>
        </is>
      </c>
    </row>
    <row r="229">
      <c r="A229" s="7" t="n"/>
      <c r="B229" s="6" t="n"/>
      <c r="C229" s="73" t="inlineStr">
        <is>
          <t>Old Rod</t>
        </is>
      </c>
      <c r="D229" s="6" t="n">
        <v>30</v>
      </c>
      <c r="E229" s="30" t="inlineStr">
        <is>
          <t>Magikarp  Lv 5-10  (70%)</t>
        </is>
      </c>
      <c r="F229" s="30" t="inlineStr">
        <is>
          <t>Goldeen  Lv 5-10  (30%)</t>
        </is>
      </c>
    </row>
    <row r="230">
      <c r="A230" s="7" t="n"/>
      <c r="B230" s="6" t="n"/>
      <c r="C230" s="72" t="inlineStr">
        <is>
          <t>Good Rod</t>
        </is>
      </c>
      <c r="D230" s="6" t="n">
        <v>30</v>
      </c>
      <c r="E230" s="30" t="inlineStr">
        <is>
          <t>Magikarp  Lv 10-30  (60%)</t>
        </is>
      </c>
      <c r="F230" s="30" t="inlineStr">
        <is>
          <t>Goldeen  Lv 10-30  (20%)</t>
        </is>
      </c>
      <c r="G230" s="30" t="inlineStr">
        <is>
          <t>Barboach  Lv 10-30  (20%)</t>
        </is>
      </c>
    </row>
    <row r="231">
      <c r="A231" s="7" t="n"/>
      <c r="B231" s="6" t="n"/>
      <c r="C231" s="74" t="inlineStr">
        <is>
          <t>Super Rod</t>
        </is>
      </c>
      <c r="D231" s="6" t="n">
        <v>30</v>
      </c>
      <c r="E231" s="30" t="inlineStr">
        <is>
          <t>Barboach  Lv 25-35  (80%)</t>
        </is>
      </c>
      <c r="F231" s="30" t="inlineStr">
        <is>
          <t>Whiscash  Lv 30-45  (20%)</t>
        </is>
      </c>
    </row>
    <row r="232">
      <c r="A232" s="7" t="inlineStr">
        <is>
          <t>Meteor Falls B1 F1R</t>
        </is>
      </c>
      <c r="B232" s="6" t="inlineStr">
        <is>
          <t>Unassigned</t>
        </is>
      </c>
      <c r="C232" s="71" t="inlineStr">
        <is>
          <t>Land</t>
        </is>
      </c>
      <c r="D232" s="6" t="n">
        <v>10</v>
      </c>
      <c r="E232" s="30" t="inlineStr">
        <is>
          <t>Golbat  Lv 33-40  (65%)</t>
        </is>
      </c>
      <c r="F232" s="30" t="inlineStr">
        <is>
          <t>Solrock  Lv 33-39  (35%)</t>
        </is>
      </c>
    </row>
    <row r="233">
      <c r="A233" s="7" t="n"/>
      <c r="B233" s="6" t="n"/>
      <c r="C233" s="72" t="inlineStr">
        <is>
          <t>Water</t>
        </is>
      </c>
      <c r="D233" s="6" t="n">
        <v>4</v>
      </c>
      <c r="E233" s="30" t="inlineStr">
        <is>
          <t>Golbat  Lv 30-35  (90%)</t>
        </is>
      </c>
      <c r="F233" s="30" t="inlineStr">
        <is>
          <t>Solrock  Lv 5-35  (10%)</t>
        </is>
      </c>
    </row>
    <row r="234">
      <c r="A234" s="7" t="n"/>
      <c r="B234" s="6" t="n"/>
      <c r="C234" s="73" t="inlineStr">
        <is>
          <t>Old Rod</t>
        </is>
      </c>
      <c r="D234" s="6" t="n">
        <v>30</v>
      </c>
      <c r="E234" s="30" t="inlineStr">
        <is>
          <t>Magikarp  Lv 5-10  (70%)</t>
        </is>
      </c>
      <c r="F234" s="30" t="inlineStr">
        <is>
          <t>Goldeen  Lv 5-10  (30%)</t>
        </is>
      </c>
    </row>
    <row r="235">
      <c r="A235" s="7" t="n"/>
      <c r="B235" s="6" t="n"/>
      <c r="C235" s="72" t="inlineStr">
        <is>
          <t>Good Rod</t>
        </is>
      </c>
      <c r="D235" s="6" t="n">
        <v>30</v>
      </c>
      <c r="E235" s="30" t="inlineStr">
        <is>
          <t>Magikarp  Lv 10-30  (60%)</t>
        </is>
      </c>
      <c r="F235" s="30" t="inlineStr">
        <is>
          <t>Goldeen  Lv 10-30  (20%)</t>
        </is>
      </c>
      <c r="G235" s="30" t="inlineStr">
        <is>
          <t>Barboach  Lv 10-30  (20%)</t>
        </is>
      </c>
    </row>
    <row r="236">
      <c r="A236" s="7" t="n"/>
      <c r="B236" s="6" t="n"/>
      <c r="C236" s="74" t="inlineStr">
        <is>
          <t>Super Rod</t>
        </is>
      </c>
      <c r="D236" s="6" t="n">
        <v>30</v>
      </c>
      <c r="E236" s="30" t="inlineStr">
        <is>
          <t>Barboach  Lv 25-35  (80%)</t>
        </is>
      </c>
      <c r="F236" s="30" t="inlineStr">
        <is>
          <t>Whiscash  Lv 30-45  (20%)</t>
        </is>
      </c>
    </row>
    <row r="237">
      <c r="A237" s="7" t="inlineStr">
        <is>
          <t>Shoal Cave Low Tide Stairs Room</t>
        </is>
      </c>
      <c r="B237" s="6" t="inlineStr">
        <is>
          <t>Split 7</t>
        </is>
      </c>
      <c r="C237" s="71" t="inlineStr">
        <is>
          <t>Land</t>
        </is>
      </c>
      <c r="D237" s="6" t="n">
        <v>10</v>
      </c>
      <c r="E237" s="30" t="inlineStr">
        <is>
          <t>Spheal  Lv 26-32  (50%)</t>
        </is>
      </c>
      <c r="F237" s="30" t="inlineStr">
        <is>
          <t>Zubat  Lv 26-32  (45%)</t>
        </is>
      </c>
      <c r="G237" s="30" t="inlineStr">
        <is>
          <t>Golbat  Lv 32  (5%)</t>
        </is>
      </c>
    </row>
    <row r="238">
      <c r="A238" s="7" t="inlineStr">
        <is>
          <t>Shoal Cave Low Tide Lower Room</t>
        </is>
      </c>
      <c r="B238" s="6" t="inlineStr">
        <is>
          <t>Split 7</t>
        </is>
      </c>
      <c r="C238" s="71" t="inlineStr">
        <is>
          <t>Land</t>
        </is>
      </c>
      <c r="D238" s="6" t="n">
        <v>10</v>
      </c>
      <c r="E238" s="30" t="inlineStr">
        <is>
          <t>Spheal  Lv 26-32  (50%)</t>
        </is>
      </c>
      <c r="F238" s="30" t="inlineStr">
        <is>
          <t>Zubat  Lv 26-32  (45%)</t>
        </is>
      </c>
      <c r="G238" s="30" t="inlineStr">
        <is>
          <t>Golbat  Lv 32  (5%)</t>
        </is>
      </c>
    </row>
    <row r="239">
      <c r="A239" s="7" t="inlineStr">
        <is>
          <t>Shoal Cave Low Tide Inner Room</t>
        </is>
      </c>
      <c r="B239" s="6" t="inlineStr">
        <is>
          <t>Split 7</t>
        </is>
      </c>
      <c r="C239" s="71" t="inlineStr">
        <is>
          <t>Land</t>
        </is>
      </c>
      <c r="D239" s="6" t="n">
        <v>10</v>
      </c>
      <c r="E239" s="30" t="inlineStr">
        <is>
          <t>Spheal  Lv 26-32  (50%)</t>
        </is>
      </c>
      <c r="F239" s="30" t="inlineStr">
        <is>
          <t>Zubat  Lv 26-32  (45%)</t>
        </is>
      </c>
      <c r="G239" s="30" t="inlineStr">
        <is>
          <t>Golbat  Lv 32  (5%)</t>
        </is>
      </c>
    </row>
    <row r="240">
      <c r="A240" s="7" t="n"/>
      <c r="B240" s="6" t="n"/>
      <c r="C240" s="72" t="inlineStr">
        <is>
          <t>Water</t>
        </is>
      </c>
      <c r="D240" s="6" t="n">
        <v>4</v>
      </c>
      <c r="E240" s="30" t="inlineStr">
        <is>
          <t>Tentacool  Lv 5-35  (60%)</t>
        </is>
      </c>
      <c r="F240" s="30" t="inlineStr">
        <is>
          <t>Zubat  Lv 5-35  (30%)</t>
        </is>
      </c>
      <c r="G240" s="30" t="inlineStr">
        <is>
          <t>Spheal  Lv 25-35  (10%)</t>
        </is>
      </c>
    </row>
    <row r="241">
      <c r="A241" s="7" t="n"/>
      <c r="B241" s="6" t="n"/>
      <c r="C241" s="73" t="inlineStr">
        <is>
          <t>Old Rod</t>
        </is>
      </c>
      <c r="D241" s="6" t="n">
        <v>10</v>
      </c>
      <c r="E241" s="30" t="inlineStr">
        <is>
          <t>Magikarp  Lv 5-10  (70%)</t>
        </is>
      </c>
      <c r="F241" s="30" t="inlineStr">
        <is>
          <t>Tentacool  Lv 5-10  (30%)</t>
        </is>
      </c>
    </row>
    <row r="242">
      <c r="A242" s="7" t="n"/>
      <c r="B242" s="6" t="n"/>
      <c r="C242" s="72" t="inlineStr">
        <is>
          <t>Good Rod</t>
        </is>
      </c>
      <c r="D242" s="6" t="n">
        <v>10</v>
      </c>
      <c r="E242" s="30" t="inlineStr">
        <is>
          <t>Magikarp  Lv 10-30  (60%)</t>
        </is>
      </c>
      <c r="F242" s="30" t="inlineStr">
        <is>
          <t>Tentacool  Lv 10-30  (20%)</t>
        </is>
      </c>
      <c r="G242" s="30" t="inlineStr">
        <is>
          <t>Wailmer  Lv 10-30  (20%)</t>
        </is>
      </c>
    </row>
    <row r="243">
      <c r="A243" s="7" t="n"/>
      <c r="B243" s="6" t="n"/>
      <c r="C243" s="74" t="inlineStr">
        <is>
          <t>Super Rod</t>
        </is>
      </c>
      <c r="D243" s="6" t="n">
        <v>10</v>
      </c>
      <c r="E243" s="30" t="inlineStr">
        <is>
          <t>Wailmer  Lv 20-45  (100%)</t>
        </is>
      </c>
    </row>
    <row r="244">
      <c r="A244" s="7" t="inlineStr">
        <is>
          <t>Shoal Cave Low Tide Entrance Room</t>
        </is>
      </c>
      <c r="B244" s="6" t="inlineStr">
        <is>
          <t>Split 7</t>
        </is>
      </c>
      <c r="C244" s="71" t="inlineStr">
        <is>
          <t>Land</t>
        </is>
      </c>
      <c r="D244" s="6" t="n">
        <v>10</v>
      </c>
      <c r="E244" s="30" t="inlineStr">
        <is>
          <t>Spheal  Lv 26-32  (50%)</t>
        </is>
      </c>
      <c r="F244" s="30" t="inlineStr">
        <is>
          <t>Zubat  Lv 26-32  (45%)</t>
        </is>
      </c>
      <c r="G244" s="30" t="inlineStr">
        <is>
          <t>Golbat  Lv 32  (5%)</t>
        </is>
      </c>
    </row>
    <row r="245">
      <c r="A245" s="7" t="n"/>
      <c r="B245" s="6" t="n"/>
      <c r="C245" s="72" t="inlineStr">
        <is>
          <t>Water</t>
        </is>
      </c>
      <c r="D245" s="6" t="n">
        <v>4</v>
      </c>
      <c r="E245" s="30" t="inlineStr">
        <is>
          <t>Tentacool  Lv 5-35  (60%)</t>
        </is>
      </c>
      <c r="F245" s="30" t="inlineStr">
        <is>
          <t>Zubat  Lv 5-35  (30%)</t>
        </is>
      </c>
      <c r="G245" s="30" t="inlineStr">
        <is>
          <t>Spheal  Lv 25-35  (10%)</t>
        </is>
      </c>
    </row>
    <row r="246">
      <c r="A246" s="7" t="n"/>
      <c r="B246" s="6" t="n"/>
      <c r="C246" s="73" t="inlineStr">
        <is>
          <t>Old Rod</t>
        </is>
      </c>
      <c r="D246" s="6" t="n">
        <v>10</v>
      </c>
      <c r="E246" s="30" t="inlineStr">
        <is>
          <t>Magikarp  Lv 5-10  (70%)</t>
        </is>
      </c>
      <c r="F246" s="30" t="inlineStr">
        <is>
          <t>Tentacool  Lv 5-10  (30%)</t>
        </is>
      </c>
    </row>
    <row r="247">
      <c r="A247" s="7" t="n"/>
      <c r="B247" s="6" t="n"/>
      <c r="C247" s="72" t="inlineStr">
        <is>
          <t>Good Rod</t>
        </is>
      </c>
      <c r="D247" s="6" t="n">
        <v>10</v>
      </c>
      <c r="E247" s="30" t="inlineStr">
        <is>
          <t>Magikarp  Lv 10-30  (60%)</t>
        </is>
      </c>
      <c r="F247" s="30" t="inlineStr">
        <is>
          <t>Tentacool  Lv 10-30  (20%)</t>
        </is>
      </c>
      <c r="G247" s="30" t="inlineStr">
        <is>
          <t>Wailmer  Lv 10-30  (20%)</t>
        </is>
      </c>
    </row>
    <row r="248">
      <c r="A248" s="7" t="n"/>
      <c r="B248" s="6" t="n"/>
      <c r="C248" s="74" t="inlineStr">
        <is>
          <t>Super Rod</t>
        </is>
      </c>
      <c r="D248" s="6" t="n">
        <v>10</v>
      </c>
      <c r="E248" s="30" t="inlineStr">
        <is>
          <t>Wailmer  Lv 20-45  (100%)</t>
        </is>
      </c>
    </row>
    <row r="249">
      <c r="A249" s="7" t="inlineStr">
        <is>
          <t>Lilycove City</t>
        </is>
      </c>
      <c r="B249" s="6" t="inlineStr">
        <is>
          <t>Split 7</t>
        </is>
      </c>
      <c r="C249" s="72" t="inlineStr">
        <is>
          <t>Water</t>
        </is>
      </c>
      <c r="D249" s="6" t="n">
        <v>4</v>
      </c>
      <c r="E249" s="30" t="inlineStr">
        <is>
          <t>Tentacool  Lv 5-35  (60%)</t>
        </is>
      </c>
      <c r="F249" s="30" t="inlineStr">
        <is>
          <t>Wingull  Lv 10-30  (35%)</t>
        </is>
      </c>
      <c r="G249" s="30" t="inlineStr">
        <is>
          <t>Pelipper  Lv 25-30  (5%)</t>
        </is>
      </c>
    </row>
    <row r="250">
      <c r="A250" s="7" t="n"/>
      <c r="B250" s="6" t="n"/>
      <c r="C250" s="73" t="inlineStr">
        <is>
          <t>Old Rod</t>
        </is>
      </c>
      <c r="D250" s="6" t="n">
        <v>10</v>
      </c>
      <c r="E250" s="30" t="inlineStr">
        <is>
          <t>Magikarp  Lv 5-10  (70%)</t>
        </is>
      </c>
      <c r="F250" s="30" t="inlineStr">
        <is>
          <t>Tentacool  Lv 5-10  (30%)</t>
        </is>
      </c>
    </row>
    <row r="251">
      <c r="A251" s="7" t="n"/>
      <c r="B251" s="6" t="n"/>
      <c r="C251" s="72" t="inlineStr">
        <is>
          <t>Good Rod</t>
        </is>
      </c>
      <c r="D251" s="6" t="n">
        <v>10</v>
      </c>
      <c r="E251" s="30" t="inlineStr">
        <is>
          <t>Magikarp  Lv 10-30  (60%)</t>
        </is>
      </c>
      <c r="F251" s="30" t="inlineStr">
        <is>
          <t>Tentacool  Lv 10-30  (20%)</t>
        </is>
      </c>
      <c r="G251" s="30" t="inlineStr">
        <is>
          <t>Wailmer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10</v>
      </c>
      <c r="E252" s="30" t="inlineStr">
        <is>
          <t>Wailmer  Lv 25-45  (85%)</t>
        </is>
      </c>
      <c r="F252" s="30" t="inlineStr">
        <is>
          <t>Staryu  Lv 25-30  (15%)</t>
        </is>
      </c>
    </row>
    <row r="253">
      <c r="A253" s="7" t="inlineStr">
        <is>
          <t>Dewford Town</t>
        </is>
      </c>
      <c r="B253" s="6" t="inlineStr">
        <is>
          <t>Split 3</t>
        </is>
      </c>
      <c r="C253" s="72" t="inlineStr">
        <is>
          <t>Water</t>
        </is>
      </c>
      <c r="D253" s="6" t="n">
        <v>4</v>
      </c>
      <c r="E253" s="30" t="inlineStr">
        <is>
          <t>Tentacool  Lv 5-35  (60%)</t>
        </is>
      </c>
      <c r="F253" s="30" t="inlineStr">
        <is>
          <t>Wingull  Lv 10-30  (35%)</t>
        </is>
      </c>
      <c r="G253" s="30" t="inlineStr">
        <is>
          <t>Pelipper  Lv 25-30  (5%)</t>
        </is>
      </c>
    </row>
    <row r="254">
      <c r="A254" s="7" t="n"/>
      <c r="B254" s="6" t="n"/>
      <c r="C254" s="73" t="inlineStr">
        <is>
          <t>Old Rod</t>
        </is>
      </c>
      <c r="D254" s="6" t="n">
        <v>10</v>
      </c>
      <c r="E254" s="30" t="inlineStr">
        <is>
          <t>Magikarp  Lv 5-10  (70%)</t>
        </is>
      </c>
      <c r="F254" s="30" t="inlineStr">
        <is>
          <t>Tentacool  Lv 5-10  (30%)</t>
        </is>
      </c>
    </row>
    <row r="255">
      <c r="A255" s="7" t="n"/>
      <c r="B255" s="6" t="n"/>
      <c r="C255" s="72" t="inlineStr">
        <is>
          <t>Good Rod</t>
        </is>
      </c>
      <c r="D255" s="6" t="n">
        <v>10</v>
      </c>
      <c r="E255" s="30" t="inlineStr">
        <is>
          <t>Magikarp  Lv 10-30  (60%)</t>
        </is>
      </c>
      <c r="F255" s="30" t="inlineStr">
        <is>
          <t>Tentacool  Lv 10-30  (20%)</t>
        </is>
      </c>
      <c r="G255" s="30" t="inlineStr">
        <is>
          <t>Wailmer  Lv 10-30  (20%)</t>
        </is>
      </c>
    </row>
    <row r="256">
      <c r="A256" s="7" t="n"/>
      <c r="B256" s="6" t="n"/>
      <c r="C256" s="74" t="inlineStr">
        <is>
          <t>Super Rod</t>
        </is>
      </c>
      <c r="D256" s="6" t="n">
        <v>10</v>
      </c>
      <c r="E256" s="30" t="inlineStr">
        <is>
          <t>Wailmer  Lv 20-45  (100%)</t>
        </is>
      </c>
    </row>
    <row r="257">
      <c r="A257" s="7" t="inlineStr">
        <is>
          <t>Slateport City</t>
        </is>
      </c>
      <c r="B257" s="6" t="inlineStr">
        <is>
          <t>Split 4</t>
        </is>
      </c>
      <c r="C257" s="72" t="inlineStr">
        <is>
          <t>Water</t>
        </is>
      </c>
      <c r="D257" s="6" t="n">
        <v>4</v>
      </c>
      <c r="E257" s="30" t="inlineStr">
        <is>
          <t>Tentacool  Lv 5-35  (60%)</t>
        </is>
      </c>
      <c r="F257" s="30" t="inlineStr">
        <is>
          <t>Wingull  Lv 10-30  (35%)</t>
        </is>
      </c>
      <c r="G257" s="30" t="inlineStr">
        <is>
          <t>Pelipper  Lv 25-30  (5%)</t>
        </is>
      </c>
    </row>
    <row r="258">
      <c r="A258" s="7" t="n"/>
      <c r="B258" s="6" t="n"/>
      <c r="C258" s="73" t="inlineStr">
        <is>
          <t>Old Rod</t>
        </is>
      </c>
      <c r="D258" s="6" t="n">
        <v>10</v>
      </c>
      <c r="E258" s="30" t="inlineStr">
        <is>
          <t>Magikarp  Lv 5-10  (70%)</t>
        </is>
      </c>
      <c r="F258" s="30" t="inlineStr">
        <is>
          <t>Tentacool  Lv 5-10  (30%)</t>
        </is>
      </c>
    </row>
    <row r="259">
      <c r="A259" s="7" t="n"/>
      <c r="B259" s="6" t="n"/>
      <c r="C259" s="72" t="inlineStr">
        <is>
          <t>Good Rod</t>
        </is>
      </c>
      <c r="D259" s="6" t="n">
        <v>10</v>
      </c>
      <c r="E259" s="30" t="inlineStr">
        <is>
          <t>Magikarp  Lv 10-30  (60%)</t>
        </is>
      </c>
      <c r="F259" s="30" t="inlineStr">
        <is>
          <t>Tentacool  Lv 10-30  (20%)</t>
        </is>
      </c>
      <c r="G259" s="30" t="inlineStr">
        <is>
          <t>Wailmer  Lv 10-30  (20%)</t>
        </is>
      </c>
    </row>
    <row r="260">
      <c r="A260" s="7" t="n"/>
      <c r="B260" s="6" t="n"/>
      <c r="C260" s="74" t="inlineStr">
        <is>
          <t>Super Rod</t>
        </is>
      </c>
      <c r="D260" s="6" t="n">
        <v>10</v>
      </c>
      <c r="E260" s="30" t="inlineStr">
        <is>
          <t>Wailmer  Lv 20-45  (100%)</t>
        </is>
      </c>
    </row>
    <row r="261">
      <c r="A261" s="7" t="inlineStr">
        <is>
          <t>Mossdeep City</t>
        </is>
      </c>
      <c r="B261" s="6" t="inlineStr">
        <is>
          <t>Split 7</t>
        </is>
      </c>
      <c r="C261" s="72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Wingull  Lv 10-30  (35%)</t>
        </is>
      </c>
      <c r="G261" s="30" t="inlineStr">
        <is>
          <t>Pelipper  Lv 25-30  (5%)</t>
        </is>
      </c>
    </row>
    <row r="262">
      <c r="A262" s="7" t="n"/>
      <c r="B262" s="6" t="n"/>
      <c r="C262" s="73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2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25-45  (60%)</t>
        </is>
      </c>
      <c r="F264" s="30" t="inlineStr">
        <is>
          <t>Sharpedo  Lv 30-35  (40%)</t>
        </is>
      </c>
    </row>
    <row r="265">
      <c r="A265" s="7" t="inlineStr">
        <is>
          <t>Pacifidlog Town</t>
        </is>
      </c>
      <c r="B265" s="6" t="inlineStr">
        <is>
          <t>Unassigned</t>
        </is>
      </c>
      <c r="C265" s="72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3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2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(60%)</t>
        </is>
      </c>
      <c r="F268" s="30" t="inlineStr">
        <is>
          <t>Sharpedo  Lv 30-35  (40%)</t>
        </is>
      </c>
    </row>
    <row r="269">
      <c r="A269" s="7" t="inlineStr">
        <is>
          <t>Ever Grande City</t>
        </is>
      </c>
      <c r="B269" s="6" t="inlineStr">
        <is>
          <t>Elite Four &amp; Champion</t>
        </is>
      </c>
      <c r="C269" s="72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3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2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Luvdisc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30-45  (45%)</t>
        </is>
      </c>
      <c r="F272" s="30" t="inlineStr">
        <is>
          <t>Luvdisc  Lv 30-35  (40%)</t>
        </is>
      </c>
      <c r="G272" s="30" t="inlineStr">
        <is>
          <t>Corsola  Lv 30-35  (15%)</t>
        </is>
      </c>
    </row>
    <row r="273">
      <c r="A273" s="7" t="inlineStr">
        <is>
          <t>Petalburg City</t>
        </is>
      </c>
      <c r="B273" s="6" t="inlineStr">
        <is>
          <t>Split 1</t>
        </is>
      </c>
      <c r="C273" s="72" t="inlineStr">
        <is>
          <t>Water</t>
        </is>
      </c>
      <c r="D273" s="6" t="n">
        <v>1</v>
      </c>
      <c r="E273" s="30" t="inlineStr">
        <is>
          <t>Marill  Lv 5-35  (100%)</t>
        </is>
      </c>
    </row>
    <row r="274">
      <c r="A274" s="7" t="n"/>
      <c r="B274" s="6" t="n"/>
      <c r="C274" s="73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Goldeen  Lv 5-10  (30%)</t>
        </is>
      </c>
    </row>
    <row r="275">
      <c r="A275" s="7" t="n"/>
      <c r="B275" s="6" t="n"/>
      <c r="C275" s="72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Goldeen  Lv 10-30  (20%)</t>
        </is>
      </c>
      <c r="G275" s="30" t="inlineStr">
        <is>
          <t>Corphish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Corphish  Lv 20-45  (100%)</t>
        </is>
      </c>
    </row>
    <row r="277">
      <c r="A277" s="7" t="inlineStr">
        <is>
          <t>Underwater Route 124</t>
        </is>
      </c>
      <c r="B277" s="6" t="inlineStr">
        <is>
          <t>Unassigned</t>
        </is>
      </c>
      <c r="C277" s="72" t="inlineStr">
        <is>
          <t>Water</t>
        </is>
      </c>
      <c r="D277" s="6" t="n">
        <v>4</v>
      </c>
      <c r="E277" s="30" t="inlineStr">
        <is>
          <t>Clamperl  Lv 20-35  (65%)</t>
        </is>
      </c>
      <c r="F277" s="30" t="inlineStr">
        <is>
          <t>Chinchou  Lv 20-30  (30%)</t>
        </is>
      </c>
      <c r="G277" s="30" t="inlineStr">
        <is>
          <t>Relicanth  Lv 30-35  (5%)</t>
        </is>
      </c>
    </row>
    <row r="278">
      <c r="A278" s="7" t="inlineStr">
        <is>
          <t>Shoal Cave Low Tide Ice Room</t>
        </is>
      </c>
      <c r="B278" s="6" t="inlineStr">
        <is>
          <t>Split 7</t>
        </is>
      </c>
      <c r="C278" s="71" t="inlineStr">
        <is>
          <t>Land</t>
        </is>
      </c>
      <c r="D278" s="6" t="n">
        <v>10</v>
      </c>
      <c r="E278" s="30" t="inlineStr">
        <is>
          <t>Spheal  Lv 26-32  (45%)</t>
        </is>
      </c>
      <c r="F278" s="30" t="inlineStr">
        <is>
          <t>Zubat  Lv 26-30  (40%)</t>
        </is>
      </c>
      <c r="G278" s="30" t="inlineStr">
        <is>
          <t>Snorunt  Lv 26-30  (10%)</t>
        </is>
      </c>
      <c r="H278" s="30" t="inlineStr">
        <is>
          <t>Golbat  Lv 30-32  (5%)</t>
        </is>
      </c>
    </row>
    <row r="279">
      <c r="A279" s="7" t="inlineStr">
        <is>
          <t>Sky Pillar 1F</t>
        </is>
      </c>
      <c r="B279" s="6" t="inlineStr">
        <is>
          <t>Unassigned</t>
        </is>
      </c>
      <c r="C279" s="71" t="inlineStr">
        <is>
          <t>Land</t>
        </is>
      </c>
      <c r="D279" s="6" t="n">
        <v>10</v>
      </c>
      <c r="E279" s="30" t="inlineStr">
        <is>
          <t>Sableye  Lv 33-34  (30%)</t>
        </is>
      </c>
      <c r="F279" s="30" t="inlineStr">
        <is>
          <t>Golbat  Lv 34-35  (30%)</t>
        </is>
      </c>
      <c r="G279" s="30" t="inlineStr">
        <is>
          <t>Claydol  Lv 36-38  (25%)</t>
        </is>
      </c>
      <c r="H279" s="30" t="inlineStr">
        <is>
          <t>Banette  Lv 37-38  (15%)</t>
        </is>
      </c>
    </row>
    <row r="280">
      <c r="A280" s="7" t="inlineStr">
        <is>
          <t>Sootopolis City</t>
        </is>
      </c>
      <c r="B280" s="6" t="inlineStr">
        <is>
          <t>Split 8</t>
        </is>
      </c>
      <c r="C280" s="72" t="inlineStr">
        <is>
          <t>Water</t>
        </is>
      </c>
      <c r="D280" s="6" t="n">
        <v>1</v>
      </c>
      <c r="E280" s="30" t="inlineStr">
        <is>
          <t>Magikarp  Lv 5-35  (100%)</t>
        </is>
      </c>
    </row>
    <row r="281">
      <c r="A281" s="7" t="n"/>
      <c r="B281" s="6" t="n"/>
      <c r="C281" s="73" t="inlineStr">
        <is>
          <t>Old Rod</t>
        </is>
      </c>
      <c r="D281" s="6" t="n">
        <v>10</v>
      </c>
      <c r="E281" s="30" t="inlineStr">
        <is>
          <t>Magikarp  Lv 5-10  (70%)</t>
        </is>
      </c>
      <c r="F281" s="30" t="inlineStr">
        <is>
          <t>Tentacool  Lv 5-10  (30%)</t>
        </is>
      </c>
    </row>
    <row r="282">
      <c r="A282" s="7" t="n"/>
      <c r="B282" s="6" t="n"/>
      <c r="C282" s="72" t="inlineStr">
        <is>
          <t>Good Rod</t>
        </is>
      </c>
      <c r="D282" s="6" t="n">
        <v>10</v>
      </c>
      <c r="E282" s="30" t="inlineStr">
        <is>
          <t>Magikarp  Lv 10-30  (100%)</t>
        </is>
      </c>
    </row>
    <row r="283">
      <c r="A283" s="7" t="n"/>
      <c r="B283" s="6" t="n"/>
      <c r="C283" s="74" t="inlineStr">
        <is>
          <t>Super Rod</t>
        </is>
      </c>
      <c r="D283" s="6" t="n">
        <v>10</v>
      </c>
      <c r="E283" s="30" t="inlineStr">
        <is>
          <t>Magikarp  Lv 30-35  (80%)</t>
        </is>
      </c>
      <c r="F283" s="30" t="inlineStr">
        <is>
          <t>Gyarados  Lv 5-45  (20%)</t>
        </is>
      </c>
    </row>
    <row r="284">
      <c r="A284" s="7" t="inlineStr">
        <is>
          <t>Sky Pillar 3F</t>
        </is>
      </c>
      <c r="B284" s="6" t="inlineStr">
        <is>
          <t>Unassigned</t>
        </is>
      </c>
      <c r="C284" s="71" t="inlineStr">
        <is>
          <t>Land</t>
        </is>
      </c>
      <c r="D284" s="6" t="n">
        <v>10</v>
      </c>
      <c r="E284" s="30" t="inlineStr">
        <is>
          <t>Sableye  Lv 33-34  (30%)</t>
        </is>
      </c>
      <c r="F284" s="30" t="inlineStr">
        <is>
          <t>Golbat  Lv 34-35  (30%)</t>
        </is>
      </c>
      <c r="G284" s="30" t="inlineStr">
        <is>
          <t>Claydol  Lv 36-38  (25%)</t>
        </is>
      </c>
      <c r="H284" s="30" t="inlineStr">
        <is>
          <t>Banette  Lv 37-38  (15%)</t>
        </is>
      </c>
    </row>
    <row r="285">
      <c r="A285" s="7" t="inlineStr">
        <is>
          <t>Sky Pillar 5F</t>
        </is>
      </c>
      <c r="B285" s="6" t="inlineStr">
        <is>
          <t>Unassigned</t>
        </is>
      </c>
      <c r="C285" s="71" t="inlineStr">
        <is>
          <t>Land</t>
        </is>
      </c>
      <c r="D285" s="6" t="n">
        <v>10</v>
      </c>
      <c r="E285" s="30" t="inlineStr">
        <is>
          <t>Sableye  Lv 33-34  (30%)</t>
        </is>
      </c>
      <c r="F285" s="30" t="inlineStr">
        <is>
          <t>Golbat  Lv 34-35  (30%)</t>
        </is>
      </c>
      <c r="G285" s="30" t="inlineStr">
        <is>
          <t>Claydol  Lv 36-37  (19%)</t>
        </is>
      </c>
      <c r="H285" s="30" t="inlineStr">
        <is>
          <t>Banette  Lv 37-38  (15%)</t>
        </is>
      </c>
      <c r="I285" s="30" t="inlineStr">
        <is>
          <t>Altaria  Lv 38-39  (6%)</t>
        </is>
      </c>
    </row>
    <row r="286">
      <c r="A286" s="7" t="inlineStr">
        <is>
          <t>Safari Zone Southeast</t>
        </is>
      </c>
      <c r="B286" s="6" t="inlineStr">
        <is>
          <t>Postgame</t>
        </is>
      </c>
      <c r="C286" s="71" t="inlineStr">
        <is>
          <t>Land</t>
        </is>
      </c>
      <c r="D286" s="6" t="n">
        <v>25</v>
      </c>
      <c r="E286" s="30" t="inlineStr">
        <is>
          <t>Sunkern  Lv 33-35  (30%)</t>
        </is>
      </c>
      <c r="F286" s="30" t="inlineStr">
        <is>
          <t>Mareep  Lv 34-36  (30%)</t>
        </is>
      </c>
      <c r="G286" s="30" t="inlineStr">
        <is>
          <t>Aipom  Lv 34  (10%)</t>
        </is>
      </c>
      <c r="H286" s="30" t="inlineStr">
        <is>
          <t>Spinarak  Lv 33  (10%)</t>
        </is>
      </c>
      <c r="I286" s="30" t="inlineStr">
        <is>
          <t>Hoothoot  Lv 35  (5%)</t>
        </is>
      </c>
      <c r="J286" s="30" t="inlineStr">
        <is>
          <t>Snubbull  Lv 34  (5%)</t>
        </is>
      </c>
      <c r="K286" s="30" t="inlineStr">
        <is>
          <t>Stantler  Lv 36-39  (5%)</t>
        </is>
      </c>
      <c r="L286" s="30" t="inlineStr">
        <is>
          <t>Gligar  Lv 37-40  (5%)</t>
        </is>
      </c>
    </row>
    <row r="287">
      <c r="A287" s="7" t="n"/>
      <c r="B287" s="6" t="n"/>
      <c r="C287" s="72" t="inlineStr">
        <is>
          <t>Water</t>
        </is>
      </c>
      <c r="D287" s="6" t="n">
        <v>9</v>
      </c>
      <c r="E287" s="30" t="inlineStr">
        <is>
          <t>Wooper  Lv 25-30  (60%)</t>
        </is>
      </c>
      <c r="F287" s="30" t="inlineStr">
        <is>
          <t>Marill  Lv 25-35  (39%)</t>
        </is>
      </c>
      <c r="G287" s="30" t="inlineStr">
        <is>
          <t>Quagsire  Lv 35-40  (1%)</t>
        </is>
      </c>
    </row>
    <row r="288">
      <c r="A288" s="7" t="n"/>
      <c r="B288" s="6" t="n"/>
      <c r="C288" s="73" t="inlineStr">
        <is>
          <t>Old Rod</t>
        </is>
      </c>
      <c r="D288" s="6" t="n">
        <v>35</v>
      </c>
      <c r="E288" s="30" t="inlineStr">
        <is>
          <t>Magikarp  Lv 25-30  (70%)</t>
        </is>
      </c>
      <c r="F288" s="30" t="inlineStr">
        <is>
          <t>Goldeen  Lv 25-30  (30%)</t>
        </is>
      </c>
    </row>
    <row r="289">
      <c r="A289" s="7" t="n"/>
      <c r="B289" s="6" t="n"/>
      <c r="C289" s="72" t="inlineStr">
        <is>
          <t>Good Rod</t>
        </is>
      </c>
      <c r="D289" s="6" t="n">
        <v>35</v>
      </c>
      <c r="E289" s="30" t="inlineStr">
        <is>
          <t>Magikarp  Lv 25-30  (60%)</t>
        </is>
      </c>
      <c r="F289" s="30" t="inlineStr">
        <is>
          <t>Goldeen  Lv 25-30  (20%)</t>
        </is>
      </c>
      <c r="G289" s="30" t="inlineStr">
        <is>
          <t>Remoraid  Lv 30-35  (20%)</t>
        </is>
      </c>
    </row>
    <row r="290">
      <c r="A290" s="7" t="n"/>
      <c r="B290" s="6" t="n"/>
      <c r="C290" s="74" t="inlineStr">
        <is>
          <t>Super Rod</t>
        </is>
      </c>
      <c r="D290" s="6" t="n">
        <v>35</v>
      </c>
      <c r="E290" s="30" t="inlineStr">
        <is>
          <t>Remoraid  Lv 25-35  (59%)</t>
        </is>
      </c>
      <c r="F290" s="30" t="inlineStr">
        <is>
          <t>Goldeen  Lv 25-30  (40%)</t>
        </is>
      </c>
      <c r="G290" s="30" t="inlineStr">
        <is>
          <t>Octillery  Lv 35-40  (1%)</t>
        </is>
      </c>
    </row>
    <row r="291">
      <c r="A291" s="7" t="inlineStr">
        <is>
          <t>Safari Zone Northeast</t>
        </is>
      </c>
      <c r="B291" s="6" t="inlineStr">
        <is>
          <t>Postgame</t>
        </is>
      </c>
      <c r="C291" s="71" t="inlineStr">
        <is>
          <t>Land</t>
        </is>
      </c>
      <c r="D291" s="6" t="n">
        <v>25</v>
      </c>
      <c r="E291" s="30" t="inlineStr">
        <is>
          <t>Aipom  Lv 33-35  (30%)</t>
        </is>
      </c>
      <c r="F291" s="30" t="inlineStr">
        <is>
          <t>Teddiursa  Lv 34-36  (30%)</t>
        </is>
      </c>
      <c r="G291" s="30" t="inlineStr">
        <is>
          <t>Sunkern  Lv 34  (10%)</t>
        </is>
      </c>
      <c r="H291" s="30" t="inlineStr">
        <is>
          <t>Ledyba  Lv 33  (10%)</t>
        </is>
      </c>
      <c r="I291" s="30" t="inlineStr">
        <is>
          <t>Hoothoot  Lv 35  (5%)</t>
        </is>
      </c>
      <c r="J291" s="30" t="inlineStr">
        <is>
          <t>Pineco  Lv 34  (5%)</t>
        </is>
      </c>
      <c r="K291" s="30" t="inlineStr">
        <is>
          <t>Houndour  Lv 36-39  (5%)</t>
        </is>
      </c>
      <c r="L291" s="30" t="inlineStr">
        <is>
          <t>Miltank  Lv 37-40  (5%)</t>
        </is>
      </c>
    </row>
    <row r="292">
      <c r="A292" s="7" t="n"/>
      <c r="B292" s="6" t="n"/>
      <c r="C292" s="75" t="inlineStr">
        <is>
          <t>Rock Smash</t>
        </is>
      </c>
      <c r="D292" s="6" t="n">
        <v>25</v>
      </c>
      <c r="E292" s="30" t="inlineStr">
        <is>
          <t>Shuckle  Lv 20-40  (100%)</t>
        </is>
      </c>
    </row>
    <row r="293">
      <c r="A293" s="7" t="inlineStr">
        <is>
          <t>Magma Hideout 1F</t>
        </is>
      </c>
      <c r="B293" s="6" t="inlineStr">
        <is>
          <t>Split 5</t>
        </is>
      </c>
      <c r="C293" s="71" t="inlineStr">
        <is>
          <t>Land</t>
        </is>
      </c>
      <c r="D293" s="6" t="n">
        <v>10</v>
      </c>
      <c r="E293" s="30" t="inlineStr">
        <is>
          <t>Geodude  Lv 27-30  (55%)</t>
        </is>
      </c>
      <c r="F293" s="30" t="inlineStr">
        <is>
          <t>Torkoal  Lv 28-30  (30%)</t>
        </is>
      </c>
      <c r="G293" s="30" t="inlineStr">
        <is>
          <t>Graveler  Lv 30-33  (15%)</t>
        </is>
      </c>
    </row>
    <row r="294">
      <c r="A294" s="7" t="inlineStr">
        <is>
          <t>Magma Hideout 2 F1R</t>
        </is>
      </c>
      <c r="B294" s="6" t="inlineStr">
        <is>
          <t>Split 5</t>
        </is>
      </c>
      <c r="C294" s="71" t="inlineStr">
        <is>
          <t>Land</t>
        </is>
      </c>
      <c r="D294" s="6" t="n">
        <v>10</v>
      </c>
      <c r="E294" s="30" t="inlineStr">
        <is>
          <t>Geodude  Lv 27-30  (55%)</t>
        </is>
      </c>
      <c r="F294" s="30" t="inlineStr">
        <is>
          <t>Torkoal  Lv 28-30  (30%)</t>
        </is>
      </c>
      <c r="G294" s="30" t="inlineStr">
        <is>
          <t>Graveler  Lv 30-33  (15%)</t>
        </is>
      </c>
    </row>
    <row r="295">
      <c r="A295" s="7" t="inlineStr">
        <is>
          <t>Magma Hideout 2 F2R</t>
        </is>
      </c>
      <c r="B295" s="6" t="inlineStr">
        <is>
          <t>Split 5</t>
        </is>
      </c>
      <c r="C295" s="71" t="inlineStr">
        <is>
          <t>Land</t>
        </is>
      </c>
      <c r="D295" s="6" t="n">
        <v>10</v>
      </c>
      <c r="E295" s="30" t="inlineStr">
        <is>
          <t>Geodude  Lv 27-30  (55%)</t>
        </is>
      </c>
      <c r="F295" s="30" t="inlineStr">
        <is>
          <t>Torkoal  Lv 28-30  (30%)</t>
        </is>
      </c>
      <c r="G295" s="30" t="inlineStr">
        <is>
          <t>Graveler  Lv 30-33  (15%)</t>
        </is>
      </c>
    </row>
    <row r="296">
      <c r="A296" s="7" t="inlineStr">
        <is>
          <t>Magma Hideout 3 F1R</t>
        </is>
      </c>
      <c r="B296" s="6" t="inlineStr">
        <is>
          <t>Split 5</t>
        </is>
      </c>
      <c r="C296" s="71" t="inlineStr">
        <is>
          <t>Land</t>
        </is>
      </c>
      <c r="D296" s="6" t="n">
        <v>10</v>
      </c>
      <c r="E296" s="30" t="inlineStr">
        <is>
          <t>Geodude  Lv 27-30  (55%)</t>
        </is>
      </c>
      <c r="F296" s="30" t="inlineStr">
        <is>
          <t>Torkoal  Lv 28-30  (30%)</t>
        </is>
      </c>
      <c r="G296" s="30" t="inlineStr">
        <is>
          <t>Graveler  Lv 30-33  (15%)</t>
        </is>
      </c>
    </row>
    <row r="297">
      <c r="A297" s="7" t="inlineStr">
        <is>
          <t>Magma Hideout 3 F2R</t>
        </is>
      </c>
      <c r="B297" s="6" t="inlineStr">
        <is>
          <t>Split 5</t>
        </is>
      </c>
      <c r="C297" s="71" t="inlineStr">
        <is>
          <t>Land</t>
        </is>
      </c>
      <c r="D297" s="6" t="n">
        <v>10</v>
      </c>
      <c r="E297" s="30" t="inlineStr">
        <is>
          <t>Geodude  Lv 27-30  (55%)</t>
        </is>
      </c>
      <c r="F297" s="30" t="inlineStr">
        <is>
          <t>Torkoal  Lv 28-30  (30%)</t>
        </is>
      </c>
      <c r="G297" s="30" t="inlineStr">
        <is>
          <t>Graveler  Lv 30-33  (15%)</t>
        </is>
      </c>
    </row>
    <row r="298">
      <c r="A298" s="7" t="inlineStr">
        <is>
          <t>Magma Hideout 4F</t>
        </is>
      </c>
      <c r="B298" s="6" t="inlineStr">
        <is>
          <t>Split 5</t>
        </is>
      </c>
      <c r="C298" s="71" t="inlineStr">
        <is>
          <t>Land</t>
        </is>
      </c>
      <c r="D298" s="6" t="n">
        <v>10</v>
      </c>
      <c r="E298" s="30" t="inlineStr">
        <is>
          <t>Geodude  Lv 27-30  (55%)</t>
        </is>
      </c>
      <c r="F298" s="30" t="inlineStr">
        <is>
          <t>Torkoal  Lv 28-30  (30%)</t>
        </is>
      </c>
      <c r="G298" s="30" t="inlineStr">
        <is>
          <t>Graveler  Lv 30-33  (15%)</t>
        </is>
      </c>
    </row>
    <row r="299">
      <c r="A299" s="7" t="inlineStr">
        <is>
          <t>Magma Hideout 3 F3R</t>
        </is>
      </c>
      <c r="B299" s="6" t="inlineStr">
        <is>
          <t>Split 5</t>
        </is>
      </c>
      <c r="C299" s="71" t="inlineStr">
        <is>
          <t>Land</t>
        </is>
      </c>
      <c r="D299" s="6" t="n">
        <v>10</v>
      </c>
      <c r="E299" s="30" t="inlineStr">
        <is>
          <t>Geodude  Lv 27-30  (55%)</t>
        </is>
      </c>
      <c r="F299" s="30" t="inlineStr">
        <is>
          <t>Torkoal  Lv 28-30  (30%)</t>
        </is>
      </c>
      <c r="G299" s="30" t="inlineStr">
        <is>
          <t>Graveler  Lv 30-33  (15%)</t>
        </is>
      </c>
    </row>
    <row r="300">
      <c r="A300" s="7" t="inlineStr">
        <is>
          <t>Magma Hideout 2 F3R</t>
        </is>
      </c>
      <c r="B300" s="6" t="inlineStr">
        <is>
          <t>Split 5</t>
        </is>
      </c>
      <c r="C300" s="71" t="inlineStr">
        <is>
          <t>Land</t>
        </is>
      </c>
      <c r="D300" s="6" t="n">
        <v>10</v>
      </c>
      <c r="E300" s="30" t="inlineStr">
        <is>
          <t>Geodude  Lv 27-30  (55%)</t>
        </is>
      </c>
      <c r="F300" s="30" t="inlineStr">
        <is>
          <t>Torkoal  Lv 28-30  (30%)</t>
        </is>
      </c>
      <c r="G300" s="30" t="inlineStr">
        <is>
          <t>Graveler  Lv 30-33  (15%)</t>
        </is>
      </c>
    </row>
    <row r="301">
      <c r="A301" s="7" t="inlineStr">
        <is>
          <t>Mirage Tower 1F</t>
        </is>
      </c>
      <c r="B301" s="6" t="inlineStr">
        <is>
          <t>Split 5</t>
        </is>
      </c>
      <c r="C301" s="71" t="inlineStr">
        <is>
          <t>Land</t>
        </is>
      </c>
      <c r="D301" s="6" t="n">
        <v>10</v>
      </c>
      <c r="E301" s="30" t="inlineStr">
        <is>
          <t>Sandshrew  Lv 20-24  (50%)</t>
        </is>
      </c>
      <c r="F301" s="30" t="inlineStr">
        <is>
          <t>Trapinch  Lv 20-24  (50%)</t>
        </is>
      </c>
    </row>
    <row r="302">
      <c r="A302" s="7" t="inlineStr">
        <is>
          <t>Mirage Tower 2F</t>
        </is>
      </c>
      <c r="B302" s="6" t="inlineStr">
        <is>
          <t>Split 5</t>
        </is>
      </c>
      <c r="C302" s="71" t="inlineStr">
        <is>
          <t>Land</t>
        </is>
      </c>
      <c r="D302" s="6" t="n">
        <v>10</v>
      </c>
      <c r="E302" s="30" t="inlineStr">
        <is>
          <t>Sandshrew  Lv 20-24  (50%)</t>
        </is>
      </c>
      <c r="F302" s="30" t="inlineStr">
        <is>
          <t>Trapinch  Lv 20-24  (50%)</t>
        </is>
      </c>
    </row>
    <row r="303">
      <c r="A303" s="7" t="inlineStr">
        <is>
          <t>Mirage Tower 3F</t>
        </is>
      </c>
      <c r="B303" s="6" t="inlineStr">
        <is>
          <t>Split 5</t>
        </is>
      </c>
      <c r="C303" s="71" t="inlineStr">
        <is>
          <t>Land</t>
        </is>
      </c>
      <c r="D303" s="6" t="n">
        <v>10</v>
      </c>
      <c r="E303" s="30" t="inlineStr">
        <is>
          <t>Sandshrew  Lv 20-24  (50%)</t>
        </is>
      </c>
      <c r="F303" s="30" t="inlineStr">
        <is>
          <t>Trapinch  Lv 20-24  (50%)</t>
        </is>
      </c>
    </row>
    <row r="304">
      <c r="A304" s="7" t="inlineStr">
        <is>
          <t>Mirage Tower 4F</t>
        </is>
      </c>
      <c r="B304" s="6" t="inlineStr">
        <is>
          <t>Split 5</t>
        </is>
      </c>
      <c r="C304" s="71" t="inlineStr">
        <is>
          <t>Land</t>
        </is>
      </c>
      <c r="D304" s="6" t="n">
        <v>10</v>
      </c>
      <c r="E304" s="30" t="inlineStr">
        <is>
          <t>Sandshrew  Lv 20-24  (50%)</t>
        </is>
      </c>
      <c r="F304" s="30" t="inlineStr">
        <is>
          <t>Trapinch  Lv 20-24  (50%)</t>
        </is>
      </c>
    </row>
    <row r="305">
      <c r="A305" s="7" t="inlineStr">
        <is>
          <t>Desert Underpass</t>
        </is>
      </c>
      <c r="B305" s="6" t="inlineStr">
        <is>
          <t>Postgame</t>
        </is>
      </c>
      <c r="C305" s="71" t="inlineStr">
        <is>
          <t>Land</t>
        </is>
      </c>
      <c r="D305" s="6" t="n">
        <v>10</v>
      </c>
      <c r="E305" s="30" t="inlineStr">
        <is>
          <t>Ditto  Lv 38-45  (50%)</t>
        </is>
      </c>
      <c r="F305" s="30" t="inlineStr">
        <is>
          <t>Whismur  Lv 35-38  (34%)</t>
        </is>
      </c>
      <c r="G305" s="30" t="inlineStr">
        <is>
          <t>Loudred  Lv 38-44  (16%)</t>
        </is>
      </c>
    </row>
    <row r="306">
      <c r="A306" s="7" t="inlineStr">
        <is>
          <t>Artisan Cave B1F</t>
        </is>
      </c>
      <c r="B306" s="6" t="inlineStr">
        <is>
          <t>Unassigned</t>
        </is>
      </c>
      <c r="C306" s="71" t="inlineStr">
        <is>
          <t>Land</t>
        </is>
      </c>
      <c r="D306" s="6" t="n">
        <v>10</v>
      </c>
      <c r="E306" s="30" t="inlineStr">
        <is>
          <t>Smeargle  Lv 40-50  (100%)</t>
        </is>
      </c>
    </row>
    <row r="307">
      <c r="A307" s="7" t="inlineStr">
        <is>
          <t>Artisan Cave 1F</t>
        </is>
      </c>
      <c r="B307" s="6" t="inlineStr">
        <is>
          <t>Unassigned</t>
        </is>
      </c>
      <c r="C307" s="71" t="inlineStr">
        <is>
          <t>Land</t>
        </is>
      </c>
      <c r="D307" s="6" t="n">
        <v>10</v>
      </c>
      <c r="E307" s="30" t="inlineStr">
        <is>
          <t>Smeargle  Lv 40-50  (100%)</t>
        </is>
      </c>
    </row>
    <row r="308">
      <c r="A308" s="7" t="inlineStr">
        <is>
          <t>Altering Cave</t>
        </is>
      </c>
      <c r="B308" s="6" t="inlineStr">
        <is>
          <t>Postgame</t>
        </is>
      </c>
      <c r="C308" s="71" t="inlineStr">
        <is>
          <t>Land</t>
        </is>
      </c>
      <c r="D308" s="6" t="n">
        <v>7</v>
      </c>
      <c r="E308" s="30" t="inlineStr">
        <is>
          <t>Zubat  Lv 6-16  (100%)</t>
        </is>
      </c>
      <c r="F308" s="30" t="inlineStr">
        <is>
          <t>Mareep  Lv 3-13  (100%)</t>
        </is>
      </c>
      <c r="G308" s="30" t="inlineStr">
        <is>
          <t>Pineco  Lv 19-29  (100%)</t>
        </is>
      </c>
      <c r="H308" s="30" t="inlineStr">
        <is>
          <t>Houndour  Lv 12-22  (100%)</t>
        </is>
      </c>
      <c r="I308" s="30" t="inlineStr">
        <is>
          <t>Teddiursa  Lv 6-16  (100%)</t>
        </is>
      </c>
      <c r="J308" s="30" t="inlineStr">
        <is>
          <t>Aipom  Lv 18-28  (100%)</t>
        </is>
      </c>
      <c r="K308" s="30" t="inlineStr">
        <is>
          <t>Shuckle  Lv 18-28  (100%)</t>
        </is>
      </c>
      <c r="L308" s="30" t="inlineStr">
        <is>
          <t>Stantler  Lv 18-28  (100%)</t>
        </is>
      </c>
    </row>
    <row r="309">
      <c r="E309" s="30" t="inlineStr">
        <is>
          <t>Smeargle  Lv 18-28  (100%)</t>
        </is>
      </c>
    </row>
    <row r="310">
      <c r="A310" s="7" t="inlineStr">
        <is>
          <t>Meteor Falls Stevens Cave</t>
        </is>
      </c>
      <c r="B310" s="6" t="inlineStr">
        <is>
          <t>Unassigned</t>
        </is>
      </c>
      <c r="C310" s="71" t="inlineStr">
        <is>
          <t>Land</t>
        </is>
      </c>
      <c r="D310" s="6" t="n">
        <v>10</v>
      </c>
      <c r="E310" s="30" t="inlineStr">
        <is>
          <t>Golbat  Lv 33-40  (65%)</t>
        </is>
      </c>
      <c r="F310" s="30" t="inlineStr">
        <is>
          <t>Solrock  Lv 33-39  (35%)</t>
        </is>
      </c>
    </row>
    <row r="311">
      <c r="A311" s="7" t="inlineStr">
        <is>
          <t>No map assigned (unused table)</t>
        </is>
      </c>
      <c r="B311" s="6" t="inlineStr">
        <is>
          <t>Unassigned</t>
        </is>
      </c>
      <c r="C311" s="71" t="inlineStr">
        <is>
          <t>Land</t>
        </is>
      </c>
      <c r="D311" s="6" t="n">
        <v>4</v>
      </c>
      <c r="E311" s="30" t="inlineStr">
        <is>
          <t>Charmeleon  Lv 5  (110%)</t>
        </is>
      </c>
      <c r="F311" s="30" t="inlineStr">
        <is>
          <t>Charmander  Lv 5  (100%)</t>
        </is>
      </c>
      <c r="G311" s="30" t="inlineStr">
        <is>
          <t>Venusaur  Lv 5  (95%)</t>
        </is>
      </c>
      <c r="H311" s="30" t="inlineStr">
        <is>
          <t>Charizard  Lv 5  (90%)</t>
        </is>
      </c>
      <c r="I311" s="30" t="inlineStr">
        <is>
          <t>Ivysaur  Lv 5  (80%)</t>
        </is>
      </c>
      <c r="J311" s="30" t="inlineStr">
        <is>
          <t>Bulbasaur  Lv 5  (60%)</t>
        </is>
      </c>
      <c r="K311" s="30" t="inlineStr">
        <is>
          <t>Squirtle  Lv 5  (40%)</t>
        </is>
      </c>
      <c r="L311" s="30" t="inlineStr">
        <is>
          <t>Wartortle  Lv 5  (25%)</t>
        </is>
      </c>
    </row>
    <row r="312">
      <c r="A312" s="7" t="n"/>
      <c r="B312" s="6" t="n"/>
      <c r="C312" s="71" t="inlineStr">
        <is>
          <t>Land</t>
        </is>
      </c>
      <c r="D312" s="6" t="n">
        <v>8</v>
      </c>
      <c r="E312" s="30" t="inlineStr">
        <is>
          <t>Wartortle  Lv 5  (40%)</t>
        </is>
      </c>
      <c r="F312" s="30" t="inlineStr">
        <is>
          <t>Squirtle  Lv 5  (30%)</t>
        </is>
      </c>
      <c r="G312" s="30" t="inlineStr">
        <is>
          <t>Charizard  Lv 5  (20%)</t>
        </is>
      </c>
      <c r="H312" s="30" t="inlineStr">
        <is>
          <t>Charmeleon  Lv 5  (10%)</t>
        </is>
      </c>
    </row>
    <row r="313">
      <c r="A313" s="7" t="n"/>
      <c r="B313" s="6" t="n"/>
      <c r="C313" s="71" t="inlineStr">
        <is>
          <t>Land</t>
        </is>
      </c>
      <c r="D313" s="6" t="n">
        <v>10</v>
      </c>
      <c r="E313" s="30" t="inlineStr">
        <is>
          <t>Seviper  Lv 5  (104%)</t>
        </is>
      </c>
      <c r="F313" s="30" t="inlineStr">
        <is>
          <t>Milotic  Lv 5  (104%)</t>
        </is>
      </c>
      <c r="G313" s="30" t="inlineStr">
        <is>
          <t>Dusclops  Lv 5  (48%)</t>
        </is>
      </c>
      <c r="H313" s="30" t="inlineStr">
        <is>
          <t>Electrode  Lv 5  (48%)</t>
        </is>
      </c>
      <c r="I313" s="30" t="inlineStr">
        <is>
          <t>Breloom  Lv 5  (48%)</t>
        </is>
      </c>
      <c r="J313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6" t="n">
        <v>2</v>
      </c>
      <c r="B3" s="76" t="inlineStr">
        <is>
          <t>Badge 2</t>
        </is>
      </c>
      <c r="C3" s="76" t="inlineStr">
        <is>
          <t>RustboroCity_Gym</t>
        </is>
      </c>
      <c r="D3" s="76" t="inlineStr">
        <is>
          <t>FLAG_BADGE02_GET</t>
        </is>
      </c>
      <c r="E3" s="76" t="inlineStr">
        <is>
          <t>Not enforced</t>
        </is>
      </c>
      <c r="F3" s="76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6" t="n">
        <v>4</v>
      </c>
      <c r="B5" s="76" t="inlineStr">
        <is>
          <t>Badge 4</t>
        </is>
      </c>
      <c r="C5" s="76" t="inlineStr">
        <is>
          <t>MauvilleCity_Gym</t>
        </is>
      </c>
      <c r="D5" s="76" t="inlineStr">
        <is>
          <t>FLAG_BADGE04_GET</t>
        </is>
      </c>
      <c r="E5" s="76" t="inlineStr">
        <is>
          <t>Not enforced</t>
        </is>
      </c>
      <c r="F5" s="76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6" t="n">
        <v>6</v>
      </c>
      <c r="B7" s="76" t="inlineStr">
        <is>
          <t>Badge 6</t>
        </is>
      </c>
      <c r="C7" s="76" t="inlineStr">
        <is>
          <t>FortreeCity_Gym</t>
        </is>
      </c>
      <c r="D7" s="76" t="inlineStr">
        <is>
          <t>FLAG_BADGE06_GET</t>
        </is>
      </c>
      <c r="E7" s="76" t="inlineStr">
        <is>
          <t>Not enforced</t>
        </is>
      </c>
      <c r="F7" s="76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6" t="n">
        <v>8</v>
      </c>
      <c r="B9" s="76" t="inlineStr">
        <is>
          <t>Badge 8</t>
        </is>
      </c>
      <c r="C9" s="76" t="inlineStr">
        <is>
          <t>SootopolisCity_Gym_1F</t>
        </is>
      </c>
      <c r="D9" s="76" t="inlineStr">
        <is>
          <t>FLAG_BADGE08_GET</t>
        </is>
      </c>
      <c r="E9" s="76" t="inlineStr">
        <is>
          <t>Not enforced</t>
        </is>
      </c>
      <c r="F9" s="76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6" t="n">
        <v>2</v>
      </c>
      <c r="B3" s="76" t="inlineStr">
        <is>
          <t>Littleroot Town - Starter Room</t>
        </is>
      </c>
      <c r="C3" s="76" t="inlineStr">
        <is>
          <t>Free gift: choose Chikorita, Cyndaquil or Totodile (Lv5)</t>
        </is>
      </c>
      <c r="D3" s="76" t="inlineStr">
        <is>
          <t>-</t>
        </is>
      </c>
      <c r="E3" s="76" t="inlineStr">
        <is>
          <t>Needs the Pokédex first; one pick only (FLAG_RECEIVED_STARTER_ROOM_JOHTO_MON)</t>
        </is>
      </c>
      <c r="F3" s="76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6" t="n">
        <v>4</v>
      </c>
      <c r="B5" s="76" t="inlineStr">
        <is>
          <t>Route 102</t>
        </is>
      </c>
      <c r="C5" s="76" t="inlineStr">
        <is>
          <t>Travel Oldale -&gt; Petalburg</t>
        </is>
      </c>
      <c r="D5" s="76" t="inlineStr">
        <is>
          <t>4 (Calvin, Rick, Tiana, Allen)</t>
        </is>
      </c>
      <c r="E5" s="76" t="inlineStr">
        <is>
          <t>No rival battle</t>
        </is>
      </c>
      <c r="F5" s="76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6" t="n">
        <v>6</v>
      </c>
      <c r="B7" s="76" t="inlineStr">
        <is>
          <t>Route 104 (south)</t>
        </is>
      </c>
      <c r="C7" s="76" t="inlineStr">
        <is>
          <t>Beat 4 trainers, then talk to Norman at (12,58)</t>
        </is>
      </c>
      <c r="D7" s="76" t="inlineStr">
        <is>
          <t>4 (Fisherman Darian, Youngster Billy, Magma Grunt, Aqua Grunt)</t>
        </is>
      </c>
      <c r="E7" s="76" t="inlineStr">
        <is>
          <t>Norman checks all four, then sets VAR_SPLIT1_STATE = 1 and leaves</t>
        </is>
      </c>
      <c r="F7" s="76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6" t="n">
        <v>8</v>
      </c>
      <c r="B9" s="76" t="inlineStr">
        <is>
          <t>Petalburg Coast (your "Shoal Cave")</t>
        </is>
      </c>
      <c r="C9" s="76" t="inlineStr">
        <is>
          <t>Everstone item ball, one-time Corphish Lv11, fisherman points to Viridian Forest once you have the stone</t>
        </is>
      </c>
      <c r="D9" s="76" t="inlineStr">
        <is>
          <t>None (Ronnie removed)</t>
        </is>
      </c>
      <c r="E9" s="76" t="inlineStr">
        <is>
          <t>Returning to Petalburg with the stone sets VAR_SPLIT1_STATE = 2</t>
        </is>
      </c>
      <c r="F9" s="76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6" t="n">
        <v>10</v>
      </c>
      <c r="B11" s="76" t="inlineStr">
        <is>
          <t>Petalburg City (return)</t>
        </is>
      </c>
      <c r="C11" s="76" t="inlineStr">
        <is>
          <t>Blocker gone; the rival battles on the tile in front of the gym door</t>
        </is>
      </c>
      <c r="D11" s="76" t="inlineStr">
        <is>
          <t>Rival - once</t>
        </is>
      </c>
      <c r="E11" s="76" t="inlineStr">
        <is>
          <t>Win sets VAR_SPLIT1_STATE = 3; a loss lets the rival challenge again</t>
        </is>
      </c>
      <c r="F11" s="76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6" t="n">
        <v>2</v>
      </c>
      <c r="B3" s="76" t="inlineStr">
        <is>
          <t>Petalburg Woods</t>
        </is>
      </c>
      <c r="C3" s="76" t="inlineStr">
        <is>
          <t>4 mandatory battles in path order; Team Aqua's worldview introduced</t>
        </is>
      </c>
      <c r="D3" s="76" t="inlineStr">
        <is>
          <t>Bug Catcher James, Aqua Grunt 1 (idealist), Grunt 2 (pragmatist), Grunt 3 (ends justify the means)</t>
        </is>
      </c>
      <c r="E3" s="76" t="inlineStr">
        <is>
          <t>Sight lines verified unavoidable; Devon researcher ambush removed; Lyle removed</t>
        </is>
      </c>
      <c r="F3" s="76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6" t="n">
        <v>4</v>
      </c>
      <c r="B5" s="76" t="inlineStr">
        <is>
          <t>Rustboro City</t>
        </is>
      </c>
      <c r="C5" s="76" t="inlineStr">
        <is>
          <t>NPC blocks the gym door (27,19): Roxanne went to Route 116</t>
        </is>
      </c>
      <c r="D5" s="76" t="inlineStr">
        <is>
          <t>-</t>
        </is>
      </c>
      <c r="E5" s="76" t="inlineStr">
        <is>
          <t>Blocker steps aside to (28,20) once FLAG_ROUTE116_ROXANNE_FOUND is set</t>
        </is>
      </c>
      <c r="F5" s="76" t="inlineStr">
        <is>
          <t>In ROM, not playtested yet</t>
        </is>
      </c>
    </row>
    <row r="6">
      <c r="A6" s="32" t="n">
        <v>5</v>
      </c>
      <c r="B6" s="32" t="inlineStr">
        <is>
          <t>Route 116 (east end)</t>
        </is>
      </c>
      <c r="C6" s="32" t="inlineStr">
        <is>
          <t>Meet Roxanne by the Rusturf Tunnel entrance; she heads back to her gym</t>
        </is>
      </c>
      <c r="D6" s="32" t="inlineStr">
        <is>
          <t>Existing trainers (unchanged)</t>
        </is>
      </c>
      <c r="E6" s="32" t="inlineStr">
        <is>
          <t>Trigger line x=43, y=9-13 sets FLAG_ROUTE116_ROXANNE_FOUND; Rusturf Tunnel stays optional</t>
        </is>
      </c>
      <c r="F6" s="32" t="inlineStr">
        <is>
          <t>In ROM, not playtested yet</t>
        </is>
      </c>
    </row>
    <row r="7">
      <c r="A7" s="76" t="n">
        <v>6</v>
      </c>
      <c r="B7" s="76" t="inlineStr">
        <is>
          <t>Rustboro Gym</t>
        </is>
      </c>
      <c r="C7" s="76" t="inlineStr">
        <is>
          <t>Gym trainers + Roxanne -&gt; Badge 2</t>
        </is>
      </c>
      <c r="D7" s="76" t="inlineStr">
        <is>
          <t>Existing (unchanged)</t>
        </is>
      </c>
      <c r="E7" s="76" t="inlineStr">
        <is>
          <t>FLAG_BADGE02_GET</t>
        </is>
      </c>
      <c r="F7" s="76" t="inlineStr">
        <is>
          <t>In ROM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7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7" t="inlineStr">
        <is>
          <t>Bug Catcher Sammy, Youngster Joey</t>
        </is>
      </c>
    </row>
    <row r="4">
      <c r="A4" s="7" t="inlineStr">
        <is>
          <t>Trainers at Route 102</t>
        </is>
      </c>
      <c r="B4" s="77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7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7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7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7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7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7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7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7" t="inlineStr">
        <is>
          <t>Everstone added at Petalburg Coast (replaces Oval Stone); HM06 Rock Smash added at Viridian Forest</t>
        </is>
      </c>
    </row>
    <row r="13">
      <c r="A13" s="78" t="inlineStr">
        <is>
          <t>FLAG: Not playtested</t>
        </is>
      </c>
      <c r="B13" s="77" t="inlineStr">
        <is>
          <t>Everything builds, but the Split 1 scripts and teams have not been played through yet.</t>
        </is>
      </c>
    </row>
    <row r="14">
      <c r="A14" s="78" t="inlineStr">
        <is>
          <t>FLAG: Trainer-only abilities</t>
        </is>
      </c>
      <c r="B14" s="77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8" t="inlineStr">
        <is>
          <t>FLAG: Weather setters</t>
        </is>
      </c>
      <c r="B15" s="77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8" t="inlineStr">
        <is>
          <t>FLAG: Level cap 16</t>
        </is>
      </c>
      <c r="B16" s="77" t="inlineStr">
        <is>
          <t>No level cap exists in the ROM (B_LEVEL_CAP_TYPE = LEVEL_CAP_NONE). Not implemented.</t>
        </is>
      </c>
    </row>
    <row r="17">
      <c r="A17" s="78" t="inlineStr">
        <is>
          <t>FLAG: Viridian Forest</t>
        </is>
      </c>
      <c r="B17" s="77" t="inlineStr">
        <is>
          <t>Now exactly two trainers. Bug Catcher Doug was removed from the map (his trainer data is unused).</t>
        </is>
      </c>
    </row>
    <row r="18">
      <c r="A18" s="78" t="inlineStr">
        <is>
          <t>FLAG: Everstone location</t>
        </is>
      </c>
      <c r="B18" s="77" t="inlineStr">
        <is>
          <t>Your plan says Shoal Cave; you confirmed Petalburg Coast.</t>
        </is>
      </c>
    </row>
    <row r="19">
      <c r="A19" s="78" t="inlineStr">
        <is>
          <t>FLAG: Route 104 extras</t>
        </is>
      </c>
      <c r="B19" s="77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2</t>
        </is>
      </c>
      <c r="D2" s="32" t="inlineStr">
        <is>
          <t>Split 2, Split 3</t>
        </is>
      </c>
      <c r="E2" s="32" t="inlineStr">
        <is>
          <t>MAP_GRANITE_CAVE_1F, MAP_GRANITE_CAVE_B1F, MAP_GRANITE_CAVE_B2F, MAP_GRANITE_CAVE_STEVENS_ROOM, MAP_ROUTE116</t>
        </is>
      </c>
      <c r="F2" s="32" t="n">
        <v>7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6" t="inlineStr">
        <is>
          <t>Absol</t>
        </is>
      </c>
      <c r="B3" s="76" t="inlineStr">
        <is>
          <t>Wild</t>
        </is>
      </c>
      <c r="C3" s="76" t="inlineStr">
        <is>
          <t>Split 7</t>
        </is>
      </c>
      <c r="D3" s="76" t="inlineStr">
        <is>
          <t>Split 7</t>
        </is>
      </c>
      <c r="E3" s="76" t="inlineStr">
        <is>
          <t>MAP_ROUTE120</t>
        </is>
      </c>
      <c r="F3" s="76" t="n">
        <v>25</v>
      </c>
      <c r="G3" s="76" t="n"/>
      <c r="H3" s="76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6" t="inlineStr">
        <is>
          <t>Altaria</t>
        </is>
      </c>
      <c r="B5" s="76" t="inlineStr">
        <is>
          <t>Wild</t>
        </is>
      </c>
      <c r="C5" s="76" t="inlineStr">
        <is>
          <t>Unassigned</t>
        </is>
      </c>
      <c r="D5" s="76" t="inlineStr">
        <is>
          <t>Unassigned</t>
        </is>
      </c>
      <c r="E5" s="76" t="inlineStr">
        <is>
          <t>MAP_SKY_PILLAR_5F</t>
        </is>
      </c>
      <c r="F5" s="76" t="n">
        <v>38</v>
      </c>
      <c r="G5" s="76" t="n"/>
      <c r="H5" s="76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6" t="inlineStr">
        <is>
          <t>Aron</t>
        </is>
      </c>
      <c r="B7" s="76" t="inlineStr">
        <is>
          <t>Wild</t>
        </is>
      </c>
      <c r="C7" s="76" t="inlineStr">
        <is>
          <t>Split 3</t>
        </is>
      </c>
      <c r="D7" s="76" t="inlineStr">
        <is>
          <t>Split 3, Elite Four &amp; Champion</t>
        </is>
      </c>
      <c r="E7" s="76" t="inlineStr">
        <is>
          <t>MAP_GRANITE_CAVE_B1F, MAP_GRANITE_CAVE_B2F, MAP_GRANITE_CAVE_STEVENS_ROOM, MAP_VICTORY_ROAD_1F</t>
        </is>
      </c>
      <c r="F7" s="76" t="n">
        <v>7</v>
      </c>
      <c r="G7" s="76" t="inlineStr">
        <is>
          <t>Lv 32 -&gt; Lairon</t>
        </is>
      </c>
      <c r="H7" s="76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6" t="inlineStr">
        <is>
          <t>Baltoy</t>
        </is>
      </c>
      <c r="B9" s="76" t="inlineStr">
        <is>
          <t>Wild</t>
        </is>
      </c>
      <c r="C9" s="76" t="inlineStr">
        <is>
          <t>Split 5</t>
        </is>
      </c>
      <c r="D9" s="76" t="inlineStr">
        <is>
          <t>Split 5</t>
        </is>
      </c>
      <c r="E9" s="76" t="inlineStr">
        <is>
          <t>MAP_ROUTE111</t>
        </is>
      </c>
      <c r="F9" s="76" t="n">
        <v>19</v>
      </c>
      <c r="G9" s="76" t="inlineStr">
        <is>
          <t>Lv 36 -&gt; Claydol</t>
        </is>
      </c>
      <c r="H9" s="76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6" t="inlineStr">
        <is>
          <t>Barboach</t>
        </is>
      </c>
      <c r="B11" s="76" t="inlineStr">
        <is>
          <t>Wild</t>
        </is>
      </c>
      <c r="C11" s="76" t="inlineStr">
        <is>
          <t>Split 5</t>
        </is>
      </c>
      <c r="D11" s="76" t="inlineStr">
        <is>
          <t>Split 5, Split 7, Elite Four &amp; Champion, Unassigned</t>
        </is>
      </c>
      <c r="E11" s="76" t="inlineStr">
        <is>
          <t>MAP_METEOR_FALLS_1F_1R, MAP_METEOR_FALLS_1F_2R, MAP_METEOR_FALLS_B1F_1R, MAP_METEOR_FALLS_B1F_2R, MAP_ROUTE111, MAP_ROUTE114, MAP_ROUTE120, MAP_VICTORY_ROAD_B2F</t>
        </is>
      </c>
      <c r="F11" s="76" t="n">
        <v>10</v>
      </c>
      <c r="G11" s="76" t="inlineStr">
        <is>
          <t>Lv 30 -&gt; Whiscash</t>
        </is>
      </c>
      <c r="H11" s="76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6" t="inlineStr">
        <is>
          <t>Breloom</t>
        </is>
      </c>
      <c r="B13" s="76" t="inlineStr">
        <is>
          <t>Wild</t>
        </is>
      </c>
      <c r="C13" s="76" t="inlineStr">
        <is>
          <t>Unassigned</t>
        </is>
      </c>
      <c r="D13" s="76" t="inlineStr">
        <is>
          <t>Unassigned</t>
        </is>
      </c>
      <c r="E13" s="76" t="n"/>
      <c r="F13" s="76" t="n">
        <v>5</v>
      </c>
      <c r="G13" s="76" t="n"/>
      <c r="H13" s="76" t="inlineStr">
        <is>
          <t>see Evolution Changes sheet</t>
        </is>
      </c>
    </row>
    <row r="14">
      <c r="A14" s="32" t="inlineStr">
        <is>
          <t>Bulbasaur</t>
        </is>
      </c>
      <c r="B14" s="32" t="inlineStr">
        <is>
          <t>Wild</t>
        </is>
      </c>
      <c r="C14" s="32" t="inlineStr">
        <is>
          <t>Unassigned</t>
        </is>
      </c>
      <c r="D14" s="32" t="inlineStr">
        <is>
          <t>Unassigned</t>
        </is>
      </c>
      <c r="E14" s="32" t="n"/>
      <c r="F14" s="32" t="n">
        <v>5</v>
      </c>
      <c r="G14" s="32" t="inlineStr">
        <is>
          <t>Lv 16 -&gt; Ivysaur</t>
        </is>
      </c>
      <c r="H14" s="32" t="inlineStr">
        <is>
          <t>see Evolution Changes sheet</t>
        </is>
      </c>
    </row>
    <row r="15">
      <c r="A15" s="76" t="inlineStr">
        <is>
          <t>Cacnea</t>
        </is>
      </c>
      <c r="B15" s="76" t="inlineStr">
        <is>
          <t>Wild</t>
        </is>
      </c>
      <c r="C15" s="76" t="inlineStr">
        <is>
          <t>Split 5</t>
        </is>
      </c>
      <c r="D15" s="76" t="inlineStr">
        <is>
          <t>Split 5</t>
        </is>
      </c>
      <c r="E15" s="76" t="inlineStr">
        <is>
          <t>MAP_ROUTE111</t>
        </is>
      </c>
      <c r="F15" s="76" t="n">
        <v>20</v>
      </c>
      <c r="G15" s="76" t="inlineStr">
        <is>
          <t>Lv 32 -&gt; Cacturne</t>
        </is>
      </c>
      <c r="H15" s="76" t="inlineStr">
        <is>
          <t>see Evolution Changes sheet</t>
        </is>
      </c>
    </row>
    <row r="16">
      <c r="A16" s="32" t="inlineStr">
        <is>
          <t>Carvanha</t>
        </is>
      </c>
      <c r="B16" s="32" t="inlineStr">
        <is>
          <t>Wild</t>
        </is>
      </c>
      <c r="C16" s="32" t="inlineStr">
        <is>
          <t>Split 6</t>
        </is>
      </c>
      <c r="D16" s="32" t="inlineStr">
        <is>
          <t>Split 6</t>
        </is>
      </c>
      <c r="E16" s="32" t="inlineStr">
        <is>
          <t>MAP_ROUTE118, MAP_ROUTE119</t>
        </is>
      </c>
      <c r="F16" s="32" t="n">
        <v>10</v>
      </c>
      <c r="G16" s="32" t="inlineStr">
        <is>
          <t>Lv 30 -&gt; Sharpedo</t>
        </is>
      </c>
      <c r="H16" s="32" t="inlineStr">
        <is>
          <t>see Evolution Changes sheet</t>
        </is>
      </c>
    </row>
    <row r="17">
      <c r="A17" s="76" t="inlineStr">
        <is>
          <t>Cascoon</t>
        </is>
      </c>
      <c r="B17" s="76" t="inlineStr">
        <is>
          <t>Wild</t>
        </is>
      </c>
      <c r="C17" s="76" t="inlineStr">
        <is>
          <t>Split 2</t>
        </is>
      </c>
      <c r="D17" s="76" t="inlineStr">
        <is>
          <t>Split 2</t>
        </is>
      </c>
      <c r="E17" s="76" t="inlineStr">
        <is>
          <t>MAP_PETALBURG_WOODS</t>
        </is>
      </c>
      <c r="F17" s="76" t="n">
        <v>5</v>
      </c>
      <c r="G17" s="76" t="inlineStr">
        <is>
          <t>Lv 10 -&gt; Dustox</t>
        </is>
      </c>
      <c r="H17" s="76" t="inlineStr">
        <is>
          <t>see Evolution Changes sheet</t>
        </is>
      </c>
    </row>
    <row r="18">
      <c r="A18" s="32" t="inlineStr">
        <is>
          <t>Caterpie</t>
        </is>
      </c>
      <c r="B18" s="32" t="inlineStr">
        <is>
          <t>Wild</t>
        </is>
      </c>
      <c r="C18" s="32" t="inlineStr">
        <is>
          <t>Split 1</t>
        </is>
      </c>
      <c r="D18" s="32" t="inlineStr">
        <is>
          <t>Split 1</t>
        </is>
      </c>
      <c r="E18" s="32" t="inlineStr">
        <is>
          <t>MAP_VIRIDIAN_FOREST</t>
        </is>
      </c>
      <c r="F18" s="32" t="n">
        <v>9</v>
      </c>
      <c r="G18" s="32" t="inlineStr">
        <is>
          <t>Lv 7 -&gt; Metapod</t>
        </is>
      </c>
      <c r="H18" s="32" t="inlineStr">
        <is>
          <t>see Evolution Changes sheet</t>
        </is>
      </c>
    </row>
    <row r="19">
      <c r="A19" s="76" t="inlineStr">
        <is>
          <t>Charizard</t>
        </is>
      </c>
      <c r="B19" s="76" t="inlineStr">
        <is>
          <t>Wild</t>
        </is>
      </c>
      <c r="C19" s="76" t="inlineStr">
        <is>
          <t>Unassigned</t>
        </is>
      </c>
      <c r="D19" s="76" t="inlineStr">
        <is>
          <t>Unassigned</t>
        </is>
      </c>
      <c r="E19" s="76" t="n"/>
      <c r="F19" s="76" t="n">
        <v>5</v>
      </c>
      <c r="G19" s="76" t="n"/>
      <c r="H19" s="76" t="inlineStr">
        <is>
          <t>see Evolution Changes sheet</t>
        </is>
      </c>
    </row>
    <row r="20">
      <c r="A20" s="32" t="inlineStr">
        <is>
          <t>Charmander</t>
        </is>
      </c>
      <c r="B20" s="32" t="inlineStr">
        <is>
          <t>Wild</t>
        </is>
      </c>
      <c r="C20" s="32" t="inlineStr">
        <is>
          <t>Unassigned</t>
        </is>
      </c>
      <c r="D20" s="32" t="inlineStr">
        <is>
          <t>Unassigned</t>
        </is>
      </c>
      <c r="E20" s="32" t="n"/>
      <c r="F20" s="32" t="n">
        <v>5</v>
      </c>
      <c r="G20" s="32" t="inlineStr">
        <is>
          <t>Lv 16 -&gt; Charmeleon</t>
        </is>
      </c>
      <c r="H20" s="32" t="inlineStr">
        <is>
          <t>see Evolution Changes sheet</t>
        </is>
      </c>
    </row>
    <row r="21">
      <c r="A21" s="76" t="inlineStr">
        <is>
          <t>Charmeleon</t>
        </is>
      </c>
      <c r="B21" s="76" t="inlineStr">
        <is>
          <t>Wild</t>
        </is>
      </c>
      <c r="C21" s="76" t="inlineStr">
        <is>
          <t>Unassigned</t>
        </is>
      </c>
      <c r="D21" s="76" t="inlineStr">
        <is>
          <t>Unassigned</t>
        </is>
      </c>
      <c r="E21" s="76" t="n"/>
      <c r="F21" s="76" t="n">
        <v>5</v>
      </c>
      <c r="G21" s="76" t="inlineStr">
        <is>
          <t>Lv 36 -&gt; Charizard</t>
        </is>
      </c>
      <c r="H21" s="76" t="inlineStr">
        <is>
          <t>see Evolution Changes sheet</t>
        </is>
      </c>
    </row>
    <row r="22">
      <c r="A22" s="32" t="inlineStr">
        <is>
          <t>Chikorita</t>
        </is>
      </c>
      <c r="B22" s="32" t="inlineStr">
        <is>
          <t>Gift, Trade</t>
        </is>
      </c>
      <c r="C22" s="32" t="inlineStr">
        <is>
          <t>Split 1</t>
        </is>
      </c>
      <c r="D22" s="32" t="inlineStr">
        <is>
          <t>Split 1, Unassigned</t>
        </is>
      </c>
      <c r="E22" s="32" t="inlineStr">
        <is>
          <t>LittlerootTown_ProfessorBirchsLab, StarterRoom</t>
        </is>
      </c>
      <c r="F22" s="32" t="n"/>
      <c r="G22" s="32" t="inlineStr">
        <is>
          <t>Lv 16 -&gt; Bayleef</t>
        </is>
      </c>
      <c r="H22" s="32" t="inlineStr">
        <is>
          <t>see Evolution Changes sheet</t>
        </is>
      </c>
    </row>
    <row r="23">
      <c r="A23" s="76" t="inlineStr">
        <is>
          <t>Chimecho</t>
        </is>
      </c>
      <c r="B23" s="76" t="inlineStr">
        <is>
          <t>Wild</t>
        </is>
      </c>
      <c r="C23" s="76" t="inlineStr">
        <is>
          <t>Split 7</t>
        </is>
      </c>
      <c r="D23" s="76" t="inlineStr">
        <is>
          <t>Split 7</t>
        </is>
      </c>
      <c r="E23" s="76" t="inlineStr">
        <is>
          <t>MAP_MT_PYRE_SUMMIT</t>
        </is>
      </c>
      <c r="F23" s="76" t="n">
        <v>28</v>
      </c>
      <c r="G23" s="76" t="n"/>
      <c r="H23" s="76" t="inlineStr">
        <is>
          <t>see Evolution Changes sheet</t>
        </is>
      </c>
    </row>
    <row r="24">
      <c r="A24" s="32" t="inlineStr">
        <is>
          <t>Chinchou</t>
        </is>
      </c>
      <c r="B24" s="32" t="inlineStr">
        <is>
          <t>Wild</t>
        </is>
      </c>
      <c r="C24" s="32" t="inlineStr">
        <is>
          <t>Unassigned</t>
        </is>
      </c>
      <c r="D24" s="32" t="inlineStr">
        <is>
          <t>Unassigned</t>
        </is>
      </c>
      <c r="E24" s="32" t="inlineStr">
        <is>
          <t>MAP_UNDERWATER_ROUTE124, MAP_UNDERWATER_ROUTE126</t>
        </is>
      </c>
      <c r="F24" s="32" t="n">
        <v>20</v>
      </c>
      <c r="G24" s="32" t="inlineStr">
        <is>
          <t>Lv 27 -&gt; Lanturn</t>
        </is>
      </c>
      <c r="H24" s="32" t="inlineStr">
        <is>
          <t>see Evolution Changes sheet</t>
        </is>
      </c>
    </row>
    <row r="25">
      <c r="A25" s="76" t="inlineStr">
        <is>
          <t>Clamperl</t>
        </is>
      </c>
      <c r="B25" s="76" t="inlineStr">
        <is>
          <t>Wild</t>
        </is>
      </c>
      <c r="C25" s="76" t="inlineStr">
        <is>
          <t>Unassigned</t>
        </is>
      </c>
      <c r="D25" s="76" t="inlineStr">
        <is>
          <t>Unassigned</t>
        </is>
      </c>
      <c r="E25" s="76" t="inlineStr">
        <is>
          <t>MAP_UNDERWATER_ROUTE124, MAP_UNDERWATER_ROUTE126</t>
        </is>
      </c>
      <c r="F25" s="76" t="n">
        <v>20</v>
      </c>
      <c r="G25" s="76" t="inlineStr">
        <is>
          <t>Trade Item (Deep Sea Tooth) -&gt; Huntail; Trade Item (Deep Sea Scale) -&gt; Gorebyss; Item (Deep Sea Tooth) -&gt; Huntail; Item (Deep Sea Scale) -&gt; Gorebyss</t>
        </is>
      </c>
      <c r="H25" s="76" t="inlineStr">
        <is>
          <t>see Evolution Changes sheet</t>
        </is>
      </c>
    </row>
    <row r="26">
      <c r="A26" s="32" t="inlineStr">
        <is>
          <t>Claydol</t>
        </is>
      </c>
      <c r="B26" s="32" t="inlineStr">
        <is>
          <t>Wild</t>
        </is>
      </c>
      <c r="C26" s="32" t="inlineStr">
        <is>
          <t>Unassigned</t>
        </is>
      </c>
      <c r="D26" s="32" t="inlineStr">
        <is>
          <t>Unassigned</t>
        </is>
      </c>
      <c r="E26" s="32" t="inlineStr">
        <is>
          <t>MAP_SKY_PILLAR_1F, MAP_SKY_PILLAR_3F, MAP_SKY_PILLAR_5F</t>
        </is>
      </c>
      <c r="F26" s="32" t="n">
        <v>36</v>
      </c>
      <c r="G26" s="32" t="n"/>
      <c r="H26" s="32" t="inlineStr">
        <is>
          <t>see Evolution Changes sheet</t>
        </is>
      </c>
    </row>
    <row r="27">
      <c r="A27" s="76" t="inlineStr">
        <is>
          <t>Corphish</t>
        </is>
      </c>
      <c r="B27" s="76" t="inlineStr">
        <is>
          <t>Wild</t>
        </is>
      </c>
      <c r="C27" s="76" t="inlineStr">
        <is>
          <t>Split 1</t>
        </is>
      </c>
      <c r="D27" s="76" t="inlineStr">
        <is>
          <t>Split 1, Split 4</t>
        </is>
      </c>
      <c r="E27" s="76" t="inlineStr">
        <is>
          <t>MAP_PETALBURG_CITY, MAP_ROUTE102, MAP_ROUTE117</t>
        </is>
      </c>
      <c r="F27" s="76" t="n">
        <v>10</v>
      </c>
      <c r="G27" s="76" t="inlineStr">
        <is>
          <t>Lv 30 -&gt; Crawdaunt</t>
        </is>
      </c>
      <c r="H27" s="76" t="inlineStr">
        <is>
          <t>see Evolution Changes sheet</t>
        </is>
      </c>
    </row>
    <row r="28">
      <c r="A28" s="32" t="inlineStr">
        <is>
          <t>Corsola</t>
        </is>
      </c>
      <c r="B28" s="32" t="inlineStr">
        <is>
          <t>Wild</t>
        </is>
      </c>
      <c r="C28" s="32" t="inlineStr">
        <is>
          <t>Split 8</t>
        </is>
      </c>
      <c r="D28" s="32" t="inlineStr">
        <is>
          <t>Split 8, Elite Four &amp; Champion</t>
        </is>
      </c>
      <c r="E28" s="32" t="inlineStr">
        <is>
          <t>MAP_EVER_GRANDE_CITY, MAP_ROUTE128</t>
        </is>
      </c>
      <c r="F28" s="32" t="n">
        <v>30</v>
      </c>
      <c r="G28" s="32" t="n"/>
      <c r="H28" s="32" t="inlineStr">
        <is>
          <t>see Evolution Changes sheet</t>
        </is>
      </c>
    </row>
    <row r="29">
      <c r="A29" s="76" t="inlineStr">
        <is>
          <t>Cyndaquil</t>
        </is>
      </c>
      <c r="B29" s="76" t="inlineStr">
        <is>
          <t>Gift, Trade</t>
        </is>
      </c>
      <c r="C29" s="76" t="inlineStr">
        <is>
          <t>Split 1</t>
        </is>
      </c>
      <c r="D29" s="76" t="inlineStr">
        <is>
          <t>Split 1, Unassigned</t>
        </is>
      </c>
      <c r="E29" s="76" t="inlineStr">
        <is>
          <t>LittlerootTown_ProfessorBirchsLab, StarterRoom</t>
        </is>
      </c>
      <c r="F29" s="76" t="n"/>
      <c r="G29" s="76" t="inlineStr">
        <is>
          <t>Lv 14 -&gt; Quilava</t>
        </is>
      </c>
      <c r="H29" s="76" t="inlineStr">
        <is>
          <t>see Evolution Changes sheet</t>
        </is>
      </c>
    </row>
    <row r="30">
      <c r="A30" s="32" t="inlineStr">
        <is>
          <t>Ditto</t>
        </is>
      </c>
      <c r="B30" s="32" t="inlineStr">
        <is>
          <t>Wild</t>
        </is>
      </c>
      <c r="C30" s="32" t="inlineStr">
        <is>
          <t>Postgame</t>
        </is>
      </c>
      <c r="D30" s="32" t="inlineStr">
        <is>
          <t>Postgame</t>
        </is>
      </c>
      <c r="E30" s="32" t="inlineStr">
        <is>
          <t>MAP_DESERT_UNDERPASS</t>
        </is>
      </c>
      <c r="F30" s="32" t="n">
        <v>38</v>
      </c>
      <c r="G30" s="32" t="n"/>
      <c r="H30" s="32" t="inlineStr">
        <is>
          <t>see Evolution Changes sheet</t>
        </is>
      </c>
    </row>
    <row r="31">
      <c r="A31" s="76" t="inlineStr">
        <is>
          <t>Dodrio</t>
        </is>
      </c>
      <c r="B31" s="76" t="inlineStr">
        <is>
          <t>Wild</t>
        </is>
      </c>
      <c r="C31" s="76" t="inlineStr">
        <is>
          <t>Postgame</t>
        </is>
      </c>
      <c r="D31" s="76" t="inlineStr">
        <is>
          <t>Postgame</t>
        </is>
      </c>
      <c r="E31" s="76" t="inlineStr">
        <is>
          <t>MAP_SAFARI_ZONE_NORTHWEST</t>
        </is>
      </c>
      <c r="F31" s="76" t="n">
        <v>29</v>
      </c>
      <c r="G31" s="76" t="n"/>
      <c r="H31" s="76" t="inlineStr">
        <is>
          <t>see Evolution Changes sheet</t>
        </is>
      </c>
    </row>
    <row r="32">
      <c r="A32" s="32" t="inlineStr">
        <is>
          <t>Doduo</t>
        </is>
      </c>
      <c r="B32" s="32" t="inlineStr">
        <is>
          <t>Wild</t>
        </is>
      </c>
      <c r="C32" s="32" t="inlineStr">
        <is>
          <t>Postgame</t>
        </is>
      </c>
      <c r="D32" s="32" t="inlineStr">
        <is>
          <t>Postgame</t>
        </is>
      </c>
      <c r="E32" s="32" t="inlineStr">
        <is>
          <t>MAP_SAFARI_ZONE_NORTHWEST, MAP_SAFARI_ZONE_SOUTH, MAP_SAFARI_ZONE_SOUTHWEST</t>
        </is>
      </c>
      <c r="F32" s="32" t="n">
        <v>25</v>
      </c>
      <c r="G32" s="32" t="inlineStr">
        <is>
          <t>Lv 31 -&gt; Dodrio</t>
        </is>
      </c>
      <c r="H32" s="32" t="inlineStr">
        <is>
          <t>see Evolution Changes sheet</t>
        </is>
      </c>
    </row>
    <row r="33">
      <c r="A33" s="76" t="inlineStr">
        <is>
          <t>Dusclops</t>
        </is>
      </c>
      <c r="B33" s="76" t="inlineStr">
        <is>
          <t>Wild</t>
        </is>
      </c>
      <c r="C33" s="76" t="inlineStr">
        <is>
          <t>Unassigned</t>
        </is>
      </c>
      <c r="D33" s="76" t="inlineStr">
        <is>
          <t>Unassigned</t>
        </is>
      </c>
      <c r="E33" s="76" t="n"/>
      <c r="F33" s="76" t="n">
        <v>5</v>
      </c>
      <c r="G33" s="76" t="inlineStr">
        <is>
          <t>Trade Item (Reaper Cloth) -&gt; Dusknoir; Item (Reaper Cloth) -&gt; Dusknoir</t>
        </is>
      </c>
      <c r="H33" s="76" t="inlineStr">
        <is>
          <t>see Evolution Changes sheet</t>
        </is>
      </c>
    </row>
    <row r="34">
      <c r="A34" s="32" t="inlineStr">
        <is>
          <t>Duskull</t>
        </is>
      </c>
      <c r="B34" s="32" t="inlineStr">
        <is>
          <t>Wild</t>
        </is>
      </c>
      <c r="C34" s="32" t="inlineStr">
        <is>
          <t>Split 7</t>
        </is>
      </c>
      <c r="D34" s="32" t="inlineStr">
        <is>
          <t>Split 7</t>
        </is>
      </c>
      <c r="E34" s="32" t="inlineStr">
        <is>
          <t>MAP_MT_PYRE_4F, MAP_MT_PYRE_5F, MAP_MT_PYRE_6F, MAP_MT_PYRE_SUMMIT</t>
        </is>
      </c>
      <c r="F34" s="32" t="n">
        <v>25</v>
      </c>
      <c r="G34" s="32" t="inlineStr">
        <is>
          <t>Lv 37 -&gt; Dusclops</t>
        </is>
      </c>
      <c r="H34" s="32" t="inlineStr">
        <is>
          <t>see Evolution Changes sheet</t>
        </is>
      </c>
    </row>
    <row r="35">
      <c r="A35" s="76" t="inlineStr">
        <is>
          <t>Dwebble</t>
        </is>
      </c>
      <c r="B35" s="76" t="inlineStr">
        <is>
          <t>Gift</t>
        </is>
      </c>
      <c r="C35" s="76" t="inlineStr">
        <is>
          <t>Split 3</t>
        </is>
      </c>
      <c r="D35" s="76" t="inlineStr">
        <is>
          <t>Split 3</t>
        </is>
      </c>
      <c r="E35" s="76" t="inlineStr">
        <is>
          <t>GraniteShore</t>
        </is>
      </c>
      <c r="F35" s="76" t="n"/>
      <c r="G35" s="76" t="inlineStr">
        <is>
          <t>Lv 26 -&gt; Crustle</t>
        </is>
      </c>
      <c r="H35" s="76" t="inlineStr">
        <is>
          <t>see Evolution Changes sheet</t>
        </is>
      </c>
    </row>
    <row r="36">
      <c r="A36" s="32" t="inlineStr">
        <is>
          <t>Electrike</t>
        </is>
      </c>
      <c r="B36" s="32" t="inlineStr">
        <is>
          <t>Wild</t>
        </is>
      </c>
      <c r="C36" s="32" t="inlineStr">
        <is>
          <t>Split 4</t>
        </is>
      </c>
      <c r="D36" s="32" t="inlineStr">
        <is>
          <t>Split 4, Split 6</t>
        </is>
      </c>
      <c r="E36" s="32" t="inlineStr">
        <is>
          <t>MAP_ROUTE110, MAP_ROUTE118</t>
        </is>
      </c>
      <c r="F36" s="32" t="n">
        <v>12</v>
      </c>
      <c r="G36" s="32" t="inlineStr">
        <is>
          <t>Lv 26 -&gt; Manectric</t>
        </is>
      </c>
      <c r="H36" s="32" t="inlineStr">
        <is>
          <t>see Evolution Changes sheet</t>
        </is>
      </c>
    </row>
    <row r="37">
      <c r="A37" s="76" t="inlineStr">
        <is>
          <t>Electrode</t>
        </is>
      </c>
      <c r="B37" s="76" t="inlineStr">
        <is>
          <t>Wild</t>
        </is>
      </c>
      <c r="C37" s="76" t="inlineStr">
        <is>
          <t>Split 4</t>
        </is>
      </c>
      <c r="D37" s="76" t="inlineStr">
        <is>
          <t>Split 4, Unassigned</t>
        </is>
      </c>
      <c r="E37" s="76" t="inlineStr">
        <is>
          <t>MAP_NEW_MAUVILLE_INSIDE</t>
        </is>
      </c>
      <c r="F37" s="76" t="n">
        <v>5</v>
      </c>
      <c r="G37" s="76" t="n"/>
      <c r="H37" s="76" t="inlineStr">
        <is>
          <t>see Evolution Changes sheet</t>
        </is>
      </c>
    </row>
    <row r="38">
      <c r="A38" s="32" t="inlineStr">
        <is>
          <t>Geodude</t>
        </is>
      </c>
      <c r="B38" s="32" t="inlineStr">
        <is>
          <t>Wild</t>
        </is>
      </c>
      <c r="C38" s="32" t="inlineStr">
        <is>
          <t>Split 3</t>
        </is>
      </c>
      <c r="D38" s="32" t="inlineStr">
        <is>
          <t>Split 3, Split 5, Elite Four &amp; Champion, Postgame</t>
        </is>
      </c>
      <c r="E38" s="32" t="inlineStr">
        <is>
          <t>MAP_GRANITE_CAVE_1F, MAP_GRANITE_CAVE_B2F, MAP_MAGMA_HIDEOUT_1F, MAP_MAGMA_HIDEOUT_2F_1R, MAP_MAGMA_HIDEOUT_2F_2R, MAP_MAGMA_HIDEOUT_2F_3R, MAP_MAGMA_HIDEOUT_3F_1R, MAP_MAGMA_HIDEOUT_3F_2R, MAP_MAGMA_HIDEOUT_3F_3R, MAP_MAGMA_HIDEOUT_4F, MAP_ROUTE111,</t>
        </is>
      </c>
      <c r="F38" s="32" t="n">
        <v>5</v>
      </c>
      <c r="G38" s="32" t="inlineStr">
        <is>
          <t>Lv 25 -&gt; Graveler</t>
        </is>
      </c>
      <c r="H38" s="32" t="inlineStr">
        <is>
          <t>see Evolution Changes sheet</t>
        </is>
      </c>
    </row>
    <row r="39">
      <c r="A39" s="76" t="inlineStr">
        <is>
          <t>Girafarig</t>
        </is>
      </c>
      <c r="B39" s="76" t="inlineStr">
        <is>
          <t>Wild</t>
        </is>
      </c>
      <c r="C39" s="76" t="inlineStr">
        <is>
          <t>Postgame</t>
        </is>
      </c>
      <c r="D39" s="76" t="inlineStr">
        <is>
          <t>Postgame</t>
        </is>
      </c>
      <c r="E39" s="76" t="inlineStr">
        <is>
          <t>MAP_SAFARI_ZONE_SOUTH, MAP_SAFARI_ZONE_SOUTHWEST</t>
        </is>
      </c>
      <c r="F39" s="76" t="n">
        <v>25</v>
      </c>
      <c r="G39" s="76" t="inlineStr">
        <is>
          <t>Move MOVE_TWIN_BEAM -&gt; Farigiraf</t>
        </is>
      </c>
      <c r="H39" s="76" t="inlineStr">
        <is>
          <t>see Evolution Changes sheet</t>
        </is>
      </c>
    </row>
    <row r="40">
      <c r="A40" s="32" t="inlineStr">
        <is>
          <t>Gligar</t>
        </is>
      </c>
      <c r="B40" s="32" t="inlineStr">
        <is>
          <t>Wild</t>
        </is>
      </c>
      <c r="C40" s="32" t="inlineStr">
        <is>
          <t>Postgame</t>
        </is>
      </c>
      <c r="D40" s="32" t="inlineStr">
        <is>
          <t>Postgame</t>
        </is>
      </c>
      <c r="E40" s="32" t="inlineStr">
        <is>
          <t>MAP_SAFARI_ZONE_SOUTHEAST</t>
        </is>
      </c>
      <c r="F40" s="32" t="n">
        <v>37</v>
      </c>
      <c r="G40" s="32" t="inlineStr">
        <is>
          <t>Item Hold Night (Razor Fang) -&gt; Gliscor; Item Night (Razor Fang) -&gt; Gliscor</t>
        </is>
      </c>
      <c r="H40" s="32" t="inlineStr">
        <is>
          <t>see Evolution Changes sheet</t>
        </is>
      </c>
    </row>
    <row r="41">
      <c r="A41" s="76" t="inlineStr">
        <is>
          <t>Gloom</t>
        </is>
      </c>
      <c r="B41" s="76" t="inlineStr">
        <is>
          <t>Wild</t>
        </is>
      </c>
      <c r="C41" s="76" t="inlineStr">
        <is>
          <t>Split 7</t>
        </is>
      </c>
      <c r="D41" s="76" t="inlineStr">
        <is>
          <t>Split 7, Postgame</t>
        </is>
      </c>
      <c r="E41" s="76" t="inlineStr">
        <is>
          <t>MAP_ROUTE121, MAP_ROUTE123, MAP_SAFARI_ZONE_NORTH, MAP_SAFARI_ZONE_NORTHWEST, MAP_SAFARI_ZONE_SOUTH, MAP_SAFARI_ZONE_SOUTHWEST</t>
        </is>
      </c>
      <c r="F41" s="76" t="n">
        <v>25</v>
      </c>
      <c r="G41" s="76" t="inlineStr">
        <is>
          <t>Item (Leaf Stone) -&gt; Vileplume; Item (Sun Stone) -&gt; Bellossom</t>
        </is>
      </c>
      <c r="H41" s="76" t="inlineStr">
        <is>
          <t>see Evolution Changes sheet</t>
        </is>
      </c>
    </row>
    <row r="42">
      <c r="A42" s="32" t="inlineStr">
        <is>
          <t>Golbat</t>
        </is>
      </c>
      <c r="B42" s="32" t="inlineStr">
        <is>
          <t>Wild</t>
        </is>
      </c>
      <c r="C42" s="32" t="inlineStr">
        <is>
          <t>Split 7</t>
        </is>
      </c>
      <c r="D42" s="32" t="inlineStr">
        <is>
          <t>Split 7, Split 8, Elite Four &amp; Champion, Unassigned</t>
        </is>
      </c>
      <c r="E42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42" s="32" t="n">
        <v>25</v>
      </c>
      <c r="G42" s="32" t="inlineStr">
        <is>
          <t>Lv 48 -&gt; Crobat</t>
        </is>
      </c>
      <c r="H42" s="32" t="inlineStr">
        <is>
          <t>see Evolution Changes sheet</t>
        </is>
      </c>
    </row>
    <row r="43">
      <c r="A43" s="76" t="inlineStr">
        <is>
          <t>Goldeen</t>
        </is>
      </c>
      <c r="B43" s="76" t="inlineStr">
        <is>
          <t>Wild</t>
        </is>
      </c>
      <c r="C43" s="76" t="inlineStr">
        <is>
          <t>Split 1</t>
        </is>
      </c>
      <c r="D43" s="76" t="inlineStr">
        <is>
          <t>Split 1, Split 4, Split 5, Split 7, Elite Four &amp; Champion, Postgame, Unassigned</t>
        </is>
      </c>
      <c r="E43" s="76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43" s="76" t="n">
        <v>5</v>
      </c>
      <c r="G43" s="76" t="inlineStr">
        <is>
          <t>Lv 33 -&gt; Seaking</t>
        </is>
      </c>
      <c r="H43" s="76" t="inlineStr">
        <is>
          <t>see Evolution Changes sheet</t>
        </is>
      </c>
    </row>
    <row r="44">
      <c r="A44" s="32" t="inlineStr">
        <is>
          <t>Golduck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MAP_SAFARI_ZONE_NORTHWEST</t>
        </is>
      </c>
      <c r="F44" s="32" t="n">
        <v>25</v>
      </c>
      <c r="G44" s="32" t="n"/>
      <c r="H44" s="32" t="inlineStr">
        <is>
          <t>see Evolution Changes sheet</t>
        </is>
      </c>
    </row>
    <row r="45">
      <c r="A45" s="76" t="inlineStr">
        <is>
          <t>Graveler</t>
        </is>
      </c>
      <c r="B45" s="76" t="inlineStr">
        <is>
          <t>Wild</t>
        </is>
      </c>
      <c r="C45" s="76" t="inlineStr">
        <is>
          <t>Split 5</t>
        </is>
      </c>
      <c r="D45" s="76" t="inlineStr">
        <is>
          <t>Split 5, Elite Four &amp; Champion</t>
        </is>
      </c>
      <c r="E45" s="76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45" s="76" t="n">
        <v>30</v>
      </c>
      <c r="G45" s="76" t="inlineStr">
        <is>
          <t>Trade -&gt; Golem; Item (Linking Cord) -&gt; Golem</t>
        </is>
      </c>
      <c r="H45" s="76" t="inlineStr">
        <is>
          <t>see Evolution Changes sheet</t>
        </is>
      </c>
    </row>
    <row r="46">
      <c r="A46" s="32" t="inlineStr">
        <is>
          <t>Grimer</t>
        </is>
      </c>
      <c r="B46" s="32" t="inlineStr">
        <is>
          <t>Wild</t>
        </is>
      </c>
      <c r="C46" s="32" t="inlineStr">
        <is>
          <t>Split 5</t>
        </is>
      </c>
      <c r="D46" s="32" t="inlineStr">
        <is>
          <t>Split 5</t>
        </is>
      </c>
      <c r="E46" s="32" t="inlineStr">
        <is>
          <t>MAP_FIERY_PATH</t>
        </is>
      </c>
      <c r="F46" s="32" t="n">
        <v>14</v>
      </c>
      <c r="G46" s="32" t="inlineStr">
        <is>
          <t>Lv 38 -&gt; Muk</t>
        </is>
      </c>
      <c r="H46" s="32" t="inlineStr">
        <is>
          <t>see Evolution Changes sheet</t>
        </is>
      </c>
    </row>
    <row r="47">
      <c r="A47" s="76" t="inlineStr">
        <is>
          <t>Gulpin</t>
        </is>
      </c>
      <c r="B47" s="76" t="inlineStr">
        <is>
          <t>Wild</t>
        </is>
      </c>
      <c r="C47" s="76" t="inlineStr">
        <is>
          <t>Split 4</t>
        </is>
      </c>
      <c r="D47" s="76" t="inlineStr">
        <is>
          <t>Split 4</t>
        </is>
      </c>
      <c r="E47" s="76" t="inlineStr">
        <is>
          <t>MAP_ROUTE110</t>
        </is>
      </c>
      <c r="F47" s="76" t="n">
        <v>12</v>
      </c>
      <c r="G47" s="76" t="inlineStr">
        <is>
          <t>Lv 26 -&gt; Swalot</t>
        </is>
      </c>
      <c r="H47" s="76" t="inlineStr">
        <is>
          <t>see Evolution Changes sheet</t>
        </is>
      </c>
    </row>
    <row r="48">
      <c r="A48" s="32" t="inlineStr">
        <is>
          <t>Gyarados</t>
        </is>
      </c>
      <c r="B48" s="32" t="inlineStr">
        <is>
          <t>Wild</t>
        </is>
      </c>
      <c r="C48" s="32" t="inlineStr">
        <is>
          <t>Split 8</t>
        </is>
      </c>
      <c r="D48" s="32" t="inlineStr">
        <is>
          <t>Split 8</t>
        </is>
      </c>
      <c r="E48" s="32" t="inlineStr">
        <is>
          <t>MAP_SOOTOPOLIS_CITY</t>
        </is>
      </c>
      <c r="F48" s="32" t="n">
        <v>5</v>
      </c>
      <c r="G48" s="32" t="n"/>
      <c r="H48" s="32" t="inlineStr">
        <is>
          <t>see Evolution Changes sheet</t>
        </is>
      </c>
    </row>
    <row r="49">
      <c r="A49" s="76" t="inlineStr">
        <is>
          <t>Hariyama</t>
        </is>
      </c>
      <c r="B49" s="76" t="inlineStr">
        <is>
          <t>Wild</t>
        </is>
      </c>
      <c r="C49" s="76" t="inlineStr">
        <is>
          <t>Elite Four &amp; Champion</t>
        </is>
      </c>
      <c r="D49" s="76" t="inlineStr">
        <is>
          <t>Elite Four &amp; Champion</t>
        </is>
      </c>
      <c r="E49" s="76" t="inlineStr">
        <is>
          <t>MAP_VICTORY_ROAD_1F, MAP_VICTORY_ROAD_B1F</t>
        </is>
      </c>
      <c r="F49" s="76" t="n">
        <v>38</v>
      </c>
      <c r="G49" s="76" t="n"/>
      <c r="H49" s="76" t="inlineStr">
        <is>
          <t>see Evolution Changes sheet</t>
        </is>
      </c>
    </row>
    <row r="50">
      <c r="A50" s="32" t="inlineStr">
        <is>
          <t>Heracross</t>
        </is>
      </c>
      <c r="B50" s="32" t="inlineStr">
        <is>
          <t>Wild</t>
        </is>
      </c>
      <c r="C50" s="32" t="inlineStr">
        <is>
          <t>Postgame</t>
        </is>
      </c>
      <c r="D50" s="32" t="inlineStr">
        <is>
          <t>Postgame</t>
        </is>
      </c>
      <c r="E50" s="32" t="inlineStr">
        <is>
          <t>MAP_SAFARI_ZONE_NORTH</t>
        </is>
      </c>
      <c r="F50" s="32" t="n">
        <v>27</v>
      </c>
      <c r="G50" s="32" t="n"/>
      <c r="H50" s="32" t="inlineStr">
        <is>
          <t>see Evolution Changes sheet</t>
        </is>
      </c>
    </row>
    <row r="51">
      <c r="A51" s="76" t="inlineStr">
        <is>
          <t>Hoothoot</t>
        </is>
      </c>
      <c r="B51" s="76" t="inlineStr">
        <is>
          <t>Wild</t>
        </is>
      </c>
      <c r="C51" s="76" t="inlineStr">
        <is>
          <t>Postgame</t>
        </is>
      </c>
      <c r="D51" s="76" t="inlineStr">
        <is>
          <t>Postgame</t>
        </is>
      </c>
      <c r="E51" s="76" t="inlineStr">
        <is>
          <t>MAP_SAFARI_ZONE_NORTHEAST, MAP_SAFARI_ZONE_SOUTHEAST</t>
        </is>
      </c>
      <c r="F51" s="76" t="n">
        <v>35</v>
      </c>
      <c r="G51" s="76" t="inlineStr">
        <is>
          <t>Lv 20 -&gt; Noctowl</t>
        </is>
      </c>
      <c r="H51" s="76" t="inlineStr">
        <is>
          <t>see Evolution Changes sheet</t>
        </is>
      </c>
    </row>
    <row r="52">
      <c r="A52" s="32" t="inlineStr">
        <is>
          <t>Horsea</t>
        </is>
      </c>
      <c r="B52" s="32" t="inlineStr">
        <is>
          <t>Trade, Wild</t>
        </is>
      </c>
      <c r="C52" s="32" t="inlineStr">
        <is>
          <t>Unassigned</t>
        </is>
      </c>
      <c r="D52" s="32" t="inlineStr">
        <is>
          <t>Unassigned</t>
        </is>
      </c>
      <c r="E52" s="32" t="inlineStr">
        <is>
          <t>MAP_ROUTE132, MAP_ROUTE133, MAP_ROUTE134, PacifidlogTown_House3</t>
        </is>
      </c>
      <c r="F52" s="32" t="n">
        <v>25</v>
      </c>
      <c r="G52" s="32" t="inlineStr">
        <is>
          <t>Lv 32 -&gt; Seadra</t>
        </is>
      </c>
      <c r="H52" s="32" t="inlineStr">
        <is>
          <t>see Evolution Changes sheet</t>
        </is>
      </c>
    </row>
    <row r="53">
      <c r="A53" s="76" t="inlineStr">
        <is>
          <t>Houndour</t>
        </is>
      </c>
      <c r="B53" s="76" t="inlineStr">
        <is>
          <t>Wild</t>
        </is>
      </c>
      <c r="C53" s="76" t="inlineStr">
        <is>
          <t>Postgame</t>
        </is>
      </c>
      <c r="D53" s="76" t="inlineStr">
        <is>
          <t>Postgame</t>
        </is>
      </c>
      <c r="E53" s="76" t="inlineStr">
        <is>
          <t>MAP_ALTERING_CAVE, MAP_SAFARI_ZONE_NORTHEAST</t>
        </is>
      </c>
      <c r="F53" s="76" t="n">
        <v>12</v>
      </c>
      <c r="G53" s="76" t="inlineStr">
        <is>
          <t>Lv 24 -&gt; Houndoom</t>
        </is>
      </c>
      <c r="H53" s="76" t="inlineStr">
        <is>
          <t>see Evolution Changes sheet</t>
        </is>
      </c>
    </row>
    <row r="54">
      <c r="A54" s="32" t="inlineStr">
        <is>
          <t>Illumise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</t>
        </is>
      </c>
      <c r="E54" s="32" t="inlineStr">
        <is>
          <t>MAP_ROUTE117</t>
        </is>
      </c>
      <c r="F54" s="32" t="n">
        <v>13</v>
      </c>
      <c r="G54" s="32" t="n"/>
      <c r="H54" s="32" t="inlineStr">
        <is>
          <t>see Evolution Changes sheet</t>
        </is>
      </c>
    </row>
    <row r="55">
      <c r="A55" s="76" t="inlineStr">
        <is>
          <t>Ivysaur</t>
        </is>
      </c>
      <c r="B55" s="76" t="inlineStr">
        <is>
          <t>Wild</t>
        </is>
      </c>
      <c r="C55" s="76" t="inlineStr">
        <is>
          <t>Unassigned</t>
        </is>
      </c>
      <c r="D55" s="76" t="inlineStr">
        <is>
          <t>Unassigned</t>
        </is>
      </c>
      <c r="E55" s="76" t="n"/>
      <c r="F55" s="76" t="n">
        <v>5</v>
      </c>
      <c r="G55" s="76" t="inlineStr">
        <is>
          <t>Lv 32 -&gt; Venusaur</t>
        </is>
      </c>
      <c r="H55" s="76" t="inlineStr">
        <is>
          <t>see Evolution Changes sheet</t>
        </is>
      </c>
    </row>
    <row r="56">
      <c r="A56" s="32" t="inlineStr">
        <is>
          <t>Jigglypuff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MAP_ROUTE115</t>
        </is>
      </c>
      <c r="F56" s="32" t="n">
        <v>24</v>
      </c>
      <c r="G56" s="32" t="inlineStr">
        <is>
          <t>Item (Moon Stone) -&gt; Wigglytuff</t>
        </is>
      </c>
      <c r="H56" s="32" t="inlineStr">
        <is>
          <t>see Evolution Changes sheet</t>
        </is>
      </c>
    </row>
    <row r="57">
      <c r="A57" s="76" t="inlineStr">
        <is>
          <t>Kakuna</t>
        </is>
      </c>
      <c r="B57" s="76" t="inlineStr">
        <is>
          <t>Wild</t>
        </is>
      </c>
      <c r="C57" s="76" t="inlineStr">
        <is>
          <t>Split 1</t>
        </is>
      </c>
      <c r="D57" s="76" t="inlineStr">
        <is>
          <t>Split 1</t>
        </is>
      </c>
      <c r="E57" s="76" t="inlineStr">
        <is>
          <t>MAP_VIRIDIAN_FOREST</t>
        </is>
      </c>
      <c r="F57" s="76" t="n">
        <v>10</v>
      </c>
      <c r="G57" s="76" t="inlineStr">
        <is>
          <t>Lv 10 -&gt; Beedrill</t>
        </is>
      </c>
      <c r="H57" s="76" t="inlineStr">
        <is>
          <t>see Evolution Changes sheet</t>
        </is>
      </c>
    </row>
    <row r="58">
      <c r="A58" s="32" t="inlineStr">
        <is>
          <t>Kecleon</t>
        </is>
      </c>
      <c r="B58" s="32" t="inlineStr">
        <is>
          <t>Wild</t>
        </is>
      </c>
      <c r="C58" s="32" t="inlineStr">
        <is>
          <t>Split 6</t>
        </is>
      </c>
      <c r="D58" s="32" t="inlineStr">
        <is>
          <t>Split 6, Split 7</t>
        </is>
      </c>
      <c r="E58" s="32" t="inlineStr">
        <is>
          <t>MAP_ROUTE118, MAP_ROUTE119, MAP_ROUTE120, MAP_ROUTE121, MAP_ROUTE123</t>
        </is>
      </c>
      <c r="F58" s="32" t="n">
        <v>25</v>
      </c>
      <c r="G58" s="32" t="n"/>
      <c r="H58" s="32" t="inlineStr">
        <is>
          <t>see Evolution Changes sheet</t>
        </is>
      </c>
    </row>
    <row r="59">
      <c r="A59" s="76" t="inlineStr">
        <is>
          <t>Koffing</t>
        </is>
      </c>
      <c r="B59" s="76" t="inlineStr">
        <is>
          <t>Wild</t>
        </is>
      </c>
      <c r="C59" s="76" t="inlineStr">
        <is>
          <t>Split 5</t>
        </is>
      </c>
      <c r="D59" s="76" t="inlineStr">
        <is>
          <t>Split 5</t>
        </is>
      </c>
      <c r="E59" s="76" t="inlineStr">
        <is>
          <t>MAP_FIERY_PATH</t>
        </is>
      </c>
      <c r="F59" s="76" t="n">
        <v>15</v>
      </c>
      <c r="G59" s="76" t="inlineStr">
        <is>
          <t>Lv 35 -&gt; Weezing; None -&gt; Weezing Galar</t>
        </is>
      </c>
      <c r="H59" s="76" t="inlineStr">
        <is>
          <t>see Evolution Changes sheet</t>
        </is>
      </c>
    </row>
    <row r="60">
      <c r="A60" s="32" t="inlineStr">
        <is>
          <t>Lairon</t>
        </is>
      </c>
      <c r="B60" s="32" t="inlineStr">
        <is>
          <t>Wild</t>
        </is>
      </c>
      <c r="C60" s="32" t="inlineStr">
        <is>
          <t>Elite Four &amp; Champion</t>
        </is>
      </c>
      <c r="D60" s="32" t="inlineStr">
        <is>
          <t>Elite Four &amp; Champion</t>
        </is>
      </c>
      <c r="E60" s="32" t="inlineStr">
        <is>
          <t>MAP_VICTORY_ROAD_1F, MAP_VICTORY_ROAD_B1F, MAP_VICTORY_ROAD_B2F</t>
        </is>
      </c>
      <c r="F60" s="32" t="n">
        <v>40</v>
      </c>
      <c r="G60" s="32" t="inlineStr">
        <is>
          <t>Lv 42 -&gt; Aggron</t>
        </is>
      </c>
      <c r="H60" s="32" t="inlineStr">
        <is>
          <t>see Evolution Changes sheet</t>
        </is>
      </c>
    </row>
    <row r="61">
      <c r="A61" s="76" t="inlineStr">
        <is>
          <t>Ledyba</t>
        </is>
      </c>
      <c r="B61" s="76" t="inlineStr">
        <is>
          <t>Wild</t>
        </is>
      </c>
      <c r="C61" s="76" t="inlineStr">
        <is>
          <t>Postgame</t>
        </is>
      </c>
      <c r="D61" s="76" t="inlineStr">
        <is>
          <t>Postgame</t>
        </is>
      </c>
      <c r="E61" s="76" t="inlineStr">
        <is>
          <t>MAP_SAFARI_ZONE_NORTHEAST</t>
        </is>
      </c>
      <c r="F61" s="76" t="n">
        <v>33</v>
      </c>
      <c r="G61" s="76" t="inlineStr">
        <is>
          <t>Lv 18 -&gt; Ledian</t>
        </is>
      </c>
      <c r="H61" s="76" t="inlineStr">
        <is>
          <t>see Evolution Changes sheet</t>
        </is>
      </c>
    </row>
    <row r="62">
      <c r="A62" s="32" t="inlineStr">
        <is>
          <t>Lileep</t>
        </is>
      </c>
      <c r="B62" s="32" t="inlineStr">
        <is>
          <t>Gift</t>
        </is>
      </c>
      <c r="C62" s="32" t="inlineStr">
        <is>
          <t>Split 2</t>
        </is>
      </c>
      <c r="D62" s="32" t="inlineStr">
        <is>
          <t>Split 2</t>
        </is>
      </c>
      <c r="E62" s="32" t="inlineStr">
        <is>
          <t>RustboroCity_DevonCorp_2F</t>
        </is>
      </c>
      <c r="F62" s="32" t="n"/>
      <c r="G62" s="32" t="inlineStr">
        <is>
          <t>Lv 40 -&gt; Cradily</t>
        </is>
      </c>
      <c r="H62" s="32" t="inlineStr">
        <is>
          <t>see Evolution Changes sheet</t>
        </is>
      </c>
    </row>
    <row r="63">
      <c r="A63" s="76" t="inlineStr">
        <is>
          <t>Linoone</t>
        </is>
      </c>
      <c r="B63" s="76" t="inlineStr">
        <is>
          <t>Wild</t>
        </is>
      </c>
      <c r="C63" s="76" t="inlineStr">
        <is>
          <t>Split 6</t>
        </is>
      </c>
      <c r="D63" s="76" t="inlineStr">
        <is>
          <t>Split 6</t>
        </is>
      </c>
      <c r="E63" s="76" t="inlineStr">
        <is>
          <t>MAP_ROUTE118, MAP_ROUTE119</t>
        </is>
      </c>
      <c r="F63" s="76" t="n">
        <v>25</v>
      </c>
      <c r="G63" s="76" t="n"/>
      <c r="H63" s="76" t="inlineStr">
        <is>
          <t>see Evolution Changes sheet</t>
        </is>
      </c>
    </row>
    <row r="64">
      <c r="A64" s="32" t="inlineStr">
        <is>
          <t>Lombre</t>
        </is>
      </c>
      <c r="B64" s="32" t="inlineStr">
        <is>
          <t>Wild</t>
        </is>
      </c>
      <c r="C64" s="32" t="inlineStr">
        <is>
          <t>Split 5</t>
        </is>
      </c>
      <c r="D64" s="32" t="inlineStr">
        <is>
          <t>Split 5</t>
        </is>
      </c>
      <c r="E64" s="32" t="inlineStr">
        <is>
          <t>MAP_ROUTE114</t>
        </is>
      </c>
      <c r="F64" s="32" t="n">
        <v>16</v>
      </c>
      <c r="G64" s="32" t="inlineStr">
        <is>
          <t>Item (Water Stone) -&gt; Ludicolo</t>
        </is>
      </c>
      <c r="H64" s="32" t="inlineStr">
        <is>
          <t>see Evolution Changes sheet</t>
        </is>
      </c>
    </row>
    <row r="65">
      <c r="A65" s="76" t="inlineStr">
        <is>
          <t>Lotad</t>
        </is>
      </c>
      <c r="B65" s="76" t="inlineStr">
        <is>
          <t>Wild</t>
        </is>
      </c>
      <c r="C65" s="76" t="inlineStr">
        <is>
          <t>Split 1</t>
        </is>
      </c>
      <c r="D65" s="76" t="inlineStr">
        <is>
          <t>Split 1, Split 5</t>
        </is>
      </c>
      <c r="E65" s="76" t="inlineStr">
        <is>
          <t>MAP_ROUTE102, MAP_ROUTE114</t>
        </is>
      </c>
      <c r="F65" s="76" t="n">
        <v>3</v>
      </c>
      <c r="G65" s="76" t="inlineStr">
        <is>
          <t>Lv 14 -&gt; Lombre</t>
        </is>
      </c>
      <c r="H65" s="76" t="inlineStr">
        <is>
          <t>see Evolution Changes sheet</t>
        </is>
      </c>
    </row>
    <row r="66">
      <c r="A66" s="32" t="inlineStr">
        <is>
          <t>Loudred</t>
        </is>
      </c>
      <c r="B66" s="32" t="inlineStr">
        <is>
          <t>Wild</t>
        </is>
      </c>
      <c r="C66" s="32" t="inlineStr">
        <is>
          <t>Elite Four &amp; Champion</t>
        </is>
      </c>
      <c r="D66" s="32" t="inlineStr">
        <is>
          <t>Elite Four &amp; Champion, Postgame</t>
        </is>
      </c>
      <c r="E66" s="32" t="inlineStr">
        <is>
          <t>MAP_DESERT_UNDERPASS, MAP_VICTORY_ROAD_1F</t>
        </is>
      </c>
      <c r="F66" s="32" t="n">
        <v>38</v>
      </c>
      <c r="G66" s="32" t="inlineStr">
        <is>
          <t>Lv 40 -&gt; Exploud</t>
        </is>
      </c>
      <c r="H66" s="32" t="inlineStr">
        <is>
          <t>see Evolution Changes sheet</t>
        </is>
      </c>
    </row>
    <row r="67">
      <c r="A67" s="76" t="inlineStr">
        <is>
          <t>Luvdisc</t>
        </is>
      </c>
      <c r="B67" s="76" t="inlineStr">
        <is>
          <t>Wild</t>
        </is>
      </c>
      <c r="C67" s="76" t="inlineStr">
        <is>
          <t>Split 8</t>
        </is>
      </c>
      <c r="D67" s="76" t="inlineStr">
        <is>
          <t>Split 8, Elite Four &amp; Champion</t>
        </is>
      </c>
      <c r="E67" s="76" t="inlineStr">
        <is>
          <t>MAP_EVER_GRANDE_CITY, MAP_ROUTE128</t>
        </is>
      </c>
      <c r="F67" s="76" t="n">
        <v>10</v>
      </c>
      <c r="G67" s="76" t="n"/>
      <c r="H67" s="76" t="inlineStr">
        <is>
          <t>see Evolution Changes sheet</t>
        </is>
      </c>
    </row>
    <row r="68">
      <c r="A68" s="32" t="inlineStr">
        <is>
          <t>Machop</t>
        </is>
      </c>
      <c r="B68" s="32" t="inlineStr">
        <is>
          <t>Wild</t>
        </is>
      </c>
      <c r="C68" s="32" t="inlineStr">
        <is>
          <t>Split 5</t>
        </is>
      </c>
      <c r="D68" s="32" t="inlineStr">
        <is>
          <t>Split 5</t>
        </is>
      </c>
      <c r="E68" s="32" t="inlineStr">
        <is>
          <t>MAP_FIERY_PATH, MAP_JAGGED_PASS</t>
        </is>
      </c>
      <c r="F68" s="32" t="n">
        <v>15</v>
      </c>
      <c r="G68" s="32" t="inlineStr">
        <is>
          <t>Lv 28 -&gt; Machoke</t>
        </is>
      </c>
      <c r="H68" s="32" t="inlineStr">
        <is>
          <t>see Evolution Changes sheet</t>
        </is>
      </c>
    </row>
    <row r="69">
      <c r="A69" s="76" t="inlineStr">
        <is>
          <t>Magikarp</t>
        </is>
      </c>
      <c r="B69" s="76" t="inlineStr">
        <is>
          <t>Wild</t>
        </is>
      </c>
      <c r="C69" s="76" t="inlineStr">
        <is>
          <t>Split 1</t>
        </is>
      </c>
      <c r="D69" s="76" t="inlineStr">
        <is>
          <t>Split 1, Split 2, Split 3, Split 4, Split 5, Split 6, Split 7, Split 8, Elite Four &amp; Champion, Postgame, Unassigned</t>
        </is>
      </c>
      <c r="E69" s="76" t="inlineStr">
        <is>
          <t>MAP_ABANDONED_SHIP_HIDDEN_FLOOR_CORRIDORS, MAP_ABANDONED_SHIP_ROOMS_B1F, MAP_DEWFORD_TOWN, MAP_EVER_GRANDE_CITY, MAP_LILYCOVE_CITY, MAP_METEOR_FALLS_1F_1R, MAP_METEOR_FALLS_1F_2R, MAP_METEOR_FALLS_B1F_1R, MAP_METEOR_FALLS_B1F_2R, MAP_MOSSDEEP_CITY, M</t>
        </is>
      </c>
      <c r="F69" s="76" t="n">
        <v>5</v>
      </c>
      <c r="G69" s="76" t="inlineStr">
        <is>
          <t>Lv 20 -&gt; Gyarados</t>
        </is>
      </c>
      <c r="H69" s="76" t="inlineStr">
        <is>
          <t>see Evolution Changes sheet</t>
        </is>
      </c>
    </row>
    <row r="70">
      <c r="A70" s="32" t="inlineStr">
        <is>
          <t>Magnemite</t>
        </is>
      </c>
      <c r="B70" s="32" t="inlineStr">
        <is>
          <t>Wild</t>
        </is>
      </c>
      <c r="C70" s="32" t="inlineStr">
        <is>
          <t>Split 4</t>
        </is>
      </c>
      <c r="D70" s="32" t="inlineStr">
        <is>
          <t>Split 4</t>
        </is>
      </c>
      <c r="E70" s="32" t="inlineStr">
        <is>
          <t>MAP_NEW_MAUVILLE_ENTRANCE, MAP_NEW_MAUVILLE_INSIDE</t>
        </is>
      </c>
      <c r="F70" s="32" t="n">
        <v>22</v>
      </c>
      <c r="G70" s="32" t="inlineStr">
        <is>
          <t>Lv 30 -&gt; Magneton</t>
        </is>
      </c>
      <c r="H70" s="32" t="inlineStr">
        <is>
          <t>see Evolution Changes sheet</t>
        </is>
      </c>
    </row>
    <row r="71">
      <c r="A71" s="76" t="inlineStr">
        <is>
          <t>Magneton</t>
        </is>
      </c>
      <c r="B71" s="76" t="inlineStr">
        <is>
          <t>Wild</t>
        </is>
      </c>
      <c r="C71" s="76" t="inlineStr">
        <is>
          <t>Split 4</t>
        </is>
      </c>
      <c r="D71" s="76" t="inlineStr">
        <is>
          <t>Split 4</t>
        </is>
      </c>
      <c r="E71" s="76" t="inlineStr">
        <is>
          <t>MAP_NEW_MAUVILLE_INSIDE</t>
        </is>
      </c>
      <c r="F71" s="76" t="n">
        <v>26</v>
      </c>
      <c r="G71" s="76" t="inlineStr">
        <is>
          <t>Mapsec MAPSEC_NEW_MAUVILLE -&gt; Magnezone; Item (Thunder Stone) -&gt; Magnezone</t>
        </is>
      </c>
      <c r="H71" s="76" t="inlineStr">
        <is>
          <t>see Evolution Changes sheet</t>
        </is>
      </c>
    </row>
    <row r="72">
      <c r="A72" s="32" t="inlineStr">
        <is>
          <t>Makuhita</t>
        </is>
      </c>
      <c r="B72" s="32" t="inlineStr">
        <is>
          <t>Wild</t>
        </is>
      </c>
      <c r="C72" s="32" t="inlineStr">
        <is>
          <t>Split 3</t>
        </is>
      </c>
      <c r="D72" s="32" t="inlineStr">
        <is>
          <t>Split 3, Elite Four &amp; Champion</t>
        </is>
      </c>
      <c r="E72" s="32" t="inlineStr">
        <is>
          <t>MAP_GRANITE_CAVE_1F, MAP_GRANITE_CAVE_B1F, MAP_GRANITE_CAVE_STEVENS_ROOM, MAP_VICTORY_ROAD_1F</t>
        </is>
      </c>
      <c r="F72" s="32" t="n">
        <v>6</v>
      </c>
      <c r="G72" s="32" t="inlineStr">
        <is>
          <t>Lv 24 -&gt; Hariyama</t>
        </is>
      </c>
      <c r="H72" s="32" t="inlineStr">
        <is>
          <t>see Evolution Changes sheet</t>
        </is>
      </c>
    </row>
    <row r="73">
      <c r="A73" s="76" t="inlineStr">
        <is>
          <t>Manectric</t>
        </is>
      </c>
      <c r="B73" s="76" t="inlineStr">
        <is>
          <t>Wild</t>
        </is>
      </c>
      <c r="C73" s="76" t="inlineStr">
        <is>
          <t>Split 6</t>
        </is>
      </c>
      <c r="D73" s="76" t="inlineStr">
        <is>
          <t>Split 6</t>
        </is>
      </c>
      <c r="E73" s="76" t="inlineStr">
        <is>
          <t>MAP_ROUTE118</t>
        </is>
      </c>
      <c r="F73" s="76" t="n">
        <v>26</v>
      </c>
      <c r="G73" s="76" t="n"/>
      <c r="H73" s="76" t="inlineStr">
        <is>
          <t>see Evolution Changes sheet</t>
        </is>
      </c>
    </row>
    <row r="74">
      <c r="A74" s="32" t="inlineStr">
        <is>
          <t>Mareep</t>
        </is>
      </c>
      <c r="B74" s="32" t="inlineStr">
        <is>
          <t>Wild</t>
        </is>
      </c>
      <c r="C74" s="32" t="inlineStr">
        <is>
          <t>Postgame</t>
        </is>
      </c>
      <c r="D74" s="32" t="inlineStr">
        <is>
          <t>Postgame</t>
        </is>
      </c>
      <c r="E74" s="32" t="inlineStr">
        <is>
          <t>MAP_ALTERING_CAVE, MAP_SAFARI_ZONE_SOUTHEAST</t>
        </is>
      </c>
      <c r="F74" s="32" t="n">
        <v>3</v>
      </c>
      <c r="G74" s="32" t="inlineStr">
        <is>
          <t>Lv 15 -&gt; Flaaffy</t>
        </is>
      </c>
      <c r="H74" s="32" t="inlineStr">
        <is>
          <t>see Evolution Changes sheet</t>
        </is>
      </c>
    </row>
    <row r="75">
      <c r="A75" s="76" t="inlineStr">
        <is>
          <t>Marill</t>
        </is>
      </c>
      <c r="B75" s="76" t="inlineStr">
        <is>
          <t>Wild</t>
        </is>
      </c>
      <c r="C75" s="76" t="inlineStr">
        <is>
          <t>Split 1</t>
        </is>
      </c>
      <c r="D75" s="76" t="inlineStr">
        <is>
          <t>Split 1, Split 2, Split 4, Split 5, Split 7, Postgame</t>
        </is>
      </c>
      <c r="E75" s="76" t="inlineStr">
        <is>
          <t>MAP_PETALBURG_CITY, MAP_ROUTE102, MAP_ROUTE104, MAP_ROUTE111, MAP_ROUTE112, MAP_ROUTE114, MAP_ROUTE117, MAP_ROUTE120, MAP_SAFARI_ZONE_SOUTHEAST</t>
        </is>
      </c>
      <c r="F75" s="76" t="n">
        <v>4</v>
      </c>
      <c r="G75" s="76" t="inlineStr">
        <is>
          <t>Lv 18 -&gt; Azumarill</t>
        </is>
      </c>
      <c r="H75" s="76" t="inlineStr">
        <is>
          <t>see Evolution Changes sheet</t>
        </is>
      </c>
    </row>
    <row r="76">
      <c r="A76" s="32" t="inlineStr">
        <is>
          <t>Mawile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MAP_VICTORY_ROAD_B1F, MAP_VICTORY_ROAD_B2F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6" t="inlineStr">
        <is>
          <t>Meowth</t>
        </is>
      </c>
      <c r="B77" s="76" t="inlineStr">
        <is>
          <t>Trade</t>
        </is>
      </c>
      <c r="C77" s="76" t="inlineStr">
        <is>
          <t>Postgame</t>
        </is>
      </c>
      <c r="D77" s="76" t="inlineStr">
        <is>
          <t>Postgame</t>
        </is>
      </c>
      <c r="E77" s="76" t="inlineStr">
        <is>
          <t>BattleFrontier_Lounge6</t>
        </is>
      </c>
      <c r="F77" s="76" t="n"/>
      <c r="G77" s="76" t="inlineStr">
        <is>
          <t>Lv 28 -&gt; Persian</t>
        </is>
      </c>
      <c r="H77" s="76" t="inlineStr">
        <is>
          <t>see Evolution Changes sheet</t>
        </is>
      </c>
    </row>
    <row r="78">
      <c r="A78" s="32" t="inlineStr">
        <is>
          <t>Metapod</t>
        </is>
      </c>
      <c r="B78" s="32" t="inlineStr">
        <is>
          <t>Wild</t>
        </is>
      </c>
      <c r="C78" s="32" t="inlineStr">
        <is>
          <t>Split 1</t>
        </is>
      </c>
      <c r="D78" s="32" t="inlineStr">
        <is>
          <t>Split 1</t>
        </is>
      </c>
      <c r="E78" s="32" t="inlineStr">
        <is>
          <t>MAP_VIRIDIAN_FOREST</t>
        </is>
      </c>
      <c r="F78" s="32" t="n">
        <v>10</v>
      </c>
      <c r="G78" s="32" t="inlineStr">
        <is>
          <t>Lv 10 -&gt; Butterfree</t>
        </is>
      </c>
      <c r="H78" s="32" t="inlineStr">
        <is>
          <t>see Evolution Changes sheet</t>
        </is>
      </c>
    </row>
    <row r="79">
      <c r="A79" s="76" t="inlineStr">
        <is>
          <t>Mightyena</t>
        </is>
      </c>
      <c r="B79" s="76" t="inlineStr">
        <is>
          <t>Wild</t>
        </is>
      </c>
      <c r="C79" s="76" t="inlineStr">
        <is>
          <t>Split 7</t>
        </is>
      </c>
      <c r="D79" s="76" t="inlineStr">
        <is>
          <t>Split 7</t>
        </is>
      </c>
      <c r="E79" s="76" t="inlineStr">
        <is>
          <t>MAP_ROUTE120, MAP_ROUTE121, MAP_ROUTE123</t>
        </is>
      </c>
      <c r="F79" s="76" t="n">
        <v>25</v>
      </c>
      <c r="G79" s="76" t="n"/>
      <c r="H79" s="76" t="inlineStr">
        <is>
          <t>see Evolution Changes sheet</t>
        </is>
      </c>
    </row>
    <row r="80">
      <c r="A80" s="32" t="inlineStr">
        <is>
          <t>Milotic</t>
        </is>
      </c>
      <c r="B80" s="32" t="inlineStr">
        <is>
          <t>Wild</t>
        </is>
      </c>
      <c r="C80" s="32" t="inlineStr">
        <is>
          <t>Unassigned</t>
        </is>
      </c>
      <c r="D80" s="32" t="inlineStr">
        <is>
          <t>Unassigned</t>
        </is>
      </c>
      <c r="E80" s="32" t="n"/>
      <c r="F80" s="32" t="n">
        <v>5</v>
      </c>
      <c r="G80" s="32" t="n"/>
      <c r="H80" s="32" t="inlineStr">
        <is>
          <t>see Evolution Changes sheet</t>
        </is>
      </c>
    </row>
    <row r="81">
      <c r="A81" s="76" t="inlineStr">
        <is>
          <t>Miltank</t>
        </is>
      </c>
      <c r="B81" s="76" t="inlineStr">
        <is>
          <t>Wild</t>
        </is>
      </c>
      <c r="C81" s="76" t="inlineStr">
        <is>
          <t>Postgame</t>
        </is>
      </c>
      <c r="D81" s="76" t="inlineStr">
        <is>
          <t>Postgame</t>
        </is>
      </c>
      <c r="E81" s="76" t="inlineStr">
        <is>
          <t>MAP_SAFARI_ZONE_NORTHEAST</t>
        </is>
      </c>
      <c r="F81" s="76" t="n">
        <v>37</v>
      </c>
      <c r="G81" s="76" t="n"/>
      <c r="H81" s="76" t="inlineStr">
        <is>
          <t>see Evolution Changes sheet</t>
        </is>
      </c>
    </row>
    <row r="82">
      <c r="A82" s="32" t="inlineStr">
        <is>
          <t>Minun</t>
        </is>
      </c>
      <c r="B82" s="32" t="inlineStr">
        <is>
          <t>Wild</t>
        </is>
      </c>
      <c r="C82" s="32" t="inlineStr">
        <is>
          <t>Split 4</t>
        </is>
      </c>
      <c r="D82" s="32" t="inlineStr">
        <is>
          <t>Split 4</t>
        </is>
      </c>
      <c r="E82" s="32" t="inlineStr">
        <is>
          <t>MAP_ROUTE110</t>
        </is>
      </c>
      <c r="F82" s="32" t="n">
        <v>13</v>
      </c>
      <c r="G82" s="32" t="n"/>
      <c r="H82" s="32" t="inlineStr">
        <is>
          <t>see Evolution Changes sheet</t>
        </is>
      </c>
    </row>
    <row r="83">
      <c r="A83" s="76" t="inlineStr">
        <is>
          <t>Natu</t>
        </is>
      </c>
      <c r="B83" s="76" t="inlineStr">
        <is>
          <t>Wild</t>
        </is>
      </c>
      <c r="C83" s="76" t="inlineStr">
        <is>
          <t>Postgame</t>
        </is>
      </c>
      <c r="D83" s="76" t="inlineStr">
        <is>
          <t>Postgame</t>
        </is>
      </c>
      <c r="E83" s="76" t="inlineStr">
        <is>
          <t>MAP_SAFARI_ZONE_NORTH, MAP_SAFARI_ZONE_SOUTH, MAP_SAFARI_ZONE_SOUTHWEST</t>
        </is>
      </c>
      <c r="F83" s="76" t="n">
        <v>25</v>
      </c>
      <c r="G83" s="76" t="inlineStr">
        <is>
          <t>Lv 25 -&gt; Xatu</t>
        </is>
      </c>
      <c r="H83" s="76" t="inlineStr">
        <is>
          <t>see Evolution Changes sheet</t>
        </is>
      </c>
    </row>
    <row r="84">
      <c r="A84" s="32" t="inlineStr">
        <is>
          <t>Nincada</t>
        </is>
      </c>
      <c r="B84" s="32" t="inlineStr">
        <is>
          <t>Wild</t>
        </is>
      </c>
      <c r="C84" s="32" t="inlineStr">
        <is>
          <t>Split 2</t>
        </is>
      </c>
      <c r="D84" s="32" t="inlineStr">
        <is>
          <t>Split 2</t>
        </is>
      </c>
      <c r="E84" s="32" t="inlineStr">
        <is>
          <t>MAP_ROUTE116</t>
        </is>
      </c>
      <c r="F84" s="32" t="n">
        <v>6</v>
      </c>
      <c r="G84" s="32" t="inlineStr">
        <is>
          <t>Level Ninjask 20 -&gt; Ninjask; Level Shedinja 20 -&gt; Shedinja</t>
        </is>
      </c>
      <c r="H84" s="32" t="inlineStr">
        <is>
          <t>see Evolution Changes sheet</t>
        </is>
      </c>
    </row>
    <row r="85">
      <c r="A85" s="76" t="inlineStr">
        <is>
          <t>Nosepass</t>
        </is>
      </c>
      <c r="B85" s="76" t="inlineStr">
        <is>
          <t>Wild</t>
        </is>
      </c>
      <c r="C85" s="76" t="inlineStr">
        <is>
          <t>Split 3</t>
        </is>
      </c>
      <c r="D85" s="76" t="inlineStr">
        <is>
          <t>Split 3</t>
        </is>
      </c>
      <c r="E85" s="76" t="inlineStr">
        <is>
          <t>MAP_GRANITE_CAVE_B2F</t>
        </is>
      </c>
      <c r="F85" s="76" t="n">
        <v>10</v>
      </c>
      <c r="G85" s="76" t="inlineStr">
        <is>
          <t>Mapsec MAPSEC_NEW_MAUVILLE -&gt; Probopass; Item (Thunder Stone) -&gt; Probopass</t>
        </is>
      </c>
      <c r="H85" s="76" t="inlineStr">
        <is>
          <t>see Evolution Changes sheet</t>
        </is>
      </c>
    </row>
    <row r="86">
      <c r="A86" s="32" t="inlineStr">
        <is>
          <t>Numel</t>
        </is>
      </c>
      <c r="B86" s="32" t="inlineStr">
        <is>
          <t>Wild</t>
        </is>
      </c>
      <c r="C86" s="32" t="inlineStr">
        <is>
          <t>Split 5</t>
        </is>
      </c>
      <c r="D86" s="32" t="inlineStr">
        <is>
          <t>Split 5</t>
        </is>
      </c>
      <c r="E86" s="32" t="inlineStr">
        <is>
          <t>MAP_FIERY_PATH, MAP_JAGGED_PASS, MAP_ROUTE112</t>
        </is>
      </c>
      <c r="F86" s="32" t="n">
        <v>14</v>
      </c>
      <c r="G86" s="32" t="inlineStr">
        <is>
          <t>Lv 33 -&gt; Camerupt</t>
        </is>
      </c>
      <c r="H86" s="32" t="inlineStr">
        <is>
          <t>see Evolution Changes sheet</t>
        </is>
      </c>
    </row>
    <row r="87">
      <c r="A87" s="76" t="inlineStr">
        <is>
          <t>Nuzleaf</t>
        </is>
      </c>
      <c r="B87" s="76" t="inlineStr">
        <is>
          <t>Wild</t>
        </is>
      </c>
      <c r="C87" s="76" t="inlineStr">
        <is>
          <t>Split 5</t>
        </is>
      </c>
      <c r="D87" s="76" t="inlineStr">
        <is>
          <t>Split 5</t>
        </is>
      </c>
      <c r="E87" s="76" t="inlineStr">
        <is>
          <t>MAP_ROUTE114</t>
        </is>
      </c>
      <c r="F87" s="76" t="n">
        <v>15</v>
      </c>
      <c r="G87" s="76" t="inlineStr">
        <is>
          <t>Item (Leaf Stone) -&gt; Shiftry</t>
        </is>
      </c>
      <c r="H87" s="76" t="inlineStr">
        <is>
          <t>see Evolution Changes sheet</t>
        </is>
      </c>
    </row>
    <row r="88">
      <c r="A88" s="32" t="inlineStr">
        <is>
          <t>Octillery</t>
        </is>
      </c>
      <c r="B88" s="32" t="inlineStr">
        <is>
          <t>Wild</t>
        </is>
      </c>
      <c r="C88" s="32" t="inlineStr">
        <is>
          <t>Postgame</t>
        </is>
      </c>
      <c r="D88" s="32" t="inlineStr">
        <is>
          <t>Postgame</t>
        </is>
      </c>
      <c r="E88" s="32" t="inlineStr">
        <is>
          <t>MAP_SAFARI_ZONE_SOUTHEAST</t>
        </is>
      </c>
      <c r="F88" s="32" t="n">
        <v>35</v>
      </c>
      <c r="G88" s="32" t="n"/>
      <c r="H88" s="32" t="inlineStr">
        <is>
          <t>see Evolution Changes sheet</t>
        </is>
      </c>
    </row>
    <row r="89">
      <c r="A89" s="76" t="inlineStr">
        <is>
          <t>Oddish</t>
        </is>
      </c>
      <c r="B89" s="76" t="inlineStr">
        <is>
          <t>Wild</t>
        </is>
      </c>
      <c r="C89" s="76" t="inlineStr">
        <is>
          <t>Split 4</t>
        </is>
      </c>
      <c r="D89" s="76" t="inlineStr">
        <is>
          <t>Split 4, Split 6, Split 7, Postgame</t>
        </is>
      </c>
      <c r="E89" s="76" t="inlineStr">
        <is>
          <t>MAP_ROUTE110, MAP_ROUTE117, MAP_ROUTE119, MAP_ROUTE120, MAP_ROUTE121, MAP_ROUTE123, MAP_SAFARI_ZONE_NORTH, MAP_SAFARI_ZONE_NORTHWEST, MAP_SAFARI_ZONE_SOUTH, MAP_SAFARI_ZONE_SOUTHWEST</t>
        </is>
      </c>
      <c r="F89" s="76" t="n">
        <v>13</v>
      </c>
      <c r="G89" s="76" t="inlineStr">
        <is>
          <t>Lv 21 -&gt; Gloom</t>
        </is>
      </c>
      <c r="H89" s="76" t="inlineStr">
        <is>
          <t>see Evolution Changes sheet</t>
        </is>
      </c>
    </row>
    <row r="90">
      <c r="A90" s="32" t="inlineStr">
        <is>
          <t>Pelipper</t>
        </is>
      </c>
      <c r="B90" s="32" t="inlineStr">
        <is>
          <t>Wild</t>
        </is>
      </c>
      <c r="C90" s="32" t="inlineStr">
        <is>
          <t>Split 1</t>
        </is>
      </c>
      <c r="D90" s="32" t="inlineStr">
        <is>
          <t>Split 1, Split 2, Split 3, Split 4, Split 6, Split 7, Split 8, Elite Four &amp; Champion, Unassigned</t>
        </is>
      </c>
      <c r="E90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6" t="inlineStr">
        <is>
          <t>Phanpy</t>
        </is>
      </c>
      <c r="B91" s="76" t="inlineStr">
        <is>
          <t>Wild</t>
        </is>
      </c>
      <c r="C91" s="76" t="inlineStr">
        <is>
          <t>Postgame</t>
        </is>
      </c>
      <c r="D91" s="76" t="inlineStr">
        <is>
          <t>Postgame</t>
        </is>
      </c>
      <c r="E91" s="76" t="inlineStr">
        <is>
          <t>MAP_SAFARI_ZONE_NORTH</t>
        </is>
      </c>
      <c r="F91" s="76" t="n">
        <v>27</v>
      </c>
      <c r="G91" s="76" t="inlineStr">
        <is>
          <t>Lv 25 -&gt; Donphan</t>
        </is>
      </c>
      <c r="H91" s="76" t="inlineStr">
        <is>
          <t>see Evolution Changes sheet</t>
        </is>
      </c>
    </row>
    <row r="92">
      <c r="A92" s="32" t="inlineStr">
        <is>
          <t>Pidgey</t>
        </is>
      </c>
      <c r="B92" s="32" t="inlineStr">
        <is>
          <t>Wild</t>
        </is>
      </c>
      <c r="C92" s="32" t="inlineStr">
        <is>
          <t>Split 1</t>
        </is>
      </c>
      <c r="D92" s="32" t="inlineStr">
        <is>
          <t>Split 1</t>
        </is>
      </c>
      <c r="E92" s="32" t="inlineStr">
        <is>
          <t>MAP_VIRIDIAN_FOREST</t>
        </is>
      </c>
      <c r="F92" s="32" t="n">
        <v>9</v>
      </c>
      <c r="G92" s="32" t="inlineStr">
        <is>
          <t>Lv 18 -&gt; Pidgeotto</t>
        </is>
      </c>
      <c r="H92" s="32" t="inlineStr">
        <is>
          <t>see Evolution Changes sheet</t>
        </is>
      </c>
    </row>
    <row r="93">
      <c r="A93" s="76" t="inlineStr">
        <is>
          <t>Pikachu</t>
        </is>
      </c>
      <c r="B93" s="76" t="inlineStr">
        <is>
          <t>Wild</t>
        </is>
      </c>
      <c r="C93" s="76" t="inlineStr">
        <is>
          <t>Split 1</t>
        </is>
      </c>
      <c r="D93" s="76" t="inlineStr">
        <is>
          <t>Split 1, Postgame</t>
        </is>
      </c>
      <c r="E93" s="76" t="inlineStr">
        <is>
          <t>MAP_SAFARI_ZONE_SOUTH, MAP_SAFARI_ZONE_SOUTHWEST, MAP_VIRIDIAN_FOREST</t>
        </is>
      </c>
      <c r="F93" s="76" t="n">
        <v>10</v>
      </c>
      <c r="G93" s="76" t="inlineStr">
        <is>
          <t>Item (Thunder Stone) -&gt; Raichu; None -&gt; Raichu Alola</t>
        </is>
      </c>
      <c r="H93" s="76" t="inlineStr">
        <is>
          <t>see Evolution Changes sheet</t>
        </is>
      </c>
    </row>
    <row r="94">
      <c r="A94" s="32" t="inlineStr">
        <is>
          <t>Pineco</t>
        </is>
      </c>
      <c r="B94" s="32" t="inlineStr">
        <is>
          <t>Wild</t>
        </is>
      </c>
      <c r="C94" s="32" t="inlineStr">
        <is>
          <t>Postgame</t>
        </is>
      </c>
      <c r="D94" s="32" t="inlineStr">
        <is>
          <t>Postgame</t>
        </is>
      </c>
      <c r="E94" s="32" t="inlineStr">
        <is>
          <t>MAP_ALTERING_CAVE, MAP_SAFARI_ZONE_NORTHEAST</t>
        </is>
      </c>
      <c r="F94" s="32" t="n">
        <v>19</v>
      </c>
      <c r="G94" s="32" t="inlineStr">
        <is>
          <t>Lv 31 -&gt; Forretress</t>
        </is>
      </c>
      <c r="H94" s="32" t="inlineStr">
        <is>
          <t>see Evolution Changes sheet</t>
        </is>
      </c>
    </row>
    <row r="95">
      <c r="A95" s="76" t="inlineStr">
        <is>
          <t>Pinsir</t>
        </is>
      </c>
      <c r="B95" s="76" t="inlineStr">
        <is>
          <t>Wild</t>
        </is>
      </c>
      <c r="C95" s="76" t="inlineStr">
        <is>
          <t>Postgame</t>
        </is>
      </c>
      <c r="D95" s="76" t="inlineStr">
        <is>
          <t>Postgame</t>
        </is>
      </c>
      <c r="E95" s="76" t="inlineStr">
        <is>
          <t>MAP_SAFARI_ZONE_NORTHWEST</t>
        </is>
      </c>
      <c r="F95" s="76" t="n">
        <v>27</v>
      </c>
      <c r="G95" s="76" t="n"/>
      <c r="H95" s="76" t="inlineStr">
        <is>
          <t>see Evolution Changes sheet</t>
        </is>
      </c>
    </row>
    <row r="96">
      <c r="A96" s="32" t="inlineStr">
        <is>
          <t>Plusle</t>
        </is>
      </c>
      <c r="B96" s="32" t="inlineStr">
        <is>
          <t>Trade, Wild</t>
        </is>
      </c>
      <c r="C96" s="32" t="inlineStr">
        <is>
          <t>Split 4</t>
        </is>
      </c>
      <c r="D96" s="32" t="inlineStr">
        <is>
          <t>Split 4, Split 6</t>
        </is>
      </c>
      <c r="E96" s="32" t="inlineStr">
        <is>
          <t>FortreeCity_House1, MAP_ROUTE110</t>
        </is>
      </c>
      <c r="F96" s="32" t="n">
        <v>12</v>
      </c>
      <c r="G96" s="32" t="n"/>
      <c r="H96" s="32" t="inlineStr">
        <is>
          <t>see Evolution Changes sheet</t>
        </is>
      </c>
    </row>
    <row r="97">
      <c r="A97" s="76" t="inlineStr">
        <is>
          <t>Poochyena</t>
        </is>
      </c>
      <c r="B97" s="76" t="inlineStr">
        <is>
          <t>Wild</t>
        </is>
      </c>
      <c r="C97" s="76" t="inlineStr">
        <is>
          <t>Split 1</t>
        </is>
      </c>
      <c r="D97" s="76" t="inlineStr">
        <is>
          <t>Split 1, Split 2, Split 4, Split 7</t>
        </is>
      </c>
      <c r="E97" s="76" t="inlineStr">
        <is>
          <t>MAP_PETALBURG_WOODS, MAP_ROUTE101, MAP_ROUTE102, MAP_ROUTE103, MAP_ROUTE104, MAP_ROUTE110, MAP_ROUTE116, MAP_ROUTE117, MAP_ROUTE120, MAP_ROUTE121, MAP_ROUTE123</t>
        </is>
      </c>
      <c r="F97" s="76" t="n">
        <v>2</v>
      </c>
      <c r="G97" s="76" t="inlineStr">
        <is>
          <t>Lv 18 -&gt; Mightyena</t>
        </is>
      </c>
      <c r="H97" s="76" t="inlineStr">
        <is>
          <t>see Evolution Changes sheet</t>
        </is>
      </c>
    </row>
    <row r="98">
      <c r="A98" s="32" t="inlineStr">
        <is>
          <t>Psyduck</t>
        </is>
      </c>
      <c r="B98" s="32" t="inlineStr">
        <is>
          <t>Wild</t>
        </is>
      </c>
      <c r="C98" s="32" t="inlineStr">
        <is>
          <t>Postgame</t>
        </is>
      </c>
      <c r="D98" s="32" t="inlineStr">
        <is>
          <t>Postgame</t>
        </is>
      </c>
      <c r="E98" s="32" t="inlineStr">
        <is>
          <t>MAP_SAFARI_ZONE_NORTHWEST, MAP_SAFARI_ZONE_SOUTHWEST</t>
        </is>
      </c>
      <c r="F98" s="32" t="n">
        <v>20</v>
      </c>
      <c r="G98" s="32" t="inlineStr">
        <is>
          <t>Lv 33 -&gt; Golduck</t>
        </is>
      </c>
      <c r="H98" s="32" t="inlineStr">
        <is>
          <t>see Evolution Changes sheet</t>
        </is>
      </c>
    </row>
    <row r="99">
      <c r="A99" s="76" t="inlineStr">
        <is>
          <t>Quagsire</t>
        </is>
      </c>
      <c r="B99" s="76" t="inlineStr">
        <is>
          <t>Wild</t>
        </is>
      </c>
      <c r="C99" s="76" t="inlineStr">
        <is>
          <t>Postgame</t>
        </is>
      </c>
      <c r="D99" s="76" t="inlineStr">
        <is>
          <t>Postgame</t>
        </is>
      </c>
      <c r="E99" s="76" t="inlineStr">
        <is>
          <t>MAP_SAFARI_ZONE_SOUTHEAST</t>
        </is>
      </c>
      <c r="F99" s="76" t="n">
        <v>35</v>
      </c>
      <c r="G99" s="76" t="n"/>
      <c r="H99" s="76" t="inlineStr">
        <is>
          <t>see Evolution Changes sheet</t>
        </is>
      </c>
    </row>
    <row r="100">
      <c r="A100" s="32" t="inlineStr">
        <is>
          <t>Ralts</t>
        </is>
      </c>
      <c r="B100" s="32" t="inlineStr">
        <is>
          <t>Wild</t>
        </is>
      </c>
      <c r="C100" s="32" t="inlineStr">
        <is>
          <t>Split 1</t>
        </is>
      </c>
      <c r="D100" s="32" t="inlineStr">
        <is>
          <t>Split 1</t>
        </is>
      </c>
      <c r="E100" s="32" t="inlineStr">
        <is>
          <t>MAP_ROUTE102</t>
        </is>
      </c>
      <c r="F100" s="32" t="n">
        <v>4</v>
      </c>
      <c r="G100" s="32" t="inlineStr">
        <is>
          <t>Lv 20 -&gt; Kirlia</t>
        </is>
      </c>
      <c r="H100" s="32" t="inlineStr">
        <is>
          <t>see Evolution Changes sheet</t>
        </is>
      </c>
    </row>
    <row r="101">
      <c r="A101" s="76" t="inlineStr">
        <is>
          <t>Relicanth</t>
        </is>
      </c>
      <c r="B101" s="76" t="inlineStr">
        <is>
          <t>Wild</t>
        </is>
      </c>
      <c r="C101" s="76" t="inlineStr">
        <is>
          <t>Unassigned</t>
        </is>
      </c>
      <c r="D101" s="76" t="inlineStr">
        <is>
          <t>Unassigned</t>
        </is>
      </c>
      <c r="E101" s="76" t="inlineStr">
        <is>
          <t>MAP_UNDERWATER_ROUTE124, MAP_UNDERWATER_ROUTE126</t>
        </is>
      </c>
      <c r="F101" s="76" t="n">
        <v>30</v>
      </c>
      <c r="G101" s="76" t="n"/>
      <c r="H101" s="76" t="inlineStr">
        <is>
          <t>see Evolution Changes sheet</t>
        </is>
      </c>
    </row>
    <row r="102">
      <c r="A102" s="32" t="inlineStr">
        <is>
          <t>Remoraid</t>
        </is>
      </c>
      <c r="B102" s="32" t="inlineStr">
        <is>
          <t>Wild</t>
        </is>
      </c>
      <c r="C102" s="32" t="inlineStr">
        <is>
          <t>Postgame</t>
        </is>
      </c>
      <c r="D102" s="32" t="inlineStr">
        <is>
          <t>Postgame</t>
        </is>
      </c>
      <c r="E102" s="32" t="inlineStr">
        <is>
          <t>MAP_SAFARI_ZONE_SOUTHEAST</t>
        </is>
      </c>
      <c r="F102" s="32" t="n">
        <v>25</v>
      </c>
      <c r="G102" s="32" t="inlineStr">
        <is>
          <t>Lv 25 -&gt; Octillery</t>
        </is>
      </c>
      <c r="H102" s="32" t="inlineStr">
        <is>
          <t>see Evolution Changes sheet</t>
        </is>
      </c>
    </row>
    <row r="103">
      <c r="A103" s="76" t="inlineStr">
        <is>
          <t>Rhyhorn</t>
        </is>
      </c>
      <c r="B103" s="76" t="inlineStr">
        <is>
          <t>Wild</t>
        </is>
      </c>
      <c r="C103" s="76" t="inlineStr">
        <is>
          <t>Postgame</t>
        </is>
      </c>
      <c r="D103" s="76" t="inlineStr">
        <is>
          <t>Postgame</t>
        </is>
      </c>
      <c r="E103" s="76" t="inlineStr">
        <is>
          <t>MAP_SAFARI_ZONE_NORTHWEST</t>
        </is>
      </c>
      <c r="F103" s="76" t="n">
        <v>27</v>
      </c>
      <c r="G103" s="76" t="inlineStr">
        <is>
          <t>Lv 42 -&gt; Rhydon</t>
        </is>
      </c>
      <c r="H103" s="76" t="inlineStr">
        <is>
          <t>see Evolution Changes sheet</t>
        </is>
      </c>
    </row>
    <row r="104">
      <c r="A104" s="32" t="inlineStr">
        <is>
          <t>Sableye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Elite Four &amp; Champion, Unassigned</t>
        </is>
      </c>
      <c r="E104" s="32" t="inlineStr">
        <is>
          <t>MAP_CAVE_OF_ORIGIN_1F, MAP_CAVE_OF_ORIGIN_UNUSED_RUBY_SAPPHIRE_MAP1, MAP_CAVE_OF_ORIGIN_UNUSED_RUBY_SAPPHIRE_MAP2, MAP_CAVE_OF_ORIGIN_UNUSED_RUBY_SAPPHIRE_MAP3, MAP_GRANITE_CAVE_B1F, MAP_GRANITE_CAVE_B2F, MAP_SKY_PILLAR_1F, MAP_SKY_PILLAR_3F, MAP_SKY</t>
        </is>
      </c>
      <c r="F104" s="32" t="n">
        <v>9</v>
      </c>
      <c r="G104" s="32" t="n"/>
      <c r="H104" s="32" t="inlineStr">
        <is>
          <t>see Evolution Changes sheet</t>
        </is>
      </c>
    </row>
    <row r="105">
      <c r="A105" s="76" t="inlineStr">
        <is>
          <t>Sandshrew</t>
        </is>
      </c>
      <c r="B105" s="76" t="inlineStr">
        <is>
          <t>Wild</t>
        </is>
      </c>
      <c r="C105" s="76" t="inlineStr">
        <is>
          <t>Split 5</t>
        </is>
      </c>
      <c r="D105" s="76" t="inlineStr">
        <is>
          <t>Split 5</t>
        </is>
      </c>
      <c r="E105" s="76" t="inlineStr">
        <is>
          <t>MAP_MIRAGE_TOWER_1F, MAP_MIRAGE_TOWER_2F, MAP_MIRAGE_TOWER_3F, MAP_MIRAGE_TOWER_4F, MAP_ROUTE111</t>
        </is>
      </c>
      <c r="F105" s="76" t="n">
        <v>19</v>
      </c>
      <c r="G105" s="76" t="inlineStr">
        <is>
          <t>Lv 22 -&gt; Sandslash</t>
        </is>
      </c>
      <c r="H105" s="76" t="inlineStr">
        <is>
          <t>see Evolution Changes sheet</t>
        </is>
      </c>
    </row>
    <row r="106">
      <c r="A106" s="32" t="inlineStr">
        <is>
          <t>Seaking</t>
        </is>
      </c>
      <c r="B106" s="32" t="inlineStr">
        <is>
          <t>Wild</t>
        </is>
      </c>
      <c r="C106" s="32" t="inlineStr">
        <is>
          <t>Postgame</t>
        </is>
      </c>
      <c r="D106" s="32" t="inlineStr">
        <is>
          <t>Postgame</t>
        </is>
      </c>
      <c r="E106" s="32" t="inlineStr">
        <is>
          <t>MAP_SAFARI_ZONE_NORTHWEST, MAP_SAFARI_ZONE_SOUTHWEST</t>
        </is>
      </c>
      <c r="F106" s="32" t="n">
        <v>25</v>
      </c>
      <c r="G106" s="32" t="n"/>
      <c r="H106" s="32" t="inlineStr">
        <is>
          <t>see Evolution Changes sheet</t>
        </is>
      </c>
    </row>
    <row r="107">
      <c r="A107" s="76" t="inlineStr">
        <is>
          <t>Seedot</t>
        </is>
      </c>
      <c r="B107" s="76" t="inlineStr">
        <is>
          <t>Trade, Wild</t>
        </is>
      </c>
      <c r="C107" s="76" t="inlineStr">
        <is>
          <t>Split 1</t>
        </is>
      </c>
      <c r="D107" s="76" t="inlineStr">
        <is>
          <t>Split 1, Split 2, Split 4, Split 7</t>
        </is>
      </c>
      <c r="E107" s="76" t="inlineStr">
        <is>
          <t>MAP_ROUTE102, MAP_ROUTE117, MAP_ROUTE120, RustboroCity_House1</t>
        </is>
      </c>
      <c r="F107" s="76" t="n">
        <v>3</v>
      </c>
      <c r="G107" s="76" t="inlineStr">
        <is>
          <t>Lv 14 -&gt; Nuzleaf</t>
        </is>
      </c>
      <c r="H107" s="76" t="inlineStr">
        <is>
          <t>see Evolution Changes sheet</t>
        </is>
      </c>
    </row>
    <row r="108">
      <c r="A108" s="32" t="inlineStr">
        <is>
          <t>Seviper</t>
        </is>
      </c>
      <c r="B108" s="32" t="inlineStr">
        <is>
          <t>Wild</t>
        </is>
      </c>
      <c r="C108" s="32" t="inlineStr">
        <is>
          <t>Split 5</t>
        </is>
      </c>
      <c r="D108" s="32" t="inlineStr">
        <is>
          <t>Split 5, Unassigned</t>
        </is>
      </c>
      <c r="E108" s="32" t="inlineStr">
        <is>
          <t>MAP_ROUTE114</t>
        </is>
      </c>
      <c r="F108" s="32" t="n">
        <v>5</v>
      </c>
      <c r="G108" s="32" t="n"/>
      <c r="H108" s="32" t="inlineStr">
        <is>
          <t>see Evolution Changes sheet</t>
        </is>
      </c>
    </row>
    <row r="109">
      <c r="A109" s="76" t="inlineStr">
        <is>
          <t>Sharpedo</t>
        </is>
      </c>
      <c r="B109" s="76" t="inlineStr">
        <is>
          <t>Wild</t>
        </is>
      </c>
      <c r="C109" s="76" t="inlineStr">
        <is>
          <t>Split 1</t>
        </is>
      </c>
      <c r="D109" s="76" t="inlineStr">
        <is>
          <t>Split 1, Split 6, Split 7, Split 8, Unassigned</t>
        </is>
      </c>
      <c r="E109" s="76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09" s="76" t="n">
        <v>30</v>
      </c>
      <c r="G109" s="76" t="n"/>
      <c r="H109" s="76" t="inlineStr">
        <is>
          <t>see Evolution Changes sheet</t>
        </is>
      </c>
    </row>
    <row r="110">
      <c r="A110" s="32" t="inlineStr">
        <is>
          <t>Shroomish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MAP_PETALBURG_WOODS</t>
        </is>
      </c>
      <c r="F110" s="32" t="n">
        <v>5</v>
      </c>
      <c r="G110" s="32" t="inlineStr">
        <is>
          <t>Lv 23 -&gt; Breloom</t>
        </is>
      </c>
      <c r="H110" s="32" t="inlineStr">
        <is>
          <t>see Evolution Changes sheet</t>
        </is>
      </c>
    </row>
    <row r="111">
      <c r="A111" s="76" t="inlineStr">
        <is>
          <t>Shuckle</t>
        </is>
      </c>
      <c r="B111" s="76" t="inlineStr">
        <is>
          <t>Wild</t>
        </is>
      </c>
      <c r="C111" s="76" t="inlineStr">
        <is>
          <t>Postgame</t>
        </is>
      </c>
      <c r="D111" s="76" t="inlineStr">
        <is>
          <t>Postgame</t>
        </is>
      </c>
      <c r="E111" s="76" t="inlineStr">
        <is>
          <t>MAP_ALTERING_CAVE, MAP_SAFARI_ZONE_NORTHEAST</t>
        </is>
      </c>
      <c r="F111" s="76" t="n">
        <v>18</v>
      </c>
      <c r="G111" s="76" t="n"/>
      <c r="H111" s="76" t="inlineStr">
        <is>
          <t>see Evolution Changes sheet</t>
        </is>
      </c>
    </row>
    <row r="112">
      <c r="A112" s="32" t="inlineStr">
        <is>
          <t>Shuppet</t>
        </is>
      </c>
      <c r="B112" s="32" t="inlineStr">
        <is>
          <t>Wild</t>
        </is>
      </c>
      <c r="C112" s="32" t="inlineStr">
        <is>
          <t>Split 7</t>
        </is>
      </c>
      <c r="D112" s="32" t="inlineStr">
        <is>
          <t>Split 7</t>
        </is>
      </c>
      <c r="E112" s="32" t="inlineStr">
        <is>
          <t>MAP_MT_PYRE_1F, MAP_MT_PYRE_2F, MAP_MT_PYRE_3F, MAP_MT_PYRE_4F, MAP_MT_PYRE_5F, MAP_MT_PYRE_6F, MAP_MT_PYRE_EXTERIOR, MAP_MT_PYRE_SUMMIT, MAP_ROUTE121, MAP_ROUTE123</t>
        </is>
      </c>
      <c r="F112" s="32" t="n">
        <v>22</v>
      </c>
      <c r="G112" s="32" t="inlineStr">
        <is>
          <t>Lv 37 -&gt; Banette</t>
        </is>
      </c>
      <c r="H112" s="32" t="inlineStr">
        <is>
          <t>see Evolution Changes sheet</t>
        </is>
      </c>
    </row>
    <row r="113">
      <c r="A113" s="76" t="inlineStr">
        <is>
          <t>Silcoon</t>
        </is>
      </c>
      <c r="B113" s="76" t="inlineStr">
        <is>
          <t>Wild</t>
        </is>
      </c>
      <c r="C113" s="76" t="inlineStr">
        <is>
          <t>Split 2</t>
        </is>
      </c>
      <c r="D113" s="76" t="inlineStr">
        <is>
          <t>Split 2</t>
        </is>
      </c>
      <c r="E113" s="76" t="inlineStr">
        <is>
          <t>MAP_PETALBURG_WOODS</t>
        </is>
      </c>
      <c r="F113" s="76" t="n">
        <v>5</v>
      </c>
      <c r="G113" s="76" t="inlineStr">
        <is>
          <t>Lv 10 -&gt; Beautifly</t>
        </is>
      </c>
      <c r="H113" s="76" t="inlineStr">
        <is>
          <t>see Evolution Changes sheet</t>
        </is>
      </c>
    </row>
    <row r="114">
      <c r="A114" s="32" t="inlineStr">
        <is>
          <t>Skarmory</t>
        </is>
      </c>
      <c r="B114" s="32" t="inlineStr">
        <is>
          <t>Wild</t>
        </is>
      </c>
      <c r="C114" s="32" t="inlineStr">
        <is>
          <t>Split 5</t>
        </is>
      </c>
      <c r="D114" s="32" t="inlineStr">
        <is>
          <t>Split 5</t>
        </is>
      </c>
      <c r="E114" s="32" t="inlineStr">
        <is>
          <t>MAP_ROUTE113</t>
        </is>
      </c>
      <c r="F114" s="32" t="n">
        <v>16</v>
      </c>
      <c r="G114" s="32" t="n"/>
      <c r="H114" s="32" t="inlineStr">
        <is>
          <t>see Evolution Changes sheet</t>
        </is>
      </c>
    </row>
    <row r="115">
      <c r="A115" s="76" t="inlineStr">
        <is>
          <t>Skitty</t>
        </is>
      </c>
      <c r="B115" s="76" t="inlineStr">
        <is>
          <t>Wild</t>
        </is>
      </c>
      <c r="C115" s="76" t="inlineStr">
        <is>
          <t>Split 2</t>
        </is>
      </c>
      <c r="D115" s="76" t="inlineStr">
        <is>
          <t>Split 2</t>
        </is>
      </c>
      <c r="E115" s="76" t="inlineStr">
        <is>
          <t>MAP_ROUTE116</t>
        </is>
      </c>
      <c r="F115" s="76" t="n">
        <v>7</v>
      </c>
      <c r="G115" s="76" t="inlineStr">
        <is>
          <t>Item (Moon Stone) -&gt; Delcatty</t>
        </is>
      </c>
      <c r="H115" s="76" t="inlineStr">
        <is>
          <t>see Evolution Changes sheet</t>
        </is>
      </c>
    </row>
    <row r="116">
      <c r="A116" s="32" t="inlineStr">
        <is>
          <t>Skorupi</t>
        </is>
      </c>
      <c r="B116" s="32" t="inlineStr">
        <is>
          <t>Gift</t>
        </is>
      </c>
      <c r="C116" s="32" t="inlineStr">
        <is>
          <t>Split 3</t>
        </is>
      </c>
      <c r="D116" s="32" t="inlineStr">
        <is>
          <t>Split 3</t>
        </is>
      </c>
      <c r="E116" s="32" t="inlineStr">
        <is>
          <t>WraithwoodForest</t>
        </is>
      </c>
      <c r="F116" s="32" t="n"/>
      <c r="G116" s="32" t="inlineStr">
        <is>
          <t>Lv 32 -&gt; Drapion</t>
        </is>
      </c>
      <c r="H116" s="32" t="inlineStr">
        <is>
          <t>see Evolution Changes sheet</t>
        </is>
      </c>
    </row>
    <row r="117">
      <c r="A117" s="76" t="inlineStr">
        <is>
          <t>Slakoth</t>
        </is>
      </c>
      <c r="B117" s="76" t="inlineStr">
        <is>
          <t>Wild</t>
        </is>
      </c>
      <c r="C117" s="76" t="inlineStr">
        <is>
          <t>Split 2</t>
        </is>
      </c>
      <c r="D117" s="76" t="inlineStr">
        <is>
          <t>Split 2</t>
        </is>
      </c>
      <c r="E117" s="76" t="inlineStr">
        <is>
          <t>MAP_PETALBURG_WOODS</t>
        </is>
      </c>
      <c r="F117" s="76" t="n">
        <v>5</v>
      </c>
      <c r="G117" s="76" t="inlineStr">
        <is>
          <t>Lv 18 -&gt; Vigoroth</t>
        </is>
      </c>
      <c r="H117" s="76" t="inlineStr">
        <is>
          <t>see Evolution Changes sheet</t>
        </is>
      </c>
    </row>
    <row r="118">
      <c r="A118" s="32" t="inlineStr">
        <is>
          <t>Slugma</t>
        </is>
      </c>
      <c r="B118" s="32" t="inlineStr">
        <is>
          <t>Wild</t>
        </is>
      </c>
      <c r="C118" s="32" t="inlineStr">
        <is>
          <t>Split 5</t>
        </is>
      </c>
      <c r="D118" s="32" t="inlineStr">
        <is>
          <t>Split 5</t>
        </is>
      </c>
      <c r="E118" s="32" t="inlineStr">
        <is>
          <t>MAP_FIERY_PATH, MAP_ROUTE113</t>
        </is>
      </c>
      <c r="F118" s="32" t="n">
        <v>14</v>
      </c>
      <c r="G118" s="32" t="inlineStr">
        <is>
          <t>Lv 38 -&gt; Magcargo</t>
        </is>
      </c>
      <c r="H118" s="32" t="inlineStr">
        <is>
          <t>see Evolution Changes sheet</t>
        </is>
      </c>
    </row>
    <row r="119">
      <c r="A119" s="76" t="inlineStr">
        <is>
          <t>Smeargle</t>
        </is>
      </c>
      <c r="B119" s="76" t="inlineStr">
        <is>
          <t>Wild</t>
        </is>
      </c>
      <c r="C119" s="76" t="inlineStr">
        <is>
          <t>Postgame</t>
        </is>
      </c>
      <c r="D119" s="76" t="inlineStr">
        <is>
          <t>Postgame, Unassigned</t>
        </is>
      </c>
      <c r="E119" s="76" t="inlineStr">
        <is>
          <t>MAP_ALTERING_CAVE, MAP_ARTISAN_CAVE_1F, MAP_ARTISAN_CAVE_B1F</t>
        </is>
      </c>
      <c r="F119" s="76" t="n">
        <v>18</v>
      </c>
      <c r="G119" s="76" t="n"/>
      <c r="H119" s="76" t="inlineStr">
        <is>
          <t>see Evolution Changes sheet</t>
        </is>
      </c>
    </row>
    <row r="120">
      <c r="A120" s="32" t="inlineStr">
        <is>
          <t>Snorunt</t>
        </is>
      </c>
      <c r="B120" s="32" t="inlineStr">
        <is>
          <t>Wild</t>
        </is>
      </c>
      <c r="C120" s="32" t="inlineStr">
        <is>
          <t>Split 7</t>
        </is>
      </c>
      <c r="D120" s="32" t="inlineStr">
        <is>
          <t>Split 7</t>
        </is>
      </c>
      <c r="E120" s="32" t="inlineStr">
        <is>
          <t>MAP_SHOAL_CAVE_LOW_TIDE_ICE_ROOM</t>
        </is>
      </c>
      <c r="F120" s="32" t="n">
        <v>26</v>
      </c>
      <c r="G120" s="32" t="inlineStr">
        <is>
          <t>Lv 42 -&gt; Glalie; Item Female (Dawn Stone) -&gt; Froslass</t>
        </is>
      </c>
      <c r="H120" s="32" t="inlineStr">
        <is>
          <t>see Evolution Changes sheet</t>
        </is>
      </c>
    </row>
    <row r="121">
      <c r="A121" s="76" t="inlineStr">
        <is>
          <t>Snubbull</t>
        </is>
      </c>
      <c r="B121" s="76" t="inlineStr">
        <is>
          <t>Wild</t>
        </is>
      </c>
      <c r="C121" s="76" t="inlineStr">
        <is>
          <t>Postgame</t>
        </is>
      </c>
      <c r="D121" s="76" t="inlineStr">
        <is>
          <t>Postgame</t>
        </is>
      </c>
      <c r="E121" s="76" t="inlineStr">
        <is>
          <t>MAP_SAFARI_ZONE_SOUTHEAST</t>
        </is>
      </c>
      <c r="F121" s="76" t="n">
        <v>34</v>
      </c>
      <c r="G121" s="76" t="inlineStr">
        <is>
          <t>Lv 23 -&gt; Granbull</t>
        </is>
      </c>
      <c r="H121" s="76" t="inlineStr">
        <is>
          <t>see Evolution Changes sheet</t>
        </is>
      </c>
    </row>
    <row r="122">
      <c r="A122" s="32" t="inlineStr">
        <is>
          <t>Solrock</t>
        </is>
      </c>
      <c r="B122" s="32" t="inlineStr">
        <is>
          <t>Wild</t>
        </is>
      </c>
      <c r="C122" s="32" t="inlineStr">
        <is>
          <t>Unassigned</t>
        </is>
      </c>
      <c r="D122" s="32" t="inlineStr">
        <is>
          <t>Unassigned</t>
        </is>
      </c>
      <c r="E122" s="32" t="inlineStr">
        <is>
          <t>MAP_METEOR_FALLS_1F_1R, MAP_METEOR_FALLS_1F_2R, MAP_METEOR_FALLS_B1F_1R, MAP_METEOR_FALLS_B1F_2R, MAP_METEOR_FALLS_STEVENS_CAVE</t>
        </is>
      </c>
      <c r="F122" s="32" t="n">
        <v>5</v>
      </c>
      <c r="G122" s="32" t="n"/>
      <c r="H122" s="32" t="inlineStr">
        <is>
          <t>see Evolution Changes sheet</t>
        </is>
      </c>
    </row>
    <row r="123">
      <c r="A123" s="76" t="inlineStr">
        <is>
          <t>Spheal</t>
        </is>
      </c>
      <c r="B123" s="76" t="inlineStr">
        <is>
          <t>Wild</t>
        </is>
      </c>
      <c r="C123" s="76" t="inlineStr">
        <is>
          <t>Split 7</t>
        </is>
      </c>
      <c r="D123" s="76" t="inlineStr">
        <is>
          <t>Split 7</t>
        </is>
      </c>
      <c r="E123" s="76" t="inlineStr">
        <is>
          <t>MAP_SHOAL_CAVE_LOW_TIDE_ENTRANCE_ROOM, MAP_SHOAL_CAVE_LOW_TIDE_ICE_ROOM, MAP_SHOAL_CAVE_LOW_TIDE_INNER_ROOM, MAP_SHOAL_CAVE_LOW_TIDE_LOWER_ROOM, MAP_SHOAL_CAVE_LOW_TIDE_STAIRS_ROOM</t>
        </is>
      </c>
      <c r="F123" s="76" t="n">
        <v>25</v>
      </c>
      <c r="G123" s="76" t="inlineStr">
        <is>
          <t>Lv 32 -&gt; Sealeo</t>
        </is>
      </c>
      <c r="H123" s="76" t="inlineStr">
        <is>
          <t>see Evolution Changes sheet</t>
        </is>
      </c>
    </row>
    <row r="124">
      <c r="A124" s="32" t="inlineStr">
        <is>
          <t>Spinarak</t>
        </is>
      </c>
      <c r="B124" s="32" t="inlineStr">
        <is>
          <t>Wild</t>
        </is>
      </c>
      <c r="C124" s="32" t="inlineStr">
        <is>
          <t>Postgame</t>
        </is>
      </c>
      <c r="D124" s="32" t="inlineStr">
        <is>
          <t>Postgame</t>
        </is>
      </c>
      <c r="E124" s="32" t="inlineStr">
        <is>
          <t>MAP_SAFARI_ZONE_SOUTHEAST</t>
        </is>
      </c>
      <c r="F124" s="32" t="n">
        <v>33</v>
      </c>
      <c r="G124" s="32" t="inlineStr">
        <is>
          <t>Lv 22 -&gt; Ariados</t>
        </is>
      </c>
      <c r="H124" s="32" t="inlineStr">
        <is>
          <t>see Evolution Changes sheet</t>
        </is>
      </c>
    </row>
    <row r="125">
      <c r="A125" s="76" t="inlineStr">
        <is>
          <t>Spinda</t>
        </is>
      </c>
      <c r="B125" s="76" t="inlineStr">
        <is>
          <t>Wild</t>
        </is>
      </c>
      <c r="C125" s="76" t="inlineStr">
        <is>
          <t>Split 5</t>
        </is>
      </c>
      <c r="D125" s="76" t="inlineStr">
        <is>
          <t>Split 5</t>
        </is>
      </c>
      <c r="E125" s="76" t="inlineStr">
        <is>
          <t>MAP_ROUTE113</t>
        </is>
      </c>
      <c r="F125" s="76" t="n">
        <v>14</v>
      </c>
      <c r="G125" s="76" t="n"/>
      <c r="H125" s="76" t="inlineStr">
        <is>
          <t>see Evolution Changes sheet</t>
        </is>
      </c>
    </row>
    <row r="126">
      <c r="A126" s="32" t="inlineStr">
        <is>
          <t>Spoink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MAP_JAGGED_PASS</t>
        </is>
      </c>
      <c r="F126" s="32" t="n">
        <v>20</v>
      </c>
      <c r="G126" s="32" t="inlineStr">
        <is>
          <t>Lv 32 -&gt; Grumpig</t>
        </is>
      </c>
      <c r="H126" s="32" t="inlineStr">
        <is>
          <t>see Evolution Changes sheet</t>
        </is>
      </c>
    </row>
    <row r="127">
      <c r="A127" s="76" t="inlineStr">
        <is>
          <t>Squirtle</t>
        </is>
      </c>
      <c r="B127" s="76" t="inlineStr">
        <is>
          <t>Wild</t>
        </is>
      </c>
      <c r="C127" s="76" t="inlineStr">
        <is>
          <t>Unassigned</t>
        </is>
      </c>
      <c r="D127" s="76" t="inlineStr">
        <is>
          <t>Unassigned</t>
        </is>
      </c>
      <c r="E127" s="76" t="n"/>
      <c r="F127" s="76" t="n">
        <v>5</v>
      </c>
      <c r="G127" s="76" t="inlineStr">
        <is>
          <t>Lv 16 -&gt; Wartortle</t>
        </is>
      </c>
      <c r="H127" s="76" t="inlineStr">
        <is>
          <t>see Evolution Changes sheet</t>
        </is>
      </c>
    </row>
    <row r="128">
      <c r="A128" s="32" t="inlineStr">
        <is>
          <t>Stantler</t>
        </is>
      </c>
      <c r="B128" s="32" t="inlineStr">
        <is>
          <t>Wild</t>
        </is>
      </c>
      <c r="C128" s="32" t="inlineStr">
        <is>
          <t>Postgame</t>
        </is>
      </c>
      <c r="D128" s="32" t="inlineStr">
        <is>
          <t>Postgame</t>
        </is>
      </c>
      <c r="E128" s="32" t="inlineStr">
        <is>
          <t>MAP_ALTERING_CAVE, MAP_SAFARI_ZONE_SOUTHEAST</t>
        </is>
      </c>
      <c r="F128" s="32" t="n">
        <v>18</v>
      </c>
      <c r="G128" s="32" t="inlineStr">
        <is>
          <t>Use Move Twenty Times MOVE_PSYSHIELD_BASH -&gt; Wyrdeer</t>
        </is>
      </c>
      <c r="H128" s="32" t="inlineStr">
        <is>
          <t>see Evolution Changes sheet</t>
        </is>
      </c>
    </row>
    <row r="129">
      <c r="A129" s="76" t="inlineStr">
        <is>
          <t>Staryu</t>
        </is>
      </c>
      <c r="B129" s="76" t="inlineStr">
        <is>
          <t>Wild</t>
        </is>
      </c>
      <c r="C129" s="76" t="inlineStr">
        <is>
          <t>Split 7</t>
        </is>
      </c>
      <c r="D129" s="76" t="inlineStr">
        <is>
          <t>Split 7</t>
        </is>
      </c>
      <c r="E129" s="76" t="inlineStr">
        <is>
          <t>MAP_LILYCOVE_CITY</t>
        </is>
      </c>
      <c r="F129" s="76" t="n">
        <v>25</v>
      </c>
      <c r="G129" s="76" t="inlineStr">
        <is>
          <t>Item (Water Stone) -&gt; Starmie</t>
        </is>
      </c>
      <c r="H129" s="76" t="inlineStr">
        <is>
          <t>see Evolution Changes sheet</t>
        </is>
      </c>
    </row>
    <row r="130">
      <c r="A130" s="32" t="inlineStr">
        <is>
          <t>Sunkern</t>
        </is>
      </c>
      <c r="B130" s="32" t="inlineStr">
        <is>
          <t>Wild</t>
        </is>
      </c>
      <c r="C130" s="32" t="inlineStr">
        <is>
          <t>Postgame</t>
        </is>
      </c>
      <c r="D130" s="32" t="inlineStr">
        <is>
          <t>Postgame</t>
        </is>
      </c>
      <c r="E130" s="32" t="inlineStr">
        <is>
          <t>MAP_SAFARI_ZONE_NORTHEAST, MAP_SAFARI_ZONE_SOUTHEAST</t>
        </is>
      </c>
      <c r="F130" s="32" t="n">
        <v>33</v>
      </c>
      <c r="G130" s="32" t="inlineStr">
        <is>
          <t>Item (Sun Stone) -&gt; Sunflora</t>
        </is>
      </c>
      <c r="H130" s="32" t="inlineStr">
        <is>
          <t>see Evolution Changes sheet</t>
        </is>
      </c>
    </row>
    <row r="131">
      <c r="A131" s="76" t="inlineStr">
        <is>
          <t>Swablu</t>
        </is>
      </c>
      <c r="B131" s="76" t="inlineStr">
        <is>
          <t>Wild</t>
        </is>
      </c>
      <c r="C131" s="76" t="inlineStr">
        <is>
          <t>Split 5</t>
        </is>
      </c>
      <c r="D131" s="76" t="inlineStr">
        <is>
          <t>Split 5, Unassigned</t>
        </is>
      </c>
      <c r="E131" s="76" t="inlineStr">
        <is>
          <t>MAP_ROUTE114, MAP_ROUTE115</t>
        </is>
      </c>
      <c r="F131" s="76" t="n">
        <v>15</v>
      </c>
      <c r="G131" s="76" t="inlineStr">
        <is>
          <t>Lv 35 -&gt; Altaria</t>
        </is>
      </c>
      <c r="H131" s="76" t="inlineStr">
        <is>
          <t>see Evolution Changes sheet</t>
        </is>
      </c>
    </row>
    <row r="132">
      <c r="A132" s="32" t="inlineStr">
        <is>
          <t>Swellow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MAP_ROUTE115</t>
        </is>
      </c>
      <c r="F132" s="32" t="n">
        <v>25</v>
      </c>
      <c r="G132" s="32" t="n"/>
      <c r="H132" s="32" t="inlineStr">
        <is>
          <t>see Evolution Changes sheet</t>
        </is>
      </c>
    </row>
    <row r="133">
      <c r="A133" s="76" t="inlineStr">
        <is>
          <t>Taillow</t>
        </is>
      </c>
      <c r="B133" s="76" t="inlineStr">
        <is>
          <t>Wild</t>
        </is>
      </c>
      <c r="C133" s="76" t="inlineStr">
        <is>
          <t>Split 2</t>
        </is>
      </c>
      <c r="D133" s="76" t="inlineStr">
        <is>
          <t>Split 2, Unassigned</t>
        </is>
      </c>
      <c r="E133" s="76" t="inlineStr">
        <is>
          <t>MAP_PETALBURG_WOODS, MAP_ROUTE104, MAP_ROUTE115, MAP_ROUTE116</t>
        </is>
      </c>
      <c r="F133" s="76" t="n">
        <v>4</v>
      </c>
      <c r="G133" s="76" t="inlineStr">
        <is>
          <t>Lv 22 -&gt; Swellow</t>
        </is>
      </c>
      <c r="H133" s="76" t="inlineStr">
        <is>
          <t>see Evolution Changes sheet</t>
        </is>
      </c>
    </row>
    <row r="134">
      <c r="A134" s="32" t="inlineStr">
        <is>
          <t>Teddiursa</t>
        </is>
      </c>
      <c r="B134" s="32" t="inlineStr">
        <is>
          <t>Wild</t>
        </is>
      </c>
      <c r="C134" s="32" t="inlineStr">
        <is>
          <t>Postgame</t>
        </is>
      </c>
      <c r="D134" s="32" t="inlineStr">
        <is>
          <t>Postgame</t>
        </is>
      </c>
      <c r="E134" s="32" t="inlineStr">
        <is>
          <t>MAP_ALTERING_CAVE, MAP_SAFARI_ZONE_NORTHEAST</t>
        </is>
      </c>
      <c r="F134" s="32" t="n">
        <v>6</v>
      </c>
      <c r="G134" s="32" t="inlineStr">
        <is>
          <t>Lv 30 -&gt; Ursaring</t>
        </is>
      </c>
      <c r="H134" s="32" t="inlineStr">
        <is>
          <t>see Evolution Changes sheet</t>
        </is>
      </c>
    </row>
    <row r="135">
      <c r="A135" s="76" t="inlineStr">
        <is>
          <t>Tentacool</t>
        </is>
      </c>
      <c r="B135" s="76" t="inlineStr">
        <is>
          <t>Wild</t>
        </is>
      </c>
      <c r="C135" s="76" t="inlineStr">
        <is>
          <t>Split 1</t>
        </is>
      </c>
      <c r="D135" s="76" t="inlineStr">
        <is>
          <t>Split 1, Split 3, Split 4, Split 6, Split 7, Split 8, Elite Four &amp; Champion, Unassigned</t>
        </is>
      </c>
      <c r="E135" s="76" t="inlineStr">
        <is>
          <t>MAP_ABANDONED_SHIP_HIDDEN_FLOOR_CORRIDORS, MAP_ABANDONED_SHIP_ROOMS_B1F, MAP_DEWFORD_TOWN, MAP_EVER_GRANDE_CITY, MAP_LILYCOVE_CITY, MAP_MOSSDEEP_CITY, MAP_PACIFIDLOG_TOWN, MAP_ROUTE103, MAP_ROUTE105, MAP_ROUTE106, MAP_ROUTE107, MAP_ROUTE108, MAP_ROUT</t>
        </is>
      </c>
      <c r="F135" s="76" t="n">
        <v>5</v>
      </c>
      <c r="G135" s="76" t="inlineStr">
        <is>
          <t>Lv 30 -&gt; Tentacruel</t>
        </is>
      </c>
      <c r="H135" s="76" t="inlineStr">
        <is>
          <t>see Evolution Changes sheet</t>
        </is>
      </c>
    </row>
    <row r="136">
      <c r="A136" s="32" t="inlineStr">
        <is>
          <t>Tentacruel</t>
        </is>
      </c>
      <c r="B136" s="32" t="inlineStr">
        <is>
          <t>Wild</t>
        </is>
      </c>
      <c r="C136" s="32" t="inlineStr">
        <is>
          <t>Split 4</t>
        </is>
      </c>
      <c r="D136" s="32" t="inlineStr">
        <is>
          <t>Split 4</t>
        </is>
      </c>
      <c r="E136" s="32" t="inlineStr">
        <is>
          <t>MAP_ABANDONED_SHIP_HIDDEN_FLOOR_CORRIDORS, MAP_ABANDONED_SHIP_ROOMS_B1F</t>
        </is>
      </c>
      <c r="F136" s="32" t="n">
        <v>20</v>
      </c>
      <c r="G136" s="32" t="n"/>
      <c r="H136" s="32" t="inlineStr">
        <is>
          <t>see Evolution Changes sheet</t>
        </is>
      </c>
    </row>
    <row r="137">
      <c r="A137" s="76" t="inlineStr">
        <is>
          <t>Torkoal</t>
        </is>
      </c>
      <c r="B137" s="76" t="inlineStr">
        <is>
          <t>Wild</t>
        </is>
      </c>
      <c r="C137" s="76" t="inlineStr">
        <is>
          <t>Split 5</t>
        </is>
      </c>
      <c r="D137" s="76" t="inlineStr">
        <is>
          <t>Split 5</t>
        </is>
      </c>
      <c r="E137" s="76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137" s="76" t="n">
        <v>14</v>
      </c>
      <c r="G137" s="76" t="n"/>
      <c r="H137" s="76" t="inlineStr">
        <is>
          <t>see Evolution Changes sheet</t>
        </is>
      </c>
    </row>
    <row r="138">
      <c r="A138" s="32" t="inlineStr">
        <is>
          <t>Totodile</t>
        </is>
      </c>
      <c r="B138" s="32" t="inlineStr">
        <is>
          <t>Gift, Trade</t>
        </is>
      </c>
      <c r="C138" s="32" t="inlineStr">
        <is>
          <t>Split 1</t>
        </is>
      </c>
      <c r="D138" s="32" t="inlineStr">
        <is>
          <t>Split 1, Unassigned</t>
        </is>
      </c>
      <c r="E138" s="32" t="inlineStr">
        <is>
          <t>LittlerootTown_ProfessorBirchsLab, StarterRoom</t>
        </is>
      </c>
      <c r="F138" s="32" t="n"/>
      <c r="G138" s="32" t="inlineStr">
        <is>
          <t>Lv 18 -&gt; Croconaw</t>
        </is>
      </c>
      <c r="H138" s="32" t="inlineStr">
        <is>
          <t>see Evolution Changes sheet</t>
        </is>
      </c>
    </row>
    <row r="139">
      <c r="A139" s="76" t="inlineStr">
        <is>
          <t>Trapinch</t>
        </is>
      </c>
      <c r="B139" s="76" t="inlineStr">
        <is>
          <t>Wild</t>
        </is>
      </c>
      <c r="C139" s="76" t="inlineStr">
        <is>
          <t>Split 5</t>
        </is>
      </c>
      <c r="D139" s="76" t="inlineStr">
        <is>
          <t>Split 5</t>
        </is>
      </c>
      <c r="E139" s="76" t="inlineStr">
        <is>
          <t>MAP_MIRAGE_TOWER_1F, MAP_MIRAGE_TOWER_2F, MAP_MIRAGE_TOWER_3F, MAP_MIRAGE_TOWER_4F, MAP_ROUTE111</t>
        </is>
      </c>
      <c r="F139" s="76" t="n">
        <v>19</v>
      </c>
      <c r="G139" s="76" t="inlineStr">
        <is>
          <t>Lv 35 -&gt; Vibrava</t>
        </is>
      </c>
      <c r="H139" s="76" t="inlineStr">
        <is>
          <t>see Evolution Changes sheet</t>
        </is>
      </c>
    </row>
    <row r="140">
      <c r="A140" s="32" t="inlineStr">
        <is>
          <t>Tropius</t>
        </is>
      </c>
      <c r="B140" s="32" t="inlineStr">
        <is>
          <t>Wild</t>
        </is>
      </c>
      <c r="C140" s="32" t="inlineStr">
        <is>
          <t>Split 6</t>
        </is>
      </c>
      <c r="D140" s="32" t="inlineStr">
        <is>
          <t>Split 6</t>
        </is>
      </c>
      <c r="E140" s="32" t="inlineStr">
        <is>
          <t>MAP_ROUTE119</t>
        </is>
      </c>
      <c r="F140" s="32" t="n">
        <v>25</v>
      </c>
      <c r="G140" s="32" t="n"/>
      <c r="H140" s="32" t="inlineStr">
        <is>
          <t>see Evolution Changes sheet</t>
        </is>
      </c>
    </row>
    <row r="141">
      <c r="A141" s="76" t="inlineStr">
        <is>
          <t>Venusaur</t>
        </is>
      </c>
      <c r="B141" s="76" t="inlineStr">
        <is>
          <t>Wild</t>
        </is>
      </c>
      <c r="C141" s="76" t="inlineStr">
        <is>
          <t>Unassigned</t>
        </is>
      </c>
      <c r="D141" s="76" t="inlineStr">
        <is>
          <t>Unassigned</t>
        </is>
      </c>
      <c r="E141" s="76" t="n"/>
      <c r="F141" s="76" t="n">
        <v>5</v>
      </c>
      <c r="G141" s="76" t="n"/>
      <c r="H141" s="76" t="inlineStr">
        <is>
          <t>see Evolution Changes sheet</t>
        </is>
      </c>
    </row>
    <row r="142">
      <c r="A142" s="32" t="inlineStr">
        <is>
          <t>Volbeat</t>
        </is>
      </c>
      <c r="B142" s="32" t="inlineStr">
        <is>
          <t>Wild</t>
        </is>
      </c>
      <c r="C142" s="32" t="inlineStr">
        <is>
          <t>Split 4</t>
        </is>
      </c>
      <c r="D142" s="32" t="inlineStr">
        <is>
          <t>Split 4</t>
        </is>
      </c>
      <c r="E142" s="32" t="inlineStr">
        <is>
          <t>MAP_ROUTE117</t>
        </is>
      </c>
      <c r="F142" s="32" t="n">
        <v>13</v>
      </c>
      <c r="G142" s="32" t="n"/>
      <c r="H142" s="32" t="inlineStr">
        <is>
          <t>see Evolution Changes sheet</t>
        </is>
      </c>
    </row>
    <row r="143">
      <c r="A143" s="76" t="inlineStr">
        <is>
          <t>Voltorb</t>
        </is>
      </c>
      <c r="B143" s="76" t="inlineStr">
        <is>
          <t>Wild</t>
        </is>
      </c>
      <c r="C143" s="76" t="inlineStr">
        <is>
          <t>Split 4</t>
        </is>
      </c>
      <c r="D143" s="76" t="inlineStr">
        <is>
          <t>Split 4</t>
        </is>
      </c>
      <c r="E143" s="76" t="inlineStr">
        <is>
          <t>MAP_NEW_MAUVILLE_ENTRANCE, MAP_NEW_MAUVILLE_INSIDE</t>
        </is>
      </c>
      <c r="F143" s="76" t="n">
        <v>22</v>
      </c>
      <c r="G143" s="76" t="inlineStr">
        <is>
          <t>Lv 30 -&gt; Electrode</t>
        </is>
      </c>
      <c r="H143" s="76" t="inlineStr">
        <is>
          <t>see Evolution Changes sheet</t>
        </is>
      </c>
    </row>
    <row r="144">
      <c r="A144" s="32" t="inlineStr">
        <is>
          <t>Vulpix</t>
        </is>
      </c>
      <c r="B144" s="32" t="inlineStr">
        <is>
          <t>Wild</t>
        </is>
      </c>
      <c r="C144" s="32" t="inlineStr">
        <is>
          <t>Split 7</t>
        </is>
      </c>
      <c r="D144" s="32" t="inlineStr">
        <is>
          <t>Split 7</t>
        </is>
      </c>
      <c r="E144" s="32" t="inlineStr">
        <is>
          <t>MAP_MT_PYRE_EXTERIOR</t>
        </is>
      </c>
      <c r="F144" s="32" t="n">
        <v>25</v>
      </c>
      <c r="G144" s="32" t="inlineStr">
        <is>
          <t>Item (Fire Stone) -&gt; Ninetales</t>
        </is>
      </c>
      <c r="H144" s="32" t="inlineStr">
        <is>
          <t>see Evolution Changes sheet</t>
        </is>
      </c>
    </row>
    <row r="145">
      <c r="A145" s="76" t="inlineStr">
        <is>
          <t>Wailmer</t>
        </is>
      </c>
      <c r="B145" s="76" t="inlineStr">
        <is>
          <t>Wild</t>
        </is>
      </c>
      <c r="C145" s="76" t="inlineStr">
        <is>
          <t>Split 1</t>
        </is>
      </c>
      <c r="D145" s="76" t="inlineStr">
        <is>
          <t>Split 1, Split 3, Split 4, Split 7, Split 8, Elite Four &amp; Champion, Unassigned</t>
        </is>
      </c>
      <c r="E145" s="76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145" s="76" t="n">
        <v>10</v>
      </c>
      <c r="G145" s="76" t="inlineStr">
        <is>
          <t>Lv 40 -&gt; Wailord</t>
        </is>
      </c>
      <c r="H145" s="76" t="inlineStr">
        <is>
          <t>see Evolution Changes sheet</t>
        </is>
      </c>
    </row>
    <row r="146">
      <c r="A146" s="32" t="inlineStr">
        <is>
          <t>Wailord</t>
        </is>
      </c>
      <c r="B146" s="32" t="inlineStr">
        <is>
          <t>Wild</t>
        </is>
      </c>
      <c r="C146" s="32" t="inlineStr">
        <is>
          <t>Unassigned</t>
        </is>
      </c>
      <c r="D146" s="32" t="inlineStr">
        <is>
          <t>Unassigned</t>
        </is>
      </c>
      <c r="E146" s="32" t="inlineStr">
        <is>
          <t>MAP_ROUTE129</t>
        </is>
      </c>
      <c r="F146" s="32" t="n">
        <v>25</v>
      </c>
      <c r="G146" s="32" t="n"/>
      <c r="H146" s="32" t="inlineStr">
        <is>
          <t>see Evolution Changes sheet</t>
        </is>
      </c>
    </row>
    <row r="147">
      <c r="A147" s="76" t="inlineStr">
        <is>
          <t>Wartortle</t>
        </is>
      </c>
      <c r="B147" s="76" t="inlineStr">
        <is>
          <t>Wild</t>
        </is>
      </c>
      <c r="C147" s="76" t="inlineStr">
        <is>
          <t>Unassigned</t>
        </is>
      </c>
      <c r="D147" s="76" t="inlineStr">
        <is>
          <t>Unassigned</t>
        </is>
      </c>
      <c r="E147" s="76" t="n"/>
      <c r="F147" s="76" t="n">
        <v>5</v>
      </c>
      <c r="G147" s="76" t="inlineStr">
        <is>
          <t>Lv 36 -&gt; Blastoise</t>
        </is>
      </c>
      <c r="H147" s="76" t="inlineStr">
        <is>
          <t>see Evolution Changes sheet</t>
        </is>
      </c>
    </row>
    <row r="148">
      <c r="A148" s="32" t="inlineStr">
        <is>
          <t>Weedle</t>
        </is>
      </c>
      <c r="B148" s="32" t="inlineStr">
        <is>
          <t>Wild</t>
        </is>
      </c>
      <c r="C148" s="32" t="inlineStr">
        <is>
          <t>Split 1</t>
        </is>
      </c>
      <c r="D148" s="32" t="inlineStr">
        <is>
          <t>Split 1</t>
        </is>
      </c>
      <c r="E148" s="32" t="inlineStr">
        <is>
          <t>MAP_VIRIDIAN_FOREST</t>
        </is>
      </c>
      <c r="F148" s="32" t="n">
        <v>9</v>
      </c>
      <c r="G148" s="32" t="inlineStr">
        <is>
          <t>Lv 7 -&gt; Kakuna</t>
        </is>
      </c>
      <c r="H148" s="32" t="inlineStr">
        <is>
          <t>see Evolution Changes sheet</t>
        </is>
      </c>
    </row>
    <row r="149">
      <c r="A149" s="76" t="inlineStr">
        <is>
          <t>Whiscash</t>
        </is>
      </c>
      <c r="B149" s="76" t="inlineStr">
        <is>
          <t>Wild</t>
        </is>
      </c>
      <c r="C149" s="76" t="inlineStr">
        <is>
          <t>Elite Four &amp; Champion</t>
        </is>
      </c>
      <c r="D149" s="76" t="inlineStr">
        <is>
          <t>Elite Four &amp; Champion, Unassigned</t>
        </is>
      </c>
      <c r="E149" s="76" t="inlineStr">
        <is>
          <t>MAP_METEOR_FALLS_1F_2R, MAP_METEOR_FALLS_B1F_1R, MAP_METEOR_FALLS_B1F_2R, MAP_VICTORY_ROAD_B2F</t>
        </is>
      </c>
      <c r="F149" s="76" t="n">
        <v>30</v>
      </c>
      <c r="G149" s="76" t="n"/>
      <c r="H149" s="76" t="inlineStr">
        <is>
          <t>see Evolution Changes sheet</t>
        </is>
      </c>
    </row>
    <row r="150">
      <c r="A150" s="32" t="inlineStr">
        <is>
          <t>Whismur</t>
        </is>
      </c>
      <c r="B150" s="32" t="inlineStr">
        <is>
          <t>Wild</t>
        </is>
      </c>
      <c r="C150" s="32" t="inlineStr">
        <is>
          <t>Split 2</t>
        </is>
      </c>
      <c r="D150" s="32" t="inlineStr">
        <is>
          <t>Split 2, Elite Four &amp; Champion, Postgame</t>
        </is>
      </c>
      <c r="E150" s="32" t="inlineStr">
        <is>
          <t>MAP_DESERT_UNDERPASS, MAP_ROUTE116, MAP_RUSTURF_TUNNEL, MAP_VICTORY_ROAD_1F</t>
        </is>
      </c>
      <c r="F150" s="32" t="n">
        <v>5</v>
      </c>
      <c r="G150" s="32" t="inlineStr">
        <is>
          <t>Lv 20 -&gt; Loudred</t>
        </is>
      </c>
      <c r="H150" s="32" t="inlineStr">
        <is>
          <t>see Evolution Changes sheet</t>
        </is>
      </c>
    </row>
    <row r="151">
      <c r="A151" s="76" t="inlineStr">
        <is>
          <t>Wingull</t>
        </is>
      </c>
      <c r="B151" s="76" t="inlineStr">
        <is>
          <t>Wild</t>
        </is>
      </c>
      <c r="C151" s="76" t="inlineStr">
        <is>
          <t>Split 1</t>
        </is>
      </c>
      <c r="D151" s="76" t="inlineStr">
        <is>
          <t>Split 1, Split 2, Split 3, Split 4, Split 6, Split 7, Split 8, Elite Four &amp; Champion, Unassigned</t>
        </is>
      </c>
      <c r="E151" s="76" t="inlineStr">
        <is>
          <t>MAP_DEWFORD_TOWN, MAP_EVER_GRANDE_CITY, MAP_LILYCOVE_CITY, MAP_MOSSDEEP_CITY, MAP_MT_PYRE_EXTERIOR, MAP_PACIFIDLOG_TOWN, MAP_ROUTE103, MAP_ROUTE104, MAP_ROUTE105, MAP_ROUTE106, MAP_ROUTE107, MAP_ROUTE108, MAP_ROUTE109, MAP_ROUTE110, MAP_ROUTE115, MAP</t>
        </is>
      </c>
      <c r="F151" s="76" t="n">
        <v>2</v>
      </c>
      <c r="G151" s="76" t="inlineStr">
        <is>
          <t>Lv 25 -&gt; Pelipper</t>
        </is>
      </c>
      <c r="H151" s="76" t="inlineStr">
        <is>
          <t>see Evolution Changes sheet</t>
        </is>
      </c>
    </row>
    <row r="152">
      <c r="A152" s="32" t="inlineStr">
        <is>
          <t>Wobbuffet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Postgame, Unassigned</t>
        </is>
      </c>
      <c r="E152" s="32" t="inlineStr">
        <is>
          <t>MAP_SAFARI_ZONE_SOUTH, MAP_SAFARI_ZONE_SOUTHWEST</t>
        </is>
      </c>
      <c r="F152" s="32" t="n">
        <v>5</v>
      </c>
      <c r="G152" s="32" t="n"/>
      <c r="H152" s="32" t="inlineStr">
        <is>
          <t>see Evolution Changes sheet</t>
        </is>
      </c>
    </row>
    <row r="153">
      <c r="A153" s="76" t="inlineStr">
        <is>
          <t>Wooper</t>
        </is>
      </c>
      <c r="B153" s="76" t="inlineStr">
        <is>
          <t>Wild</t>
        </is>
      </c>
      <c r="C153" s="76" t="inlineStr">
        <is>
          <t>Postgame</t>
        </is>
      </c>
      <c r="D153" s="76" t="inlineStr">
        <is>
          <t>Postgame</t>
        </is>
      </c>
      <c r="E153" s="76" t="inlineStr">
        <is>
          <t>MAP_SAFARI_ZONE_SOUTHEAST</t>
        </is>
      </c>
      <c r="F153" s="76" t="n">
        <v>25</v>
      </c>
      <c r="G153" s="76" t="inlineStr">
        <is>
          <t>Lv 20 -&gt; Quagsire</t>
        </is>
      </c>
      <c r="H153" s="76" t="inlineStr">
        <is>
          <t>see Evolution Changes sheet</t>
        </is>
      </c>
    </row>
    <row r="154">
      <c r="A154" s="32" t="inlineStr">
        <is>
          <t>Wurmple</t>
        </is>
      </c>
      <c r="B154" s="32" t="inlineStr">
        <is>
          <t>Wild</t>
        </is>
      </c>
      <c r="C154" s="32" t="inlineStr">
        <is>
          <t>Split 1</t>
        </is>
      </c>
      <c r="D154" s="32" t="inlineStr">
        <is>
          <t>Split 1, Split 2</t>
        </is>
      </c>
      <c r="E154" s="32" t="inlineStr">
        <is>
          <t>MAP_PETALBURG_WOODS, MAP_ROUTE101, MAP_ROUTE102, MAP_ROUTE104</t>
        </is>
      </c>
      <c r="F154" s="32" t="n">
        <v>2</v>
      </c>
      <c r="G154" s="32" t="inlineStr">
        <is>
          <t>Level Silcoon 7 -&gt; Silcoon; Level Cascoon 7 -&gt; Cascoon</t>
        </is>
      </c>
      <c r="H154" s="32" t="inlineStr">
        <is>
          <t>see Evolution Changes sheet</t>
        </is>
      </c>
    </row>
    <row r="155">
      <c r="A155" s="76" t="inlineStr">
        <is>
          <t>Wynaut</t>
        </is>
      </c>
      <c r="B155" s="76" t="inlineStr">
        <is>
          <t>Wild</t>
        </is>
      </c>
      <c r="C155" s="76" t="inlineStr">
        <is>
          <t>Unassigned</t>
        </is>
      </c>
      <c r="D155" s="76" t="inlineStr">
        <is>
          <t>Unassigned</t>
        </is>
      </c>
      <c r="E155" s="76" t="inlineStr">
        <is>
          <t>MAP_ROUTE130</t>
        </is>
      </c>
      <c r="F155" s="76" t="n">
        <v>5</v>
      </c>
      <c r="G155" s="76" t="inlineStr">
        <is>
          <t>Lv 15 -&gt; Wobbuffet</t>
        </is>
      </c>
      <c r="H155" s="76" t="inlineStr">
        <is>
          <t>see Evolution Changes sheet</t>
        </is>
      </c>
    </row>
    <row r="156">
      <c r="A156" s="32" t="inlineStr">
        <is>
          <t>Xatu</t>
        </is>
      </c>
      <c r="B156" s="32" t="inlineStr">
        <is>
          <t>Wild</t>
        </is>
      </c>
      <c r="C156" s="32" t="inlineStr">
        <is>
          <t>Postgame</t>
        </is>
      </c>
      <c r="D156" s="32" t="inlineStr">
        <is>
          <t>Postgame</t>
        </is>
      </c>
      <c r="E156" s="32" t="inlineStr">
        <is>
          <t>MAP_SAFARI_ZONE_NORTH</t>
        </is>
      </c>
      <c r="F156" s="32" t="n">
        <v>29</v>
      </c>
      <c r="G156" s="32" t="n"/>
      <c r="H156" s="32" t="inlineStr">
        <is>
          <t>see Evolution Changes sheet</t>
        </is>
      </c>
    </row>
    <row r="157">
      <c r="A157" s="76" t="inlineStr">
        <is>
          <t>Zigzagoon</t>
        </is>
      </c>
      <c r="B157" s="76" t="inlineStr">
        <is>
          <t>Wild</t>
        </is>
      </c>
      <c r="C157" s="76" t="inlineStr">
        <is>
          <t>Split 1</t>
        </is>
      </c>
      <c r="D157" s="76" t="inlineStr">
        <is>
          <t>Split 1, Split 6</t>
        </is>
      </c>
      <c r="E157" s="76" t="inlineStr">
        <is>
          <t>MAP_ROUTE101, MAP_ROUTE102, MAP_ROUTE103, MAP_ROUTE118, MAP_ROUTE119</t>
        </is>
      </c>
      <c r="F157" s="76" t="n">
        <v>2</v>
      </c>
      <c r="G157" s="76" t="inlineStr">
        <is>
          <t>Lv 20 -&gt; Linoone</t>
        </is>
      </c>
      <c r="H157" s="76" t="inlineStr">
        <is>
          <t>see Evolution Changes sheet</t>
        </is>
      </c>
    </row>
    <row r="158">
      <c r="A158" s="32" t="inlineStr">
        <is>
          <t>Zubat</t>
        </is>
      </c>
      <c r="B158" s="32" t="inlineStr">
        <is>
          <t>Wild</t>
        </is>
      </c>
      <c r="C158" s="32" t="inlineStr">
        <is>
          <t>Split 3</t>
        </is>
      </c>
      <c r="D158" s="32" t="inlineStr">
        <is>
          <t>Split 3, Split 7, Split 8, Elite Four &amp; Champion, Postgame, Unassigned</t>
        </is>
      </c>
      <c r="E158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158" s="32" t="n">
        <v>5</v>
      </c>
      <c r="G158" s="32" t="inlineStr">
        <is>
          <t>Lv 22 -&gt; Golbat</t>
        </is>
      </c>
      <c r="H158" s="32" t="inlineStr">
        <is>
          <t>see Evolution Changes sheet</t>
        </is>
      </c>
    </row>
  </sheetData>
  <autoFilter ref="A1:H1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0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6" t="inlineStr">
        <is>
          <t>Gift (script)</t>
        </is>
      </c>
      <c r="B3" s="76" t="inlineStr">
        <is>
          <t>Chikorita</t>
        </is>
      </c>
      <c r="C3" s="76" t="n">
        <v>5</v>
      </c>
      <c r="D3" s="76" t="inlineStr">
        <is>
          <t>LittlerootTown_ProfessorBirchsLab</t>
        </is>
      </c>
      <c r="E3" s="76" t="inlineStr">
        <is>
          <t>Postgame</t>
        </is>
      </c>
      <c r="F3" s="76" t="n"/>
      <c r="G3" s="76" t="n"/>
      <c r="H3" s="76" t="inlineStr">
        <is>
          <t>default</t>
        </is>
      </c>
      <c r="I3" s="76" t="n"/>
      <c r="J3" s="76" t="inlineStr">
        <is>
          <t>Postgame: Birch's National Dex Johto-starter choice</t>
        </is>
      </c>
      <c r="K3" s="76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6" t="inlineStr">
        <is>
          <t>Gift (script)</t>
        </is>
      </c>
      <c r="B5" s="76" t="inlineStr">
        <is>
          <t>Totodile</t>
        </is>
      </c>
      <c r="C5" s="76" t="n">
        <v>5</v>
      </c>
      <c r="D5" s="76" t="inlineStr">
        <is>
          <t>LittlerootTown_ProfessorBirchsLab</t>
        </is>
      </c>
      <c r="E5" s="76" t="inlineStr">
        <is>
          <t>Postgame</t>
        </is>
      </c>
      <c r="F5" s="76" t="n"/>
      <c r="G5" s="76" t="n"/>
      <c r="H5" s="76" t="inlineStr">
        <is>
          <t>default</t>
        </is>
      </c>
      <c r="I5" s="76" t="n"/>
      <c r="J5" s="76" t="inlineStr">
        <is>
          <t>Postgame: Birch's National Dex Johto-starter choice</t>
        </is>
      </c>
      <c r="K5" s="76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6" t="inlineStr">
        <is>
          <t>Gift (script)</t>
        </is>
      </c>
      <c r="B7" s="76" t="inlineStr">
        <is>
          <t>Castform Normal</t>
        </is>
      </c>
      <c r="C7" s="76" t="n">
        <v>25</v>
      </c>
      <c r="D7" s="76" t="inlineStr">
        <is>
          <t>Route119_WeatherInstitute_2F</t>
        </is>
      </c>
      <c r="E7" s="76" t="inlineStr">
        <is>
          <t>Split 6</t>
        </is>
      </c>
      <c r="F7" s="76" t="n"/>
      <c r="G7" s="76" t="n"/>
      <c r="H7" s="76" t="inlineStr">
        <is>
          <t>default</t>
        </is>
      </c>
      <c r="I7" s="76" t="n"/>
      <c r="J7" s="76" t="n"/>
      <c r="K7" s="76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6" t="inlineStr">
        <is>
          <t>Gift (script)</t>
        </is>
      </c>
      <c r="B9" s="76" t="inlineStr">
        <is>
          <t>Lileep</t>
        </is>
      </c>
      <c r="C9" s="76" t="n">
        <v>20</v>
      </c>
      <c r="D9" s="76" t="inlineStr">
        <is>
          <t>RustboroCity_DevonCorp_2F</t>
        </is>
      </c>
      <c r="E9" s="76" t="inlineStr">
        <is>
          <t>Split 2</t>
        </is>
      </c>
      <c r="F9" s="76" t="n"/>
      <c r="G9" s="76" t="n"/>
      <c r="H9" s="76" t="inlineStr">
        <is>
          <t>default</t>
        </is>
      </c>
      <c r="I9" s="76" t="n"/>
      <c r="J9" s="76" t="n"/>
      <c r="K9" s="76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6" t="inlineStr">
        <is>
          <t>Gift (script)</t>
        </is>
      </c>
      <c r="B11" s="76" t="inlineStr">
        <is>
          <t>Cyndaquil</t>
        </is>
      </c>
      <c r="C11" s="76" t="n">
        <v>5</v>
      </c>
      <c r="D11" s="76" t="inlineStr">
        <is>
          <t>StarterRoom</t>
        </is>
      </c>
      <c r="E11" s="76" t="inlineStr">
        <is>
          <t>Split 1</t>
        </is>
      </c>
      <c r="F11" s="76" t="n"/>
      <c r="G11" s="76" t="n"/>
      <c r="H11" s="76" t="inlineStr">
        <is>
          <t>default</t>
        </is>
      </c>
      <c r="I11" s="76" t="n"/>
      <c r="J11" s="76" t="inlineStr">
        <is>
          <t>Free gift - choose one (not a trade). Littleroot Town Starter Room, after the Pokédex.</t>
        </is>
      </c>
      <c r="K11" s="76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6" t="inlineStr">
        <is>
          <t>Gift (script)</t>
        </is>
      </c>
      <c r="B13" s="76" t="inlineStr">
        <is>
          <t>Skorupi</t>
        </is>
      </c>
      <c r="C13" s="76" t="n">
        <v>22</v>
      </c>
      <c r="D13" s="76" t="inlineStr">
        <is>
          <t>WraithwoodForest</t>
        </is>
      </c>
      <c r="E13" s="76" t="inlineStr">
        <is>
          <t>Split 3</t>
        </is>
      </c>
      <c r="F13" s="76" t="inlineStr">
        <is>
          <t>Jolly</t>
        </is>
      </c>
      <c r="G13" s="76" t="n">
        <v>0</v>
      </c>
      <c r="H13" s="76" t="inlineStr">
        <is>
          <t>31 all</t>
        </is>
      </c>
      <c r="I13" s="76" t="n"/>
      <c r="J13" s="76" t="inlineStr">
        <is>
          <t>Poison Jab, Slash, Bite, Pin Missile</t>
        </is>
      </c>
      <c r="K13" s="76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-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-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6" t="inlineStr">
        <is>
          <t>In-game Trade</t>
        </is>
      </c>
      <c r="B15" s="76" t="inlineStr">
        <is>
          <t>Plusle</t>
        </is>
      </c>
      <c r="C15" s="76" t="inlineStr">
        <is>
          <t>-</t>
        </is>
      </c>
      <c r="D15" s="76" t="inlineStr">
        <is>
          <t>FortreeCity_House1</t>
        </is>
      </c>
      <c r="E15" s="76" t="inlineStr">
        <is>
          <t>Split 6</t>
        </is>
      </c>
      <c r="F15" s="76" t="inlineStr">
        <is>
          <t>-</t>
        </is>
      </c>
      <c r="G15" s="76" t="n">
        <v>0</v>
      </c>
      <c r="H15" s="76" t="inlineStr">
        <is>
          <t>4, 4, 4, 5, 5, 4</t>
        </is>
      </c>
      <c r="I15" s="76" t="inlineStr">
        <is>
          <t>Wood Mail</t>
        </is>
      </c>
      <c r="J15" s="76" t="inlineStr">
        <is>
          <t>Nickname PLUSES, OT ROMAN</t>
        </is>
      </c>
      <c r="K15" s="76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-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-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6" t="inlineStr">
        <is>
          <t>In-game Trade</t>
        </is>
      </c>
      <c r="B17" s="76" t="inlineStr">
        <is>
          <t>Meowth</t>
        </is>
      </c>
      <c r="C17" s="76" t="inlineStr">
        <is>
          <t>-</t>
        </is>
      </c>
      <c r="D17" s="76" t="inlineStr">
        <is>
          <t>BattleFrontier_Lounge6</t>
        </is>
      </c>
      <c r="E17" s="76" t="inlineStr">
        <is>
          <t>Postgame</t>
        </is>
      </c>
      <c r="F17" s="76" t="inlineStr">
        <is>
          <t>-</t>
        </is>
      </c>
      <c r="G17" s="76" t="n">
        <v>0</v>
      </c>
      <c r="H17" s="76" t="inlineStr">
        <is>
          <t>4, 5, 4, 5, 4, 4</t>
        </is>
      </c>
      <c r="I17" s="76" t="inlineStr">
        <is>
          <t>Retro Mail</t>
        </is>
      </c>
      <c r="J17" s="76" t="inlineStr">
        <is>
          <t>Nickname MEOWOW, OT ISIS</t>
        </is>
      </c>
      <c r="K17" s="76" t="inlineStr">
        <is>
          <t>Skitty</t>
        </is>
      </c>
    </row>
  </sheetData>
  <autoFilter ref="A1:K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Coords</t>
        </is>
      </c>
      <c r="G1" s="5" t="inlineStr">
        <is>
          <t>Note</t>
        </is>
      </c>
    </row>
    <row r="2">
      <c r="A2" s="32" t="inlineStr">
        <is>
          <t>HM06</t>
        </is>
      </c>
      <c r="B2" s="32" t="inlineStr">
        <is>
          <t>Rock Smash</t>
        </is>
      </c>
      <c r="C2" s="32" t="inlineStr">
        <is>
          <t>Gift (end of forest)</t>
        </is>
      </c>
      <c r="D2" s="32" t="inlineStr">
        <is>
          <t>Viridian Forest</t>
        </is>
      </c>
      <c r="E2" s="32" t="inlineStr">
        <is>
          <t>Split 1</t>
        </is>
      </c>
      <c r="F2" s="32" t="inlineStr">
        <is>
          <t>(13, 1)</t>
        </is>
      </c>
      <c r="G2" s="32" t="inlineStr">
        <is>
          <t>In ROM, not playtested yet - optional; Mauville City still gives one too</t>
        </is>
      </c>
    </row>
    <row r="3">
      <c r="A3" s="76" t="inlineStr">
        <is>
          <t>TM18</t>
        </is>
      </c>
      <c r="B3" s="76" t="inlineStr">
        <is>
          <t>Rain Dance</t>
        </is>
      </c>
      <c r="C3" s="76" t="inlineStr">
        <is>
          <t>Item Ball</t>
        </is>
      </c>
      <c r="D3" s="76" t="inlineStr">
        <is>
          <t>Abandoned Ship - Hidden Floor Rooms</t>
        </is>
      </c>
      <c r="E3" s="76" t="inlineStr">
        <is>
          <t>Split 4</t>
        </is>
      </c>
      <c r="F3" s="76" t="inlineStr">
        <is>
          <t>(5, 11)</t>
        </is>
      </c>
      <c r="G3" s="76" t="n"/>
    </row>
    <row r="4">
      <c r="A4" s="32" t="inlineStr">
        <is>
          <t>TM13</t>
        </is>
      </c>
      <c r="B4" s="32" t="inlineStr">
        <is>
          <t>Ice Beam</t>
        </is>
      </c>
      <c r="C4" s="32" t="inlineStr">
        <is>
          <t>Item Ball</t>
        </is>
      </c>
      <c r="D4" s="32" t="inlineStr">
        <is>
          <t>Abandoned Ship - Room - B1F</t>
        </is>
      </c>
      <c r="E4" s="32" t="inlineStr">
        <is>
          <t>Split 4</t>
        </is>
      </c>
      <c r="F4" s="32" t="inlineStr">
        <is>
          <t>(4, 4)</t>
        </is>
      </c>
      <c r="G4" s="32" t="n"/>
    </row>
    <row r="5">
      <c r="A5" s="76" t="inlineStr">
        <is>
          <t>TM60</t>
        </is>
      </c>
      <c r="B5" s="76" t="inlineStr">
        <is>
          <t>Embargo</t>
        </is>
      </c>
      <c r="C5" s="76" t="inlineStr">
        <is>
          <t>Item Ball</t>
        </is>
      </c>
      <c r="D5" s="76" t="inlineStr">
        <is>
          <t>Fallarbor Town</t>
        </is>
      </c>
      <c r="E5" s="76" t="inlineStr">
        <is>
          <t>Split 5</t>
        </is>
      </c>
      <c r="F5" s="76" t="inlineStr">
        <is>
          <t>(16, 10)</t>
        </is>
      </c>
      <c r="G5" s="76" t="n"/>
    </row>
    <row r="6">
      <c r="A6" s="32" t="inlineStr">
        <is>
          <t>TM06</t>
        </is>
      </c>
      <c r="B6" s="32" t="inlineStr">
        <is>
          <t>Toxic</t>
        </is>
      </c>
      <c r="C6" s="32" t="inlineStr">
        <is>
          <t>Item Ball</t>
        </is>
      </c>
      <c r="D6" s="32" t="inlineStr">
        <is>
          <t>Fiery Path</t>
        </is>
      </c>
      <c r="E6" s="32" t="inlineStr">
        <is>
          <t>Split 5</t>
        </is>
      </c>
      <c r="F6" s="32" t="inlineStr">
        <is>
          <t>(8, 3)</t>
        </is>
      </c>
      <c r="G6" s="32" t="n"/>
    </row>
    <row r="7">
      <c r="A7" s="76" t="inlineStr">
        <is>
          <t>TM55</t>
        </is>
      </c>
      <c r="B7" s="76" t="inlineStr">
        <is>
          <t>Sleep Talk</t>
        </is>
      </c>
      <c r="C7" s="76" t="inlineStr">
        <is>
          <t>Item Ball</t>
        </is>
      </c>
      <c r="D7" s="76" t="inlineStr">
        <is>
          <t>Mauville City</t>
        </is>
      </c>
      <c r="E7" s="76" t="inlineStr">
        <is>
          <t>Split 4</t>
        </is>
      </c>
      <c r="F7" s="76" t="inlineStr">
        <is>
          <t>(33, 17)</t>
        </is>
      </c>
      <c r="G7" s="76" t="n"/>
    </row>
    <row r="8">
      <c r="A8" s="32" t="inlineStr">
        <is>
          <t>TM64</t>
        </is>
      </c>
      <c r="B8" s="32" t="inlineStr">
        <is>
          <t>Dragon Tail</t>
        </is>
      </c>
      <c r="C8" s="32" t="inlineStr">
        <is>
          <t>Item Ball</t>
        </is>
      </c>
      <c r="D8" s="32" t="inlineStr">
        <is>
          <t>Meteor Falls - 1F - 1R</t>
        </is>
      </c>
      <c r="E8" s="32" t="inlineStr">
        <is>
          <t>Unassigned</t>
        </is>
      </c>
      <c r="F8" s="32" t="inlineStr">
        <is>
          <t>(19, 23)</t>
        </is>
      </c>
      <c r="G8" s="32" t="n"/>
    </row>
    <row r="9">
      <c r="A9" s="76" t="inlineStr">
        <is>
          <t>TM23</t>
        </is>
      </c>
      <c r="B9" s="76" t="inlineStr">
        <is>
          <t>Iron Tail</t>
        </is>
      </c>
      <c r="C9" s="76" t="inlineStr">
        <is>
          <t>Item Ball</t>
        </is>
      </c>
      <c r="D9" s="76" t="inlineStr">
        <is>
          <t>Meteor Falls - 1F - 1R</t>
        </is>
      </c>
      <c r="E9" s="76" t="inlineStr">
        <is>
          <t>Unassigned</t>
        </is>
      </c>
      <c r="F9" s="76" t="inlineStr">
        <is>
          <t>(2, 4)</t>
        </is>
      </c>
      <c r="G9" s="76" t="n"/>
    </row>
    <row r="10">
      <c r="A10" s="32" t="inlineStr">
        <is>
          <t>TM02</t>
        </is>
      </c>
      <c r="B10" s="32" t="inlineStr">
        <is>
          <t>Dragon Claw</t>
        </is>
      </c>
      <c r="C10" s="32" t="inlineStr">
        <is>
          <t>Item Ball</t>
        </is>
      </c>
      <c r="D10" s="32" t="inlineStr">
        <is>
          <t>Meteor Falls - B1F - 2R</t>
        </is>
      </c>
      <c r="E10" s="32" t="inlineStr">
        <is>
          <t>Unassigned</t>
        </is>
      </c>
      <c r="F10" s="32" t="inlineStr">
        <is>
          <t>(5, 3)</t>
        </is>
      </c>
      <c r="G10" s="32" t="n"/>
    </row>
    <row r="11">
      <c r="A11" s="76" t="inlineStr">
        <is>
          <t>TM63</t>
        </is>
      </c>
      <c r="B11" s="76" t="inlineStr">
        <is>
          <t>Dazzling Gleam</t>
        </is>
      </c>
      <c r="C11" s="76" t="inlineStr">
        <is>
          <t>Item Ball</t>
        </is>
      </c>
      <c r="D11" s="76" t="inlineStr">
        <is>
          <t>Mossdeep City</t>
        </is>
      </c>
      <c r="E11" s="76" t="inlineStr">
        <is>
          <t>Split 7</t>
        </is>
      </c>
      <c r="F11" s="76" t="inlineStr">
        <is>
          <t>(55, 30)</t>
        </is>
      </c>
      <c r="G11" s="76" t="n"/>
    </row>
    <row r="12">
      <c r="A12" s="32" t="inlineStr">
        <is>
          <t>TM56</t>
        </is>
      </c>
      <c r="B12" s="32" t="inlineStr">
        <is>
          <t>Shadow Claw</t>
        </is>
      </c>
      <c r="C12" s="32" t="inlineStr">
        <is>
          <t>Item Ball</t>
        </is>
      </c>
      <c r="D12" s="32" t="inlineStr">
        <is>
          <t>Mt Pyre - 1F</t>
        </is>
      </c>
      <c r="E12" s="32" t="inlineStr">
        <is>
          <t>Split 7</t>
        </is>
      </c>
      <c r="F12" s="32" t="inlineStr">
        <is>
          <t>(14, 8)</t>
        </is>
      </c>
      <c r="G12" s="32" t="n"/>
    </row>
    <row r="13">
      <c r="A13" s="76" t="inlineStr">
        <is>
          <t>TM30</t>
        </is>
      </c>
      <c r="B13" s="76" t="inlineStr">
        <is>
          <t>Shadow Ball</t>
        </is>
      </c>
      <c r="C13" s="76" t="inlineStr">
        <is>
          <t>Item Ball</t>
        </is>
      </c>
      <c r="D13" s="76" t="inlineStr">
        <is>
          <t>Mt Pyre - 6F</t>
        </is>
      </c>
      <c r="E13" s="76" t="inlineStr">
        <is>
          <t>Split 7</t>
        </is>
      </c>
      <c r="F13" s="76" t="inlineStr">
        <is>
          <t>(6, 9)</t>
        </is>
      </c>
      <c r="G13" s="76" t="n"/>
    </row>
    <row r="14">
      <c r="A14" s="32" t="inlineStr">
        <is>
          <t>TM48</t>
        </is>
      </c>
      <c r="B14" s="32" t="inlineStr">
        <is>
          <t>Skill Swap</t>
        </is>
      </c>
      <c r="C14" s="32" t="inlineStr">
        <is>
          <t>Item Ball</t>
        </is>
      </c>
      <c r="D14" s="32" t="inlineStr">
        <is>
          <t>Mt Pyre - Exterior</t>
        </is>
      </c>
      <c r="E14" s="32" t="inlineStr">
        <is>
          <t>Split 7</t>
        </is>
      </c>
      <c r="F14" s="32" t="inlineStr">
        <is>
          <t>(19, 40)</t>
        </is>
      </c>
      <c r="G14" s="32" t="n"/>
    </row>
    <row r="15">
      <c r="A15" s="76" t="inlineStr">
        <is>
          <t>TM62</t>
        </is>
      </c>
      <c r="B15" s="76" t="inlineStr">
        <is>
          <t>Wild Charge</t>
        </is>
      </c>
      <c r="C15" s="76" t="inlineStr">
        <is>
          <t>Item Ball</t>
        </is>
      </c>
      <c r="D15" s="76" t="inlineStr">
        <is>
          <t>New Mauville - Inside</t>
        </is>
      </c>
      <c r="E15" s="76" t="inlineStr">
        <is>
          <t>Split 4</t>
        </is>
      </c>
      <c r="F15" s="76" t="inlineStr">
        <is>
          <t>(37, 24)</t>
        </is>
      </c>
      <c r="G15" s="76" t="n"/>
    </row>
    <row r="16">
      <c r="A16" s="32" t="inlineStr">
        <is>
          <t>TM57</t>
        </is>
      </c>
      <c r="B16" s="32" t="inlineStr">
        <is>
          <t>Fling</t>
        </is>
      </c>
      <c r="C16" s="32" t="inlineStr">
        <is>
          <t>Item Ball</t>
        </is>
      </c>
      <c r="D16" s="32" t="inlineStr">
        <is>
          <t>Petalburg City</t>
        </is>
      </c>
      <c r="E16" s="32" t="inlineStr">
        <is>
          <t>Split 1</t>
        </is>
      </c>
      <c r="F16" s="32" t="inlineStr">
        <is>
          <t>(25, 27)</t>
        </is>
      </c>
      <c r="G16" s="32" t="n"/>
    </row>
    <row r="17">
      <c r="A17" s="76" t="inlineStr">
        <is>
          <t>TM53</t>
        </is>
      </c>
      <c r="B17" s="76" t="inlineStr">
        <is>
          <t>Silver Wind</t>
        </is>
      </c>
      <c r="C17" s="76" t="inlineStr">
        <is>
          <t>Item Ball</t>
        </is>
      </c>
      <c r="D17" s="76" t="inlineStr">
        <is>
          <t>Petalburg Woods</t>
        </is>
      </c>
      <c r="E17" s="76" t="inlineStr">
        <is>
          <t>Split 2</t>
        </is>
      </c>
      <c r="F17" s="76" t="inlineStr">
        <is>
          <t>(42, 20)</t>
        </is>
      </c>
      <c r="G17" s="76" t="n"/>
    </row>
    <row r="18">
      <c r="A18" s="32" t="inlineStr">
        <is>
          <t>TM51</t>
        </is>
      </c>
      <c r="B18" s="32" t="inlineStr">
        <is>
          <t>Pluck</t>
        </is>
      </c>
      <c r="C18" s="32" t="inlineStr">
        <is>
          <t>Item Ball</t>
        </is>
      </c>
      <c r="D18" s="32" t="inlineStr">
        <is>
          <t>Route 102</t>
        </is>
      </c>
      <c r="E18" s="32" t="inlineStr">
        <is>
          <t>Split 1</t>
        </is>
      </c>
      <c r="F18" s="32" t="inlineStr">
        <is>
          <t>(44, 14)</t>
        </is>
      </c>
      <c r="G18" s="32" t="n"/>
    </row>
    <row r="19">
      <c r="A19" s="76" t="inlineStr">
        <is>
          <t>TM52</t>
        </is>
      </c>
      <c r="B19" s="76" t="inlineStr">
        <is>
          <t>Aurora Beam</t>
        </is>
      </c>
      <c r="C19" s="76" t="inlineStr">
        <is>
          <t>Item Ball</t>
        </is>
      </c>
      <c r="D19" s="76" t="inlineStr">
        <is>
          <t>Route 106</t>
        </is>
      </c>
      <c r="E19" s="76" t="inlineStr">
        <is>
          <t>Split 3</t>
        </is>
      </c>
      <c r="F19" s="76" t="inlineStr">
        <is>
          <t>(34, 12)</t>
        </is>
      </c>
      <c r="G19" s="76" t="n"/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inlineStr">
        <is>
          <t>(30, 92)</t>
        </is>
      </c>
      <c r="G20" s="32" t="n"/>
    </row>
    <row r="21">
      <c r="A21" s="76" t="inlineStr">
        <is>
          <t>TM32</t>
        </is>
      </c>
      <c r="B21" s="76" t="inlineStr">
        <is>
          <t>Double Team</t>
        </is>
      </c>
      <c r="C21" s="76" t="inlineStr">
        <is>
          <t>Hidden</t>
        </is>
      </c>
      <c r="D21" s="76" t="inlineStr">
        <is>
          <t>Route 113</t>
        </is>
      </c>
      <c r="E21" s="76" t="inlineStr">
        <is>
          <t>Split 5</t>
        </is>
      </c>
      <c r="F21" s="76" t="inlineStr">
        <is>
          <t>(22, 5)</t>
        </is>
      </c>
      <c r="G21" s="76" t="n"/>
    </row>
    <row r="22">
      <c r="A22" s="32" t="inlineStr">
        <is>
          <t>TM01</t>
        </is>
      </c>
      <c r="B22" s="32" t="inlineStr">
        <is>
          <t>Focus Punch</t>
        </is>
      </c>
      <c r="C22" s="32" t="inlineStr">
        <is>
          <t>Item Ball</t>
        </is>
      </c>
      <c r="D22" s="32" t="inlineStr">
        <is>
          <t>Route 115</t>
        </is>
      </c>
      <c r="E22" s="32" t="inlineStr">
        <is>
          <t>Unassigned</t>
        </is>
      </c>
      <c r="F22" s="32" t="inlineStr">
        <is>
          <t>(18, 7)</t>
        </is>
      </c>
      <c r="G22" s="32" t="n"/>
    </row>
    <row r="23">
      <c r="A23" s="76" t="inlineStr">
        <is>
          <t>TM47</t>
        </is>
      </c>
      <c r="B23" s="76" t="inlineStr">
        <is>
          <t>Steel Wing</t>
        </is>
      </c>
      <c r="C23" s="76" t="inlineStr">
        <is>
          <t>Item Ball</t>
        </is>
      </c>
      <c r="D23" s="76" t="inlineStr">
        <is>
          <t>Route 116</t>
        </is>
      </c>
      <c r="E23" s="76" t="inlineStr">
        <is>
          <t>Split 2</t>
        </is>
      </c>
      <c r="F23" s="76" t="inlineStr">
        <is>
          <t>(67, 12)</t>
        </is>
      </c>
      <c r="G23" s="76" t="n"/>
    </row>
    <row r="24">
      <c r="A24" s="32" t="inlineStr">
        <is>
          <t>TM58</t>
        </is>
      </c>
      <c r="B24" s="32" t="inlineStr">
        <is>
          <t>Payback</t>
        </is>
      </c>
      <c r="C24" s="32" t="inlineStr">
        <is>
          <t>Item Ball</t>
        </is>
      </c>
      <c r="D24" s="32" t="inlineStr">
        <is>
          <t>Route 117</t>
        </is>
      </c>
      <c r="E24" s="32" t="inlineStr">
        <is>
          <t>Split 4</t>
        </is>
      </c>
      <c r="F24" s="32" t="inlineStr">
        <is>
          <t>(5, 9)</t>
        </is>
      </c>
      <c r="G24" s="32" t="n"/>
    </row>
    <row r="25">
      <c r="A25" s="76" t="inlineStr">
        <is>
          <t>TM61</t>
        </is>
      </c>
      <c r="B25" s="76" t="inlineStr">
        <is>
          <t>Scald</t>
        </is>
      </c>
      <c r="C25" s="76" t="inlineStr">
        <is>
          <t>Item Ball</t>
        </is>
      </c>
      <c r="D25" s="76" t="inlineStr">
        <is>
          <t>Route 119</t>
        </is>
      </c>
      <c r="E25" s="76" t="inlineStr">
        <is>
          <t>Split 6</t>
        </is>
      </c>
      <c r="F25" s="76" t="inlineStr">
        <is>
          <t>(13, 105)</t>
        </is>
      </c>
      <c r="G25" s="76" t="n"/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inlineStr">
        <is>
          <t>(28, 90)</t>
        </is>
      </c>
      <c r="G26" s="32" t="n"/>
    </row>
    <row r="27">
      <c r="A27" s="76" t="inlineStr">
        <is>
          <t>TM59</t>
        </is>
      </c>
      <c r="B27" s="76" t="inlineStr">
        <is>
          <t>Feint Attack</t>
        </is>
      </c>
      <c r="C27" s="76" t="inlineStr">
        <is>
          <t>Item Ball</t>
        </is>
      </c>
      <c r="D27" s="76" t="inlineStr">
        <is>
          <t>Rusturf Tunnel</t>
        </is>
      </c>
      <c r="E27" s="76" t="inlineStr">
        <is>
          <t>Split 2</t>
        </is>
      </c>
      <c r="F27" s="76" t="inlineStr">
        <is>
          <t>(25, 15)</t>
        </is>
      </c>
      <c r="G27" s="76" t="n"/>
    </row>
    <row r="28">
      <c r="A28" s="32" t="inlineStr">
        <is>
          <t>TM22</t>
        </is>
      </c>
      <c r="B28" s="32" t="inlineStr">
        <is>
          <t>Solar Beam</t>
        </is>
      </c>
      <c r="C28" s="32" t="inlineStr">
        <is>
          <t>Item Ball</t>
        </is>
      </c>
      <c r="D28" s="32" t="inlineStr">
        <is>
          <t>Safari Zone - Northwest</t>
        </is>
      </c>
      <c r="E28" s="32" t="inlineStr">
        <is>
          <t>Postgame</t>
        </is>
      </c>
      <c r="F28" s="32" t="inlineStr">
        <is>
          <t>(33, 7)</t>
        </is>
      </c>
      <c r="G28" s="32" t="n"/>
    </row>
    <row r="29">
      <c r="A29" s="76" t="inlineStr">
        <is>
          <t>TM11</t>
        </is>
      </c>
      <c r="B29" s="76" t="inlineStr">
        <is>
          <t>Sunny Day</t>
        </is>
      </c>
      <c r="C29" s="76" t="inlineStr">
        <is>
          <t>Item Ball</t>
        </is>
      </c>
      <c r="D29" s="76" t="inlineStr">
        <is>
          <t>Scorched Slab</t>
        </is>
      </c>
      <c r="E29" s="76" t="inlineStr">
        <is>
          <t>Split 6</t>
        </is>
      </c>
      <c r="F29" s="76" t="inlineStr">
        <is>
          <t>(7, 5)</t>
        </is>
      </c>
      <c r="G29" s="76" t="n"/>
    </row>
    <row r="30">
      <c r="A30" s="32" t="inlineStr">
        <is>
          <t>TM26</t>
        </is>
      </c>
      <c r="B30" s="32" t="inlineStr">
        <is>
          <t>Earthquake</t>
        </is>
      </c>
      <c r="C30" s="32" t="inlineStr">
        <is>
          <t>Item Ball</t>
        </is>
      </c>
      <c r="D30" s="32" t="inlineStr">
        <is>
          <t>Seafloor Cavern - Room 9</t>
        </is>
      </c>
      <c r="E30" s="32" t="inlineStr">
        <is>
          <t>Split 8</t>
        </is>
      </c>
      <c r="F30" s="32" t="inlineStr">
        <is>
          <t>(14, 5)</t>
        </is>
      </c>
      <c r="G30" s="32" t="n"/>
    </row>
    <row r="31">
      <c r="A31" s="76" t="inlineStr">
        <is>
          <t>TM07</t>
        </is>
      </c>
      <c r="B31" s="76" t="inlineStr">
        <is>
          <t>Hail</t>
        </is>
      </c>
      <c r="C31" s="76" t="inlineStr">
        <is>
          <t>Item Ball</t>
        </is>
      </c>
      <c r="D31" s="76" t="inlineStr">
        <is>
          <t>Shoal Cave - Low Tide Ice Room</t>
        </is>
      </c>
      <c r="E31" s="76" t="inlineStr">
        <is>
          <t>Split 7</t>
        </is>
      </c>
      <c r="F31" s="76" t="inlineStr">
        <is>
          <t>(12, 8)</t>
        </is>
      </c>
      <c r="G31" s="76" t="n"/>
    </row>
    <row r="32">
      <c r="A32" s="32" t="inlineStr">
        <is>
          <t>TM66</t>
        </is>
      </c>
      <c r="B32" s="32" t="inlineStr">
        <is>
          <t>Volt Switch</t>
        </is>
      </c>
      <c r="C32" s="32" t="inlineStr">
        <is>
          <t>Item Ball</t>
        </is>
      </c>
      <c r="D32" s="32" t="inlineStr">
        <is>
          <t>Sootopolis City</t>
        </is>
      </c>
      <c r="E32" s="32" t="inlineStr">
        <is>
          <t>Split 8</t>
        </is>
      </c>
      <c r="F32" s="32" t="inlineStr">
        <is>
          <t>(28, 22)</t>
        </is>
      </c>
      <c r="G32" s="32" t="n"/>
    </row>
    <row r="33">
      <c r="A33" s="76" t="inlineStr">
        <is>
          <t>TM29</t>
        </is>
      </c>
      <c r="B33" s="76" t="inlineStr">
        <is>
          <t>Psychic</t>
        </is>
      </c>
      <c r="C33" s="76" t="inlineStr">
        <is>
          <t>Item Ball</t>
        </is>
      </c>
      <c r="D33" s="76" t="inlineStr">
        <is>
          <t>Victory Road - B1F</t>
        </is>
      </c>
      <c r="E33" s="76" t="inlineStr">
        <is>
          <t>Elite Four &amp; Champion</t>
        </is>
      </c>
      <c r="F33" s="76" t="inlineStr">
        <is>
          <t>(42, 8)</t>
        </is>
      </c>
      <c r="G33" s="76" t="n"/>
    </row>
    <row r="34">
      <c r="A34" s="32" t="inlineStr">
        <is>
          <t>TM14</t>
        </is>
      </c>
      <c r="B34" s="32" t="inlineStr">
        <is>
          <t>Blizzard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inlineStr">
        <is>
          <t>-</t>
        </is>
      </c>
      <c r="G34" s="32" t="n"/>
    </row>
    <row r="35">
      <c r="A35" s="76" t="inlineStr">
        <is>
          <t>TM38</t>
        </is>
      </c>
      <c r="B35" s="76" t="inlineStr">
        <is>
          <t>Fire Blast</t>
        </is>
      </c>
      <c r="C35" s="76" t="inlineStr">
        <is>
          <t>Mart</t>
        </is>
      </c>
      <c r="D35" s="76" t="inlineStr">
        <is>
          <t>Lilycove City - Department Store - 4F</t>
        </is>
      </c>
      <c r="E35" s="76" t="inlineStr">
        <is>
          <t>Split 7</t>
        </is>
      </c>
      <c r="F35" s="76" t="inlineStr">
        <is>
          <t>-</t>
        </is>
      </c>
      <c r="G35" s="76" t="n"/>
    </row>
    <row r="36">
      <c r="A36" s="32" t="inlineStr">
        <is>
          <t>TM15</t>
        </is>
      </c>
      <c r="B36" s="32" t="inlineStr">
        <is>
          <t>Hyper Beam</t>
        </is>
      </c>
      <c r="C36" s="32" t="inlineStr">
        <is>
          <t>Mart</t>
        </is>
      </c>
      <c r="D36" s="32" t="inlineStr">
        <is>
          <t>Lilycove City - Department Store - 4F</t>
        </is>
      </c>
      <c r="E36" s="32" t="inlineStr">
        <is>
          <t>Split 7</t>
        </is>
      </c>
      <c r="F36" s="32" t="inlineStr">
        <is>
          <t>-</t>
        </is>
      </c>
      <c r="G36" s="32" t="n"/>
    </row>
    <row r="37">
      <c r="A37" s="76" t="inlineStr">
        <is>
          <t>TM16</t>
        </is>
      </c>
      <c r="B37" s="76" t="inlineStr">
        <is>
          <t>Light Screen</t>
        </is>
      </c>
      <c r="C37" s="76" t="inlineStr">
        <is>
          <t>Mart</t>
        </is>
      </c>
      <c r="D37" s="76" t="inlineStr">
        <is>
          <t>Lilycove City - Department Store - 4F</t>
        </is>
      </c>
      <c r="E37" s="76" t="inlineStr">
        <is>
          <t>Split 7</t>
        </is>
      </c>
      <c r="F37" s="76" t="inlineStr">
        <is>
          <t>-</t>
        </is>
      </c>
      <c r="G37" s="76" t="n"/>
    </row>
    <row r="38">
      <c r="A38" s="32" t="inlineStr">
        <is>
          <t>TM17</t>
        </is>
      </c>
      <c r="B38" s="32" t="inlineStr">
        <is>
          <t>Protect</t>
        </is>
      </c>
      <c r="C38" s="32" t="inlineStr">
        <is>
          <t>Mart</t>
        </is>
      </c>
      <c r="D38" s="32" t="inlineStr">
        <is>
          <t>Lilycove City - Department Store - 4F</t>
        </is>
      </c>
      <c r="E38" s="32" t="inlineStr">
        <is>
          <t>Split 7</t>
        </is>
      </c>
      <c r="F38" s="32" t="inlineStr">
        <is>
          <t>-</t>
        </is>
      </c>
      <c r="G38" s="32" t="n"/>
    </row>
    <row r="39">
      <c r="A39" s="76" t="inlineStr">
        <is>
          <t>TM33</t>
        </is>
      </c>
      <c r="B39" s="76" t="inlineStr">
        <is>
          <t>Reflect</t>
        </is>
      </c>
      <c r="C39" s="76" t="inlineStr">
        <is>
          <t>Mart</t>
        </is>
      </c>
      <c r="D39" s="76" t="inlineStr">
        <is>
          <t>Lilycove City - Department Store - 4F</t>
        </is>
      </c>
      <c r="E39" s="76" t="inlineStr">
        <is>
          <t>Split 7</t>
        </is>
      </c>
      <c r="F39" s="76" t="inlineStr">
        <is>
          <t>-</t>
        </is>
      </c>
      <c r="G39" s="76" t="n"/>
    </row>
    <row r="40">
      <c r="A40" s="32" t="inlineStr">
        <is>
          <t>TM20</t>
        </is>
      </c>
      <c r="B40" s="32" t="inlineStr">
        <is>
          <t>Safeguard</t>
        </is>
      </c>
      <c r="C40" s="32" t="inlineStr">
        <is>
          <t>Mart</t>
        </is>
      </c>
      <c r="D40" s="32" t="inlineStr">
        <is>
          <t>Lilycove City - Department Store - 4F</t>
        </is>
      </c>
      <c r="E40" s="32" t="inlineStr">
        <is>
          <t>Split 7</t>
        </is>
      </c>
      <c r="F40" s="32" t="inlineStr">
        <is>
          <t>-</t>
        </is>
      </c>
      <c r="G40" s="32" t="n"/>
    </row>
    <row r="41">
      <c r="A41" s="76" t="inlineStr">
        <is>
          <t>TM25</t>
        </is>
      </c>
      <c r="B41" s="76" t="inlineStr">
        <is>
          <t>Thunder</t>
        </is>
      </c>
      <c r="C41" s="76" t="inlineStr">
        <is>
          <t>Mart</t>
        </is>
      </c>
      <c r="D41" s="76" t="inlineStr">
        <is>
          <t>Lilycove City - Department Store - 4F</t>
        </is>
      </c>
      <c r="E41" s="76" t="inlineStr">
        <is>
          <t>Split 7</t>
        </is>
      </c>
      <c r="F41" s="76" t="inlineStr">
        <is>
          <t>-</t>
        </is>
      </c>
      <c r="G41" s="76" t="n"/>
    </row>
  </sheetData>
  <autoFilter ref="A1:G4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Petalburg Woods (Split 2, Hidden); Route 102 (Split 1, Item Ball); Route 104 (Split 2, Item Ball); Route 104 (Split 2, Hidden); Route 109 (Split 4, Item Ball); Route 116 (Split 2, Item Ball); Lilycove City - Department Store - 2F (Split 7, Mart); Oldale Town - Mart (Split 1, Mart); Petalburg City - Mart (Split 1, Mart); Rustboro City - Mart (Split 2, Mart); Slateport City - Mart (Split 4, Mart)</t>
        </is>
      </c>
    </row>
    <row r="3">
      <c r="A3" s="79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6" t="inlineStr">
        <is>
          <t>Restores the HP of a Pokémon by 60 points.</t>
        </is>
      </c>
      <c r="F3" s="76" t="inlineStr">
        <is>
          <t>Route 104 (Split 2, Hidden); Route 115 (Unassigned, Item Ball); Route 116 (Split 2, Hidden); Fallarbor Town - Mart (Split 5, Mart); Fortree City - Mart (Split 6, Mart); Lavaridge Town - Mart (Split 5, Mart); Lilycove City - Department Store - 2F (Split 7, Mart); Mauville City - Mart (Split 4, Mart); Petalburg City - Mart (Split 1, Mart); Rustboro City - Mart (Split 2, Mart); Slateport City - Mart (Split 4, Mart); Trainer Hill - Entrance (Postgame, Mart); Verdanturf Town - Mart (Split 4, Mart)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Route 120 (Split 7, Item Ball); Route 123 (Split 7,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Mart); Trainer Hill - Entrance (Postgame, Mart)</t>
        </is>
      </c>
    </row>
    <row r="5">
      <c r="A5" s="79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6" t="inlineStr">
        <is>
          <t>Fully restores the HP of a Pokémon.</t>
        </is>
      </c>
      <c r="F5" s="76" t="inlineStr">
        <is>
          <t>Mt Pyre - Exterior (Split 7, Item Ball); Battle Frontier - Mart (Postgame, Mart); Ever Grande City - Pokemon League - 1F (Elite Four &amp; Champion, Mart); Lilycove City - Department Store - 2F (Split 7, Mart); Sootopolis City - Mart (Split 8,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Safari Zone - Southeast (Postgame, Hidden); Victory Road - B1F (Elite Four &amp; Champion, Item Ball); Battle Frontier - Mart (Postgame, Mart); Ever Grande City - Pokemon League - 1F (Elite Four &amp; Champion, Mart); Trainer Hill - Entrance (Postgame, Mart)</t>
        </is>
      </c>
    </row>
    <row r="7">
      <c r="A7" s="79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6" t="inlineStr">
        <is>
          <t>Revives a fainted Pokémon with half its HP.</t>
        </is>
      </c>
      <c r="F7" s="76" t="inlineStr">
        <is>
          <t>Abandoned Ship - Rooms 2 - 1F (Split 4, Item Ball); Route 109 (Split 4, Hidden); Route 110 (Split 4, Hidden); Route 114 (Split 5, Hidden); Route 117 (Split 4, Item Ball); Route 120 (Split 7, Item Ball); Route 120 (Split 7, Hidden); Route 121 (Split 7, Item Ball); Route 123 (Split 7, Hidden); Battle Frontier - Mart (Postgame, Mart); Ever Grande City - Pokemon League - 1F (Elite Four &amp; Champion, Mart); Fortree City - Mart (Split 6, Mart); Lavaridge Town - Mart (Split 5, Mart); Lilycove City - Department Store - 2F (Split 7, Mart); Mossdeep City - Mart (Split 7, Mart); Sootopolis City - Mart (Split 8,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Magma Hideout - 4F (Split 5, Item Ball); Petalburg City (Split 1, Item Ball); Route 121 (Split 7, Hidden); Route 133 (Unassigned, Item Ball); Safari Zone - Southwest (Postgame, Item Ball)</t>
        </is>
      </c>
    </row>
    <row r="9">
      <c r="A9" s="79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6" t="inlineStr">
        <is>
          <t>A mineral water that restores HP by 30 points.</t>
        </is>
      </c>
      <c r="F9" s="76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79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6" t="inlineStr">
        <is>
          <t>A very sweet drink that restores HP by 70 points.</t>
        </is>
      </c>
      <c r="F11" s="76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79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6" t="inlineStr">
        <is>
          <t>A bitter powder that restores HP by 60 points.</t>
        </is>
      </c>
      <c r="F13" s="76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79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6" t="inlineStr">
        <is>
          <t>A bitter powder that heals all status problems.</t>
        </is>
      </c>
      <c r="F15" s="76" t="inlineStr">
        <is>
          <t>Route 115 (Unassigned, Item Ball); Lavaridge Town - Herb Shop (Split 5, Mart)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Route 123 (Split 7, Item Ball); Lavaridge Town - Herb Shop (Split 5, Mart)</t>
        </is>
      </c>
    </row>
    <row r="17">
      <c r="A17" s="79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6" t="inlineStr">
        <is>
          <t>Heals a poisoned Pokémon.</t>
        </is>
      </c>
      <c r="F17" s="76" t="inlineStr">
        <is>
          <t>Route 104 (Split 2, Hidden);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New Mauville - Inside (Split 4, Item Ball); Petalburg Woods (Split 2, Item Ball);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9">
      <c r="A19" s="79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6" t="inlineStr">
        <is>
          <t>Heals Pokémon of a burn.</t>
        </is>
      </c>
      <c r="F19" s="76" t="inlineStr">
        <is>
          <t>Jagged Pass (Split 5, Item Ball); Lavaridge Town - Mart (Split 5, Mart); Lilycove City - Department Store - 2F (Split 7, Mart); Verdanturf Town - Mart (Split 4,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Lavaridge Town (Split 5, Hidden); Shoal Cave - Low Tide Stairs Room (Split 7, Item Ball); Lilycove City - Department Store - 2F (Split 7, Mart); Verdanturf Town - Mart (Split 4, Mart)</t>
        </is>
      </c>
    </row>
    <row r="21">
      <c r="A21" s="79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6" t="inlineStr">
        <is>
          <t>Awakens a sleeping Pokémon.</t>
        </is>
      </c>
      <c r="F21" s="76" t="inlineStr">
        <is>
          <t>Fortree City - Mart (Split 6, Mart); Lavaridge Town - Mart (Split 5, Mart); Lilycove City - Department Store - 2F (Split 7, Mart); Mauville City - Mart (Split 4, Mart); Oldale Town - Mart (Split 1, Mart); Petalburg City - Mart (Split 1, Mart); Trainer Hill - Entrance (Postgame, Mart); Verdanturf Town - Mart (Split 4,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Jagged Pass (Split 5, Hidden); Meteor Falls - 1F - 1R (Unassigned, Item Ball); New Mauville - Inside (Split 4, Item Ball); Route 106 (Split 3, Item Ball); Route 110 (Split 4, Hidden); Route 119 (Split 6, Hidden); Route 120 (Split 7, Item Ball); Route 121 (Split 7, Hidden); Victory Road - B2F (Elite Four &amp; Champion, Item Ball); Battle Frontier - Mart (Postgame, Mart); Ever Grande City - Pokemon League - 1F (Elite Four &amp; Champion, Mart); Lilycove City - Department Store - 2F (Split 7, Mart); Mossdeep City - Mart (Split 7, Mart); Sootopolis City - Mart (Split 8, Mart); Trainer Hill - Entrance (Postgame, Mart)</t>
        </is>
      </c>
    </row>
    <row r="23">
      <c r="A23" s="79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6" t="inlineStr">
        <is>
          <t>Restores the PP of a selected move by 10.</t>
        </is>
      </c>
      <c r="F23" s="76" t="inlineStr">
        <is>
          <t>Petalburg City (Split 1, Item Ball); Petalburg Woods (Split 2, Item Ball); Route 109 (Split 4, Hidden); Route 111 (Split 5, Item Ball); Route 113 (Split 5, Hidden); Route 116 (Split 2, Item Ball)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Mt Pyre - Exterior (Split 7, Hidden); Route 113 (Split 5, Item Ball); Route 119 (Split 6, Hidden); Rusturf Tunnel (Split 2, Item Ball)</t>
        </is>
      </c>
    </row>
    <row r="25">
      <c r="A25" s="79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6" t="inlineStr">
        <is>
          <t>Restores the PP of all moves by 10.</t>
        </is>
      </c>
      <c r="F25" s="76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Aqua Hideout - B1F (Split 7, Item Ball); Magma Hideout - 2F - 2R (Split 5, Item Ball); Victory Road - 1F (Elite Four &amp; Champion, Item Ball)</t>
        </is>
      </c>
    </row>
    <row r="27">
      <c r="A27" s="79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6" t="inlineStr">
        <is>
          <t>A 100% pure juice that restores HP by 20 points.</t>
        </is>
      </c>
      <c r="F27" s="76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79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6" t="inlineStr">
        <is>
          <t>A sweet chocolate that restores HP by 20 points.</t>
        </is>
      </c>
      <c r="F29" s="76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79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6" t="inlineStr">
        <is>
          <t>A local specialty that heals all status problems.</t>
        </is>
      </c>
      <c r="F31" s="76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79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6" t="n"/>
      <c r="F33" s="76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79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6" t="n"/>
      <c r="F35" s="76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Artisan Cave - B1F (Unassigned, Item Ball); Route 116 (Split 2, Item Ball); Route 121 (Split 7, Hidden); Underwater - Route 127 (Unassigned, Hidden); Lilycove City - Department Store - 3F (Split 7, Mart); Slateport City (Split 4, Mart)</t>
        </is>
      </c>
    </row>
    <row r="37">
      <c r="A37" s="79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6" t="inlineStr">
        <is>
          <t>Raises the base Attack stat of one Pokémon.</t>
        </is>
      </c>
      <c r="F37" s="76" t="inlineStr">
        <is>
          <t>Artisan Cave - B1F (Unassigned, Hidden); Route 114 (Split 5, Item Ball); Route 132 (Unassigned, Item Ball); Underwater - Route 128 (Unassigned, Hidden); Lilycove City - Department Store - 3F (Split 7, Mart); Slateport City (Split 4, Mart)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Artisan Cave - B1F (Unassigned, Hidden); Route 115 (Unassigned, Item Ball); Route 118 (Split 6, Hidden); Underwater - Route 126 (Unassigned, Hidden); Lilycove City - Department Store - 3F (Split 7, Mart); Slateport City (Split 4, Mart)</t>
        </is>
      </c>
    </row>
    <row r="39">
      <c r="A39" s="79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6" t="inlineStr">
        <is>
          <t>Raises the base Sp. Atk stat of one Pokémon.</t>
        </is>
      </c>
      <c r="F39" s="76" t="inlineStr">
        <is>
          <t>Artisan Cave - B1F (Unassigned, Hidden); Route 119 (Split 6, Hidden); Route 123 (Split 7, Item Ball); Safari Zone - North (Postgame, Item Ball); Underwater - Route 124 (Unassigned, Hidden); Lilycove City - Department Store - 3F (Split 7, Mart); Slateport City (Split 4, Mart)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Artisan Cave - B1F (Unassigned, Hidden); Mt Pyre - Summit (Split 7, Hidden); Route 119 (Split 6, Item Ball); Route 120 (Split 7, Hidden); Route 121 (Split 7, Item Ball); Route 127 (Split 8, Item Ball); Safari Zone - Northeast (Postgame, Hidden); Lilycove City - Department Store - 3F (Split 7, Mart); Slateport City (Split 4, Mart)</t>
        </is>
      </c>
    </row>
    <row r="41">
      <c r="A41" s="79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6" t="inlineStr">
        <is>
          <t>Raises the base Speed stat of one Pokémon.</t>
        </is>
      </c>
      <c r="F41" s="76" t="inlineStr">
        <is>
          <t>Artisan Cave - 1F (Unassigned, Item Ball); Route 114 (Split 5, Hidden); Route 121 (Split 7, Item Ball); Route 127 (Split 8, Item Ball); Route 134 (Unassigned, Item Ball); Underwater - Route 124 (Unassigned, Hidden); Lilycove City - Department Store - 3F (Split 7, Mart); Slateport City (Split 4, Mart)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Lilycove City (Split 7, Hidden); Meteor Falls - 1F - 1R (Unassigned, Item Ball); Route 103 (Split 1, Item Ball); Route 104 (Split 2, Item Ball); Route 109 (Split 4, Item Ball); Route 115 (Unassigned, Item Ball); Route 123 (Split 7, Item Ball); Route 123 (Split 7, Hidden); Safari Zone - Southeast (Postgame, Hidden); Victory Road - 1F (Elite Four &amp; Champion, Item Ball)</t>
        </is>
      </c>
    </row>
    <row r="43">
      <c r="A43" s="79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6" t="inlineStr">
        <is>
          <t>Raises the PP of a move to its maximum points.</t>
        </is>
      </c>
      <c r="F43" s="76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79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6" t="n"/>
      <c r="F45" s="76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79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6" t="n"/>
      <c r="F47" s="76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79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6" t="n"/>
      <c r="F49" s="76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79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6" t="inlineStr">
        <is>
          <t>Raises the level of a Pokémon by one.</t>
        </is>
      </c>
      <c r="F51" s="76" t="inlineStr">
        <is>
          <t>Granite Cave - B2F (Split 3, Item Ball); Magma Hideout - 1F (Split 5, Item Ball); Mt Pyre - Summit (Split 7, Hidden); Petalburg City (Split 1, Hidden); Route 108 (Split 4, Hidden); Route 110 (Split 4, Item Ball); Route 111 (Split 5, Hidden); Route 114 (Split 5, Item Ball); Route 119 (Split 6, Item Ball); Route 120 (Split 7, Hidden); Route 120 (Split 7, Hidden); Route 123 (Split 7, Hidden); Route 127 (Split 8, Item Ball); Route 132 (Unassigned, Item Ball); Safari Zone - Northeast (Postgame, Hidden); Shoal Cave - Low Tide Inner Room (Split 7, Item Ball); Battle Frontier - Mart (Postgame, Mart); Fallarbor Town - Mart (Split 5, Mart); Fortree City - Mart (Split 6, Mart); Lavaridge Town - Mart (Split 5, Mart); Mauville City - Mart (Split 4, Mart); Mossdeep City - Mart (Split 7, Mart); Oldale Town - Mart (Split 1, Mart); Petalburg City - Mart (Split 1, Mart); Rustboro City - Mart (Split 2, Mart); Slateport City - Mart (Split 4, Mart); Sootopolis City - Mart (Split 8, Mart); Verdanturf Town - Mart (Split 4, Mart)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79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6" t="inlineStr">
        <is>
          <t>A glass flute that snaps Pokémon out of confusion.</t>
        </is>
      </c>
      <c r="F53" s="76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79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6" t="inlineStr">
        <is>
          <t>A glass flute that keeps away wild Pokémon.</t>
        </is>
      </c>
      <c r="F55" s="76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79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6" t="inlineStr">
        <is>
          <t>Repels weak wild Pokémon for 100 steps.</t>
        </is>
      </c>
      <c r="F57" s="76" t="inlineStr">
        <is>
          <t>Granite Cave - B2F (Split 3, Item Ball); Route 116 (Split 2, Item Ball); Route 117 (Split 4, Hidden); Lilycove City - Department Store - 2F (Split 7, Mart); Petalburg City - Mart (Split 1, Mart); Rustboro City - Mart (Split 2, Mart); Slateport City - Mart (Split 4, Mart); Verdanturf Town - Mart (Split 4,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Mt Pyre - 3F (Split 7, Item Ball); Route 113 (Split 5, Item Ball); Route 119 (Split 6, Item Ball); Route 123 (Split 7, Hidden); Fallarbor Town - Mart (Split 5, Mart); Fortree City - Mart (Split 6, Mart); Lavaridge Town - Mart (Split 5, Mart); Lilycove City - Department Store - 2F (Split 7, Mart)</t>
        </is>
      </c>
    </row>
    <row r="59">
      <c r="A59" s="79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6" t="inlineStr">
        <is>
          <t>Repels weak wild Pokémon for 250 steps.</t>
        </is>
      </c>
      <c r="F59" s="76" t="inlineStr">
        <is>
          <t>Lilycove City (Split 7, Item Ball); Victory Road - B2F (Elite Four &amp; Champion, Hidden); Battle Frontier - Mart (Postgame, Mart); Ever Grande City - Pokemon League - 1F (Elite Four &amp; Champion, Mart); Lilycove City - Department Store - 2F (Split 7, Mart); Mossdeep City - Mart (Split 7, Mart); Sootopolis City - Mart (Split 8,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1">
      <c r="A61" s="79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6" t="inlineStr">
        <is>
          <t>Sharply raises stat Defense during one battle.</t>
        </is>
      </c>
      <c r="F61" s="76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Fallarbor Town - Mart (Split 5, Mart); Lilycove City - Department Store - 3F (Split 7, Mart); Trainer Hill - Entrance (Postgame, Mart); Verdanturf Town - Mart (Split 4, Mart)</t>
        </is>
      </c>
    </row>
    <row r="63">
      <c r="A63" s="79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6" t="inlineStr">
        <is>
          <t>Sharply raises stat Sp. Def during one battle.</t>
        </is>
      </c>
      <c r="F63" s="76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Fallarbor Town - Mart (Split 5, Mart); Lavaridge Town - Mart (Split 5, Mart); Lilycove City - Department Store - 3F (Split 7, Mart); Mauville City - Mart (Split 4, Mart); Petalburg City - Mart (Split 1, Mart); Rustboro City - Mart (Split 2, Mart); Trainer Hill - Entrance (Postgame, Mart)</t>
        </is>
      </c>
    </row>
    <row r="65">
      <c r="A65" s="79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6" t="inlineStr">
        <is>
          <t>Sharply raises move accuracy during one battle.</t>
        </is>
      </c>
      <c r="F65" s="76" t="inlineStr">
        <is>
          <t>Lilycove City - Department Store - 3F (Split 7, Mart); Mauville City - Mart (Split 4,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Fallarbor Town - Mart (Split 5, Mart); Lilycove City - Department Store - 3F (Split 7, Mart); Mauville City - Mart (Split 4, Mart); Trainer Hill - Entrance (Postgame, Mart)</t>
        </is>
      </c>
    </row>
    <row r="67">
      <c r="A67" s="79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6" t="inlineStr">
        <is>
          <t>Prevents stat reduction when used in battle.</t>
        </is>
      </c>
      <c r="F67" s="76" t="inlineStr">
        <is>
          <t>Route 103 (Split 1, Item Ball); Fallarbor Town - Mart (Split 5, Mart); Lilycove City - Department Store - 3F (Split 7, Mart); Mauville City - Mart (Split 4,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79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6" t="n"/>
      <c r="F69" s="76" t="inlineStr">
        <is>
          <t>Lilycove City - Department Store - 2F (Split 7, Mart); Verdanturf Town - Mart (Split 4,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79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6" t="inlineStr">
        <is>
          <t>A nugget of pure gold. Can be sold at a high price.</t>
        </is>
      </c>
      <c r="F71" s="76" t="inlineStr">
        <is>
          <t>Aqua Hideout - B1F (Split 7, Item Ball); Fallarbor Town (Split 5, Hidden); Magma Hideout - 3F - 1R (Split 5, Item Ball); Route 110 - Trick House End (Split 4, Hidden); Route 112 (Split 5, Item Ball); Route 113 (Split 5, Hidden); Route 119 (Split 6, Item Ball); Route 120 (Split 7, Item Ball); Route 121 (Split 7, Hidden);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79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6" t="inlineStr">
        <is>
          <t>A plain mushroom that would sell at a cheap price.</t>
        </is>
      </c>
      <c r="F73" s="76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79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6" t="n"/>
      <c r="F75" s="76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79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6" t="inlineStr">
        <is>
          <t>A lovely large pearl that would sell at a high price.</t>
        </is>
      </c>
      <c r="F77" s="76" t="inlineStr">
        <is>
          <t>Route 105 (Split 3, Hidden); Route 125 (Split 8, Item Ball); Route 133 (Unassigned, Item Ball); Safari Zone - Southeast (Postgame, Item Ball); Shoal Cave - Low Tide Entrance Room (Split 7,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79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6" t="inlineStr">
        <is>
          <t>Beautiful red sand. Can be sold at a high price.</t>
        </is>
      </c>
      <c r="F79" s="76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79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6" t="inlineStr">
        <is>
          <t>A comet's shard. It would sell for a high price.</t>
        </is>
      </c>
      <c r="F81" s="76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79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6" t="inlineStr">
        <is>
          <t>A seashell found deep inside the Shoal Cave.</t>
        </is>
      </c>
      <c r="F83" s="76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79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6" t="n"/>
      <c r="F85" s="76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79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6" t="n"/>
      <c r="F87" s="76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Lilycove City (Split 7, Hidden); Route 104 (Split 2, Hidden); Route 105 (Split 3, Hidden); Route 106 (Split 3, Hidden); Route 109 (Split 4, Hidden); Route 109 (Split 4, Hidden); Route 109 (Split 4, Hidden); Route 115 (Unassigned, Hidden); Route 118 (Split 6, Hidden); Route 128 (Split 8, Hidden); Route 128 (Split 8, Hidden); Route 128 (Split 8, Hidden); Underwater - Route 124 (Unassigned, Hidden); Underwater - Route 124 (Unassigned, Hidden); Underwater - Route 126 (Unassigned, Hidden); Underwater - Route 127 (Unassigned, Hidden)</t>
        </is>
      </c>
    </row>
    <row r="89">
      <c r="A89" s="79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6" t="inlineStr">
        <is>
          <t>Sweet honey that attracts wild Pokémon when used.</t>
        </is>
      </c>
      <c r="F89" s="76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79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6" t="inlineStr">
        <is>
          <t>Voices can be heard from this odd stone occasionally.</t>
        </is>
      </c>
      <c r="F91" s="76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79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6" t="inlineStr">
        <is>
          <t>A copper coin used long ago. It sells at a high price.</t>
        </is>
      </c>
      <c r="F93" s="76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79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6" t="inlineStr">
        <is>
          <t>A gold coin used long ago. It sells at a high price.</t>
        </is>
      </c>
      <c r="F95" s="76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79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6" t="inlineStr">
        <is>
          <t>An old bracelet. It sells at a high price.</t>
        </is>
      </c>
      <c r="F97" s="76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79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6" t="inlineStr">
        <is>
          <t>An old crown. It sells at a high price.</t>
        </is>
      </c>
      <c r="F99" s="76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79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6" t="inlineStr">
        <is>
          <t>A piece of an ancient marine Pokémon's seashell.</t>
        </is>
      </c>
      <c r="F101" s="76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79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6" t="inlineStr">
        <is>
          <t>A stone containing the genes of an ancient Pokémon.</t>
        </is>
      </c>
      <c r="F103" s="76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79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6" t="n"/>
      <c r="F105" s="76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79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6" t="inlineStr">
        <is>
          <t>A piece of a prehistoric Poké- mon's collar.</t>
        </is>
      </c>
      <c r="F107" s="76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79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6" t="inlineStr">
        <is>
          <t>A piece of a prehistoric Poké- mon's wing.</t>
        </is>
      </c>
      <c r="F109" s="76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79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6" t="inlineStr">
        <is>
          <t>A piece of a prehistoric Poké- mon's skin sail.</t>
        </is>
      </c>
      <c r="F111" s="76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79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6" t="inlineStr">
        <is>
          <t>A fertilizer that decelerates the growth of Berries.</t>
        </is>
      </c>
      <c r="F113" s="76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79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6" t="inlineStr">
        <is>
          <t>A fertilizer that makes more Berries regrow after fall.</t>
        </is>
      </c>
      <c r="F115" s="76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79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6" t="inlineStr">
        <is>
          <t>A fertilizer that ups the chance of Berry mutations.</t>
        </is>
      </c>
      <c r="F117" s="76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79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6" t="inlineStr">
        <is>
          <t>A fertilizer Rich Surprising and Boosting as well.</t>
        </is>
      </c>
      <c r="F119" s="76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79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6" t="inlineStr">
        <is>
          <t>A blue apricorn. It smells a bit like grass.</t>
        </is>
      </c>
      <c r="F121" s="76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79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6" t="inlineStr">
        <is>
          <t>A green apricorn. It has a strange, aromatic scent.</t>
        </is>
      </c>
      <c r="F123" s="76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79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6" t="inlineStr">
        <is>
          <t>A white apricorn. It doesn't smell like anything.</t>
        </is>
      </c>
      <c r="F125" s="76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79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6" t="inlineStr">
        <is>
          <t>Throw into a {PKMN} Den to attract Dynamax Pokémon.</t>
        </is>
      </c>
      <c r="F127" s="76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Route 110 - Trick House Puzzle 1 (Split 4, Item Ball); Petalburg City - Mart (Split 1, Mart)</t>
        </is>
      </c>
    </row>
    <row r="129">
      <c r="A129" s="79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6" t="inlineStr">
        <is>
          <t>A Wingull-print Mail to be held by a Pokémon.</t>
        </is>
      </c>
      <c r="F129" s="76" t="inlineStr">
        <is>
          <t>Abandoned Ship - Rooms - 1F (Split 4, Item Ball); Route 110 - Trick House Puzzle 2 (Split 4, Item Ball); Slateport City - Mart (Split 4, Mart)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79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6" t="inlineStr">
        <is>
          <t>A Magnemite-print Mail to be held by a Pokémon.</t>
        </is>
      </c>
      <c r="F131" s="76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79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6" t="inlineStr">
        <is>
          <t>A Wailmer-print Mail to be held by a Pokémon.</t>
        </is>
      </c>
      <c r="F133" s="76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79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6" t="inlineStr">
        <is>
          <t>A Duskull-print Mail to be held by a Pokémon.</t>
        </is>
      </c>
      <c r="F135" s="76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79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6" t="n"/>
      <c r="F137" s="76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79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6" t="inlineStr">
        <is>
          <t>Mail featuring the drawings of three Pokémon.</t>
        </is>
      </c>
      <c r="F139" s="76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79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6" t="n"/>
      <c r="F141" s="76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79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6" t="n"/>
      <c r="F143" s="76" t="inlineStr">
        <is>
          <t>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79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6" t="n"/>
      <c r="F145" s="76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79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6" t="n"/>
      <c r="F147" s="76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79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6" t="inlineStr">
        <is>
          <t>A strange scale held by Dragon- type Pokémon.</t>
        </is>
      </c>
      <c r="F149" s="76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79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6" t="inlineStr">
        <is>
          <t>Loved by a certain Pokémon. It's stiff and heavy.</t>
        </is>
      </c>
      <c r="F151" s="76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79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6" t="inlineStr">
        <is>
          <t>Loved by a certain Pokémon. It's full of magma energy.</t>
        </is>
      </c>
      <c r="F153" s="76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79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6" t="inlineStr">
        <is>
          <t>Loved by a certain Pokémon. Imbued with spirit energy.</t>
        </is>
      </c>
      <c r="F155" s="76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79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6" t="inlineStr">
        <is>
          <t>A soft and sweet treat loved by a certain Pokémon.</t>
        </is>
      </c>
      <c r="F157" s="76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79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6" t="inlineStr">
        <is>
          <t>Peculiar stone that evolves a certain Pokémon.</t>
        </is>
      </c>
      <c r="F159" s="76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Hidden); Petalburg Coast (Split 1, Item Ball)</t>
        </is>
      </c>
    </row>
    <row r="161">
      <c r="A161" s="79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6" t="inlineStr">
        <is>
          <t>A tablet that ups the power of Fire-type moves.</t>
        </is>
      </c>
      <c r="F161" s="76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79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6" t="inlineStr">
        <is>
          <t>A tablet that ups the power of Elec- tric-type moves.</t>
        </is>
      </c>
      <c r="F163" s="76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79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6" t="inlineStr">
        <is>
          <t>A tablet that ups the power of Ice-type moves.</t>
        </is>
      </c>
      <c r="F165" s="76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79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6" t="inlineStr">
        <is>
          <t>A tablet that ups the power of Poison-type moves.</t>
        </is>
      </c>
      <c r="F167" s="76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79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6" t="inlineStr">
        <is>
          <t>A tablet that ups the power of Flying-type moves.</t>
        </is>
      </c>
      <c r="F169" s="76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79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6" t="inlineStr">
        <is>
          <t>A tablet that ups the power of Bug-type moves.</t>
        </is>
      </c>
      <c r="F171" s="76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79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6" t="inlineStr">
        <is>
          <t>A tablet that ups the power of Ghost-type moves.</t>
        </is>
      </c>
      <c r="F173" s="76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79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6" t="inlineStr">
        <is>
          <t>A tablet that ups the power of Dark-type moves.</t>
        </is>
      </c>
      <c r="F175" s="76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79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6" t="inlineStr">
        <is>
          <t>A tablet that ups the power of Fairy-type moves.</t>
        </is>
      </c>
      <c r="F177" s="76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79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6" t="inlineStr">
        <is>
          <t>Changes Genesect's Techno Blast to Electric-type.</t>
        </is>
      </c>
      <c r="F179" s="76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79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6" t="inlineStr">
        <is>
          <t>Changes Genesect's Techno Blast to Ice-type.</t>
        </is>
      </c>
      <c r="F181" s="76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79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6" t="inlineStr">
        <is>
          <t>A blue, glowing orb said to contain an ancient power.</t>
        </is>
      </c>
      <c r="F183" s="76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79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6" t="n"/>
      <c r="F185" s="76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79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6" t="inlineStr">
        <is>
          <t>This stone enables Blastoise to Mega Evolve in battle.</t>
        </is>
      </c>
      <c r="F187" s="76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79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6" t="inlineStr">
        <is>
          <t>This stone enables Pidgeot to Mega Evolve in battle.</t>
        </is>
      </c>
      <c r="F189" s="76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79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6" t="inlineStr">
        <is>
          <t>This stone enables Slowbro to Mega Evolve in battle.</t>
        </is>
      </c>
      <c r="F191" s="76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79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6" t="inlineStr">
        <is>
          <t>This stone enables Kangaskhan to Mega Evolve in battle.</t>
        </is>
      </c>
      <c r="F193" s="76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79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6" t="inlineStr">
        <is>
          <t>This stone enables Gyarados to Mega Evolve in battle.</t>
        </is>
      </c>
      <c r="F195" s="76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79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6" t="n"/>
      <c r="F197" s="76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79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6" t="inlineStr">
        <is>
          <t>This stone enables Ampharos to Mega Evolve in battle.</t>
        </is>
      </c>
      <c r="F199" s="76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79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6" t="inlineStr">
        <is>
          <t>This stone enables Scizor to Mega Evolve in battle.</t>
        </is>
      </c>
      <c r="F201" s="76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79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6" t="inlineStr">
        <is>
          <t>This stone enables Houndoom to Mega Evolve in battle.</t>
        </is>
      </c>
      <c r="F203" s="76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79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6" t="inlineStr">
        <is>
          <t>This stone enables Sceptile to Mega Evolve in battle.</t>
        </is>
      </c>
      <c r="F205" s="76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79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6" t="inlineStr">
        <is>
          <t>This stone enables Swampert to Mega Evolve in battle.</t>
        </is>
      </c>
      <c r="F207" s="76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79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6" t="inlineStr">
        <is>
          <t>This stone enables Sableye to Mega Evolve in battle.</t>
        </is>
      </c>
      <c r="F209" s="76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79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6" t="inlineStr">
        <is>
          <t>This stone enables Aggron to Mega Evolve in battle.</t>
        </is>
      </c>
      <c r="F211" s="76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79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6" t="inlineStr">
        <is>
          <t>This stone enables Manectric to Mega Evolve in battle.</t>
        </is>
      </c>
      <c r="F213" s="76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79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6" t="inlineStr">
        <is>
          <t>This stone enables Camerupt to Mega Evolve in battle.</t>
        </is>
      </c>
      <c r="F215" s="76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79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6" t="inlineStr">
        <is>
          <t>This stone enables Banette to Mega Evolve in battle.</t>
        </is>
      </c>
      <c r="F217" s="76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79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6" t="inlineStr">
        <is>
          <t>This stone enables Glalie to Mega Evolve in battle.</t>
        </is>
      </c>
      <c r="F219" s="76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79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6" t="inlineStr">
        <is>
          <t>This stone enables Metagross to Mega Evolve in battle.</t>
        </is>
      </c>
      <c r="F221" s="76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79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6" t="inlineStr">
        <is>
          <t>This stone enables Latios to Mega Evolve in battle.</t>
        </is>
      </c>
      <c r="F223" s="76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79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6" t="inlineStr">
        <is>
          <t>This stone enables Garchomp to Mega Evolve in battle.</t>
        </is>
      </c>
      <c r="F225" s="76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79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6" t="inlineStr">
        <is>
          <t>This stone enables Abomasnow to Mega Evolve in battle.</t>
        </is>
      </c>
      <c r="F227" s="76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79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6" t="inlineStr">
        <is>
          <t>This stone enables Audino to Mega Evolve in battle.</t>
        </is>
      </c>
      <c r="F229" s="76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79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6" t="inlineStr">
        <is>
          <t>Increases the power of Normal Type moves.</t>
        </is>
      </c>
      <c r="F231" s="76" t="n"/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79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6" t="inlineStr">
        <is>
          <t>Increases the power of Water Type moves.</t>
        </is>
      </c>
      <c r="F233" s="76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79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6" t="inlineStr">
        <is>
          <t>Increases the power of Grass Type moves.</t>
        </is>
      </c>
      <c r="F235" s="76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79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6" t="inlineStr">
        <is>
          <t>Increases the power of Fighting Type moves.</t>
        </is>
      </c>
      <c r="F237" s="76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79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6" t="inlineStr">
        <is>
          <t>Increases the power of Ground Type moves.</t>
        </is>
      </c>
      <c r="F239" s="76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79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6" t="inlineStr">
        <is>
          <t>Increases the power of Psychic Type moves.</t>
        </is>
      </c>
      <c r="F241" s="76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79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6" t="inlineStr">
        <is>
          <t>Increases the power of Rock Type moves.</t>
        </is>
      </c>
      <c r="F243" s="76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79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6" t="inlineStr">
        <is>
          <t>Increases the power of Dragon Type moves.</t>
        </is>
      </c>
      <c r="F245" s="76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79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6" t="inlineStr">
        <is>
          <t>Increases the power of Steel Type moves.</t>
        </is>
      </c>
      <c r="F247" s="76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79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6" t="inlineStr">
        <is>
          <t>A hold item that raises the Atk and Sp. Atk of Pikachu.</t>
        </is>
      </c>
      <c r="F249" s="76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79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6" t="inlineStr">
        <is>
          <t>A hold item that  raises Cubone or Marowak's Attack.</t>
        </is>
      </c>
      <c r="F251" s="76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79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6" t="inlineStr">
        <is>
          <t>A hold item that raises Ditto's Defense.</t>
        </is>
      </c>
      <c r="F253" s="76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79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6" t="inlineStr">
        <is>
          <t>A hold item that raises the Sp. Def of Clamperl.</t>
        </is>
      </c>
      <c r="F255" s="76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79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6" t="inlineStr">
        <is>
          <t>Powers up Latios' &amp; Latias' Psychic and Dragon-type moves.</t>
        </is>
      </c>
      <c r="F257" s="76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79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6" t="inlineStr">
        <is>
          <t>Powers up Palkia's Dragon and Water- type moves.</t>
        </is>
      </c>
      <c r="F259" s="76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79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6" t="n"/>
      <c r="F261" s="76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79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6" t="n"/>
      <c r="F263" s="76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79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6" t="n"/>
      <c r="F265" s="76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79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6" t="n"/>
      <c r="F267" s="76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79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6" t="n"/>
      <c r="F269" s="76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79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6" t="inlineStr">
        <is>
          <t>A hold item that raises Beauty in Contests.</t>
        </is>
      </c>
      <c r="F271" s="76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79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6" t="inlineStr">
        <is>
          <t>A hold item that raises Smart in Contests.</t>
        </is>
      </c>
      <c r="F273" s="76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79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6" t="inlineStr">
        <is>
          <t>A hold item that promotes growth, but reduces Speed.</t>
        </is>
      </c>
      <c r="F275" s="76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79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6" t="inlineStr">
        <is>
          <t>A hold item that promotes Atk gain, but reduces Speed.</t>
        </is>
      </c>
      <c r="F277" s="76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79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6" t="inlineStr">
        <is>
          <t>Hold item that pro- motes Sp. Atk gain, but reduces Speed.</t>
        </is>
      </c>
      <c r="F279" s="76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79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6" t="inlineStr">
        <is>
          <t>A hold item that promotes Spd gain, but reduces Speed.</t>
        </is>
      </c>
      <c r="F281" s="76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n"/>
    </row>
    <row r="283">
      <c r="A283" s="79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6" t="inlineStr">
        <is>
          <t>A hold item that raises the power of Fire-type moves.</t>
        </is>
      </c>
      <c r="F283" s="76" t="n"/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n"/>
    </row>
    <row r="285">
      <c r="A285" s="79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6" t="inlineStr">
        <is>
          <t>A hold item that boosts Electric- type moves.</t>
        </is>
      </c>
      <c r="F285" s="76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n"/>
    </row>
    <row r="287">
      <c r="A287" s="79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6" t="inlineStr">
        <is>
          <t>A hold item that raises the power of Ice-type moves.</t>
        </is>
      </c>
      <c r="F287" s="76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n"/>
    </row>
    <row r="289">
      <c r="A289" s="79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6" t="inlineStr">
        <is>
          <t>A hold item that raises the power of Poison-type moves.</t>
        </is>
      </c>
      <c r="F289" s="76" t="n"/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</t>
        </is>
      </c>
    </row>
    <row r="291">
      <c r="A291" s="79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6" t="inlineStr">
        <is>
          <t>A hold item that raises the power of Flying-type moves.</t>
        </is>
      </c>
      <c r="F291" s="76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79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6" t="inlineStr">
        <is>
          <t>A hold item that raises the power of Bug-type moves.</t>
        </is>
      </c>
      <c r="F293" s="76" t="n"/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79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6" t="inlineStr">
        <is>
          <t>A hold item that raises the power of Ghost-type moves.</t>
        </is>
      </c>
      <c r="F295" s="76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79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6" t="inlineStr">
        <is>
          <t>A hold item that raises the power of Dark-type moves.</t>
        </is>
      </c>
      <c r="F297" s="76" t="inlineStr">
        <is>
          <t>Route 116 (Split 2, Hidden)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79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6" t="inlineStr">
        <is>
          <t>Boosts Attack, but allows the use of only one move.</t>
        </is>
      </c>
      <c r="F299" s="76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79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6" t="inlineStr">
        <is>
          <t>Boosts Speed, but allows the use of only one move.</t>
        </is>
      </c>
      <c r="F301" s="76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79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6" t="inlineStr">
        <is>
          <t>A bizarre orb that badly poisons the holder in battle.</t>
        </is>
      </c>
      <c r="F303" s="76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79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6" t="inlineStr">
        <is>
          <t>Extends the length of Sunny Day if used by the holder.</t>
        </is>
      </c>
      <c r="F305" s="76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79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6" t="inlineStr">
        <is>
          <t>Extends the length of the move Hail used by the holder.</t>
        </is>
      </c>
      <c r="F307" s="76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79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6" t="inlineStr">
        <is>
          <t>Raises Attack if the holder is hit by an Electric move.</t>
        </is>
      </c>
      <c r="F309" s="76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79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6" t="inlineStr">
        <is>
          <t>Raises Atk if its holder is hit by an Ice-type move.</t>
        </is>
      </c>
      <c r="F311" s="76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inlineStr">
        <is>
          <t>Route 104 (Split 2, Item Ball)</t>
        </is>
      </c>
    </row>
    <row r="313">
      <c r="A313" s="79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6" t="inlineStr">
        <is>
          <t>A hold item that restores any lowered stat.</t>
        </is>
      </c>
      <c r="F313" s="76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n"/>
    </row>
    <row r="315">
      <c r="A315" s="79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6" t="inlineStr">
        <is>
          <t>A hold item that calms spirits and fosters friendship.</t>
        </is>
      </c>
      <c r="F315" s="76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79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6" t="n"/>
      <c r="F317" s="76" t="inlineStr">
        <is>
          <t>Petalburg Woods (Split 2, Item Ball)</t>
        </is>
      </c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79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6" t="n"/>
      <c r="F319" s="76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79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6" t="inlineStr">
        <is>
          <t>A hold item that occasionally prevents fainting.</t>
        </is>
      </c>
      <c r="F321" s="76" t="n"/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79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6" t="inlineStr">
        <is>
          <t>A hold item that improves the critical-hit rate.</t>
        </is>
      </c>
      <c r="F323" s="76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79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6" t="inlineStr">
        <is>
          <t>A hold item that restores HP upon striking the foe.</t>
        </is>
      </c>
      <c r="F325" s="76" t="n"/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79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6" t="inlineStr">
        <is>
          <t>A headband that boosts the power of physical moves.</t>
        </is>
      </c>
      <c r="F327" s="76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79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6" t="inlineStr">
        <is>
          <t>A belt that boosts the power of super effective moves.</t>
        </is>
      </c>
      <c r="F329" s="76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79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6" t="inlineStr">
        <is>
          <t>Boosts move power but holder loses HP with each attack.</t>
        </is>
      </c>
      <c r="F331" s="76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79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6" t="inlineStr">
        <is>
          <t>If the holder has full HP, it endures KO hits with 1 HP.</t>
        </is>
      </c>
      <c r="F333" s="76" t="n"/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79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6" t="inlineStr">
        <is>
          <t>A held item that boosts a move used consecutively.</t>
        </is>
      </c>
      <c r="F335" s="76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79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6" t="n"/>
      <c r="F337" s="76" t="n"/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79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6" t="inlineStr">
        <is>
          <t>Restores HP for Poison-types. Damages all others.</t>
        </is>
      </c>
      <c r="F339" s="76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79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6" t="inlineStr">
        <is>
          <t>Damages the holder each turn. May latch on to foes.</t>
        </is>
      </c>
      <c r="F341" s="76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79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6" t="inlineStr">
        <is>
          <t>A held item that ups the power of HP-stealing moves.</t>
        </is>
      </c>
      <c r="F343" s="76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79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6" t="n"/>
      <c r="F345" s="76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79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6" t="inlineStr">
        <is>
          <t>It's so light that when held, it halves a Pokémon's weight.</t>
        </is>
      </c>
      <c r="F347" s="76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79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6" t="inlineStr">
        <is>
          <t>Makes the holder float but bursts if hit by an attack.</t>
        </is>
      </c>
      <c r="F349" s="76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79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6" t="inlineStr">
        <is>
          <t>Moves that usually have no effect will hit the holder.</t>
        </is>
      </c>
      <c r="F351" s="76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79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6" t="inlineStr">
        <is>
          <t>Switches out the user if they're hit by the foe.</t>
        </is>
      </c>
      <c r="F353" s="76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79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6" t="inlineStr">
        <is>
          <t>Raises Sp. Def but prevents the use of status moves.</t>
        </is>
      </c>
      <c r="F355" s="76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79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6" t="inlineStr">
        <is>
          <t>A tool used for catching wild Pokémon.</t>
        </is>
      </c>
      <c r="F357" s="76" t="inlineStr">
        <is>
          <t>Granite Cave - B1F (Split 3, Item Ball); Lilycove City (Split 7, Hidden); Petalburg Woods (Split 2, Hidden); Route 104 (Split 2, Item Ball); Route 104 (Split 2, Hidden); Route 106 (Split 3, Hidden); Route 110 (Split 4, Hidden); Rusturf Tunnel (Split 2, Item Ball); Lilycove City - Department Store - 2F (Split 7, Mart); Mauville City - Mart (Split 4, Mart); Oldale Town - Mart (Split 1, Mart); Petalburg City - Mart (Split 1, Mart); Rustboro City - Mart (Split 2, Mart); Slateport City - Mart (Split 4,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Jagged Pass (Split 5, Hidden); Petalburg Woods (Split 2, Item Ball); Route 109 (Split 4, Hidden); Route 110 (Split 4, Hidden); Route 115 (Unassigned, Item Ball); Route 117 (Split 4, Item Ball); Fallarbor Town - Mart (Split 5, Mart); Fortree City - Mart (Split 6, Mart); Lavaridge Town - Mart (Split 5, Mart); Lilycove City - Department Store - 2F (Split 7, Mart); Mauville City - Mart (Split 4, Mart); Petalburg City - Mart (Split 1, Mart); Slateport City - Mart (Split 4, Mart); Verdanturf Town - Mart (Split 4, Mart)</t>
        </is>
      </c>
    </row>
    <row r="359">
      <c r="A359" s="79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6" t="inlineStr">
        <is>
          <t>A better Ball with a higher catch rate than a Great Ball.</t>
        </is>
      </c>
      <c r="F359" s="76" t="inlineStr">
        <is>
          <t>Mauville City (Split 4, Item Ball); Mt Pyre - 2F (Split 7, Item Ball); Mt Pyre - Exterior (Split 7, Hidden); New Mauville - Inside (Split 4, Item Ball); Route 119 (Split 6, Hidden); Route 123 (Split 7, Item Ball); Underwater - Route 126 (Unassigned, Hidden); Victory Road - 1F (Elite Four &amp; Champion,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79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6" t="inlineStr">
        <is>
          <t>A rare Ball made in commemoration of some event.</t>
        </is>
      </c>
      <c r="F361" s="76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79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6" t="inlineStr">
        <is>
          <t>A Ball that works well on Water- and Bug-type Pokémon.</t>
        </is>
      </c>
      <c r="F363" s="76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Aqua Hideout - B2F (Split 7, Item Ball); Route 120 (Split 7, Item Ball); Verdanturf Town - Mart (Split 4, Mart)</t>
        </is>
      </c>
    </row>
    <row r="365">
      <c r="A365" s="79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6" t="inlineStr">
        <is>
          <t>A Ball that works better on Pokémon on the ocean floor.</t>
        </is>
      </c>
      <c r="F365" s="76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79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6" t="inlineStr">
        <is>
          <t>A Ball that gains power in battles taking many turns.</t>
        </is>
      </c>
      <c r="F367" s="76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n"/>
    </row>
    <row r="369">
      <c r="A369" s="79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6" t="inlineStr">
        <is>
          <t>A Ball that works better on Pokémon caught before.</t>
        </is>
      </c>
      <c r="F369" s="76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79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6" t="inlineStr">
        <is>
          <t>A Ball that works well on lower level Pokémon.</t>
        </is>
      </c>
      <c r="F371" s="76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79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6" t="inlineStr">
        <is>
          <t>A Ball that works well on Moon Stone users.</t>
        </is>
      </c>
      <c r="F373" s="76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79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6" t="inlineStr">
        <is>
          <t>Works well on Pokémon of the opposite gender.</t>
        </is>
      </c>
      <c r="F375" s="76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79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6" t="inlineStr">
        <is>
          <t>Works well on very heavy Pokémon.</t>
        </is>
      </c>
      <c r="F377" s="76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79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6" t="inlineStr">
        <is>
          <t>A special Ball that is used only in the Safari Zone.</t>
        </is>
      </c>
      <c r="F379" s="76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79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6" t="inlineStr">
        <is>
          <t>A special Ball for the Pal Park.</t>
        </is>
      </c>
      <c r="F381" s="76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79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6" t="inlineStr">
        <is>
          <t>A hold item that heals paralysis in battle.</t>
        </is>
      </c>
      <c r="F383" s="76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79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6" t="inlineStr">
        <is>
          <t>A hold item that heals poisoning in battle.</t>
        </is>
      </c>
      <c r="F385" s="76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79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6" t="inlineStr">
        <is>
          <t>A hold item that defrosts Pokémon in battle.</t>
        </is>
      </c>
      <c r="F387" s="76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79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6" t="inlineStr">
        <is>
          <t>A hold item that restores 10 HP in battle.</t>
        </is>
      </c>
      <c r="F389" s="76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79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6" t="inlineStr">
        <is>
          <t>A hold item that heals any status problem in battle.</t>
        </is>
      </c>
      <c r="F391" s="76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79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6" t="n"/>
      <c r="F393" s="76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79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6" t="n"/>
      <c r="F395" s="76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79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6" t="n"/>
      <c r="F397" s="76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79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6" t="inlineStr">
        <is>
          <t>{POKEBLOCK} ingredient. Plant in loamy soil to grow Bluk.</t>
        </is>
      </c>
      <c r="F399" s="76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79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6" t="inlineStr">
        <is>
          <t>{POKEBLOCK} ingredient. Plant in loamy soil to grow Wepear.</t>
        </is>
      </c>
      <c r="F401" s="76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79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6" t="inlineStr">
        <is>
          <t>Makes a Pokémon friendly but lowers base HP.</t>
        </is>
      </c>
      <c r="F403" s="76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79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6" t="inlineStr">
        <is>
          <t>Makes a Pokémon friendly but lowers base Defense.</t>
        </is>
      </c>
      <c r="F405" s="76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79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6" t="inlineStr">
        <is>
          <t>Makes a Pokémon friendly but lowers base Sp. Def.</t>
        </is>
      </c>
      <c r="F407" s="76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79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6" t="inlineStr">
        <is>
          <t>{POKEBLOCK} ingredient. Plant in loamy soil to grow Cornn.</t>
        </is>
      </c>
      <c r="F409" s="76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79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6" t="inlineStr">
        <is>
          <t>{POKEBLOCK} ingredient. Plant in loamy soil to grow Rabuta.</t>
        </is>
      </c>
      <c r="F411" s="76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79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6" t="inlineStr">
        <is>
          <t>{POKEBLOCK} ingredient. Plant in loamy soil to grow Spelon.</t>
        </is>
      </c>
      <c r="F413" s="76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79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6" t="inlineStr">
        <is>
          <t>{POKEBLOCK} ingredient. Plant in loamy soil to grow Watmel.</t>
        </is>
      </c>
      <c r="F415" s="76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79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6" t="inlineStr">
        <is>
          <t>{POKEBLOCK} ingredient. Plant in loamy soil to grow Belue.</t>
        </is>
      </c>
      <c r="F417" s="76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n"/>
    </row>
    <row r="419">
      <c r="A419" s="79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6" t="inlineStr">
        <is>
          <t>A hold item that weakens a Fire move if weak to it.</t>
        </is>
      </c>
      <c r="F419" s="76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79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6" t="inlineStr">
        <is>
          <t>A hold item that weakens a Electric move if weak to it.</t>
        </is>
      </c>
      <c r="F421" s="76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79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6" t="inlineStr">
        <is>
          <t>A hold item that weakens a Ice move if weak to it.</t>
        </is>
      </c>
      <c r="F423" s="76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79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6" t="inlineStr">
        <is>
          <t>A hold item that weakens a Poison move if weak to it.</t>
        </is>
      </c>
      <c r="F425" s="76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79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6" t="inlineStr">
        <is>
          <t>A hold item that weakens a Flying move if weak to it.</t>
        </is>
      </c>
      <c r="F427" s="76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79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6" t="inlineStr">
        <is>
          <t>A hold item that weakens a Bug move if weak to it.</t>
        </is>
      </c>
      <c r="F429" s="76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79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6" t="inlineStr">
        <is>
          <t>A hold item that weakens a Ghost move if weak to it.</t>
        </is>
      </c>
      <c r="F431" s="76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79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6" t="inlineStr">
        <is>
          <t>A hold item that weakens a Dark move if weak to it.</t>
        </is>
      </c>
      <c r="F433" s="76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79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6" t="inlineStr">
        <is>
          <t>A hold item that weakens a Fairy move if weak to it.</t>
        </is>
      </c>
      <c r="F435" s="76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79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6" t="inlineStr">
        <is>
          <t>A hold item that raises Defense in a pinch.</t>
        </is>
      </c>
      <c r="F437" s="76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79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6" t="inlineStr">
        <is>
          <t>A hold item that raises Sp. Atk in a pinch.</t>
        </is>
      </c>
      <c r="F439" s="76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79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6" t="inlineStr">
        <is>
          <t>A hold item that ups the critical- hit rate in a pinch.</t>
        </is>
      </c>
      <c r="F441" s="76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79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6" t="inlineStr">
        <is>
          <t>A hold item that heals from super effective moves.</t>
        </is>
      </c>
      <c r="F443" s="76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79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6" t="inlineStr">
        <is>
          <t>It allows a Pokémon in a pinch to move first just once.</t>
        </is>
      </c>
      <c r="F445" s="76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79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6" t="inlineStr">
        <is>
          <t>If hit by a special move, it will hurt the attacker a bit.</t>
        </is>
      </c>
      <c r="F447" s="76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79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6" t="inlineStr">
        <is>
          <t>If hit by a special move, it raises the Sp. Def. a bit.</t>
        </is>
      </c>
      <c r="F449" s="76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79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6" t="inlineStr">
        <is>
          <t>Powerful, but makes the user flinch if hit by the foe.</t>
        </is>
      </c>
      <c r="F451" s="76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79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6" t="inlineStr">
        <is>
          <t>Generates an ultrasonic wave that may confuse.</t>
        </is>
      </c>
      <c r="F453" s="76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79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6" t="inlineStr">
        <is>
          <t>A savage roar that makes the foe flee  to end the battle.</t>
        </is>
      </c>
      <c r="F455" s="76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79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6" t="inlineStr">
        <is>
          <t>Creates a hailstorm that damages all types except Ice.</t>
        </is>
      </c>
      <c r="F457" s="76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79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6" t="inlineStr">
        <is>
          <t>Shoots 2 to 5 seeds in a row to strike the foe.</t>
        </is>
      </c>
      <c r="F459" s="76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79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6" t="inlineStr">
        <is>
          <t>Raises the power of Fire-type moves for 5 turns.</t>
        </is>
      </c>
      <c r="F461" s="76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79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6" t="inlineStr">
        <is>
          <t>Fires an icy cold beam that may inflict frostbite.</t>
        </is>
      </c>
      <c r="F463" s="76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79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6" t="inlineStr">
        <is>
          <t>Powerful, but needs recharging the next turn.</t>
        </is>
      </c>
      <c r="F465" s="76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79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6" t="inlineStr">
        <is>
          <t>Negates all damage, but may fail if used in succession.</t>
        </is>
      </c>
      <c r="F467" s="76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79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6" t="inlineStr">
        <is>
          <t>Recovers half the HP of the damage  this move inflicts.</t>
        </is>
      </c>
      <c r="F469" s="76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79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6" t="inlineStr">
        <is>
          <t>The less the user likes you, the more powerful this move.</t>
        </is>
      </c>
      <c r="F471" s="76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79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6" t="inlineStr">
        <is>
          <t>Slams the foe with a hard tail. It may lower Defense.</t>
        </is>
      </c>
      <c r="F473" s="76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79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6" t="inlineStr">
        <is>
          <t>Strikes the foe with a thunderbolt. It may paralyze.</t>
        </is>
      </c>
      <c r="F475" s="76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79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6" t="inlineStr">
        <is>
          <t>The more the user likes you, the more powerful this move.</t>
        </is>
      </c>
      <c r="F477" s="76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79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6" t="inlineStr">
        <is>
          <t>A powerful psychic attack that may lower Sp. Def.</t>
        </is>
      </c>
      <c r="F479" s="76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79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6" t="inlineStr">
        <is>
          <t>Destroys barriers like Light Screen and causes damage.</t>
        </is>
      </c>
      <c r="F481" s="76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79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6" t="inlineStr">
        <is>
          <t>Creates a wall of light that weakens physical attacks.</t>
        </is>
      </c>
      <c r="F483" s="76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79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6" t="inlineStr">
        <is>
          <t>Looses a stream of fire that may burn the foe.</t>
        </is>
      </c>
      <c r="F485" s="76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79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6" t="inlineStr">
        <is>
          <t>Causes a sandstorm that hits the foe over several turns.</t>
        </is>
      </c>
      <c r="F487" s="76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79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6" t="inlineStr">
        <is>
          <t>Stops the foe from moving with rocks. May lower Speed.</t>
        </is>
      </c>
      <c r="F489" s="76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79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6" t="inlineStr">
        <is>
          <t>Prevents the foe from using the same move in a row.</t>
        </is>
      </c>
      <c r="F491" s="76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79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6" t="inlineStr">
        <is>
          <t>Adds an effect to attack depending on the location.</t>
        </is>
      </c>
      <c r="F493" s="76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79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6" t="inlineStr">
        <is>
          <t>Makes it tough to attack a foe of the opposite gender.</t>
        </is>
      </c>
      <c r="F495" s="76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79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6" t="inlineStr">
        <is>
          <t>Spreads hard- edged wings and slams into the foe.</t>
        </is>
      </c>
      <c r="F497" s="76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79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6" t="inlineStr">
        <is>
          <t>Steals the effects of the move the foe is trying to use.</t>
        </is>
      </c>
      <c r="F499" s="76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79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6" t="inlineStr">
        <is>
          <t>Pecks the foe. If the foe holds a Berry, it's eaten.</t>
        </is>
      </c>
      <c r="F501" s="76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79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6" t="inlineStr">
        <is>
          <t>Silvery scaly dust is blown. May raise all stats.</t>
        </is>
      </c>
      <c r="F503" s="76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79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6" t="inlineStr">
        <is>
          <t>Used only while asleep. Randomly uses a known move.</t>
        </is>
      </c>
      <c r="F505" s="76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79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6" t="inlineStr">
        <is>
          <t>Hurls the held item at the foe. Effect varies by item.</t>
        </is>
      </c>
      <c r="F507" s="76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79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6" t="inlineStr">
        <is>
          <t>Approaches the foe unawares. This attack never misses.</t>
        </is>
      </c>
      <c r="F509" s="76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79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6" t="inlineStr">
        <is>
          <t>Scalding water hits the foe. May leave it with a burn.</t>
        </is>
      </c>
      <c r="F511" s="76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79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6" t="inlineStr">
        <is>
          <t>A powerful flash of light is emitted to damage all foes.</t>
        </is>
      </c>
      <c r="F513" s="76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79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6" t="inlineStr">
        <is>
          <t>Turns the foe's own strength against it for damage.</t>
        </is>
      </c>
      <c r="F515" s="76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79" t="inlineStr">
        <is>
          <t>HM01</t>
        </is>
      </c>
      <c r="B517" s="30" t="inlineStr">
        <is>
          <t>TMs &amp; HMs</t>
        </is>
      </c>
      <c r="C517" s="30" t="inlineStr">
        <is>
          <t>-</t>
        </is>
      </c>
      <c r="D517" s="30" t="inlineStr">
        <is>
          <t>-</t>
        </is>
      </c>
      <c r="E517" s="76" t="inlineStr">
        <is>
          <t>Attacks the foe with sharp blades or claws.</t>
        </is>
      </c>
      <c r="F517" s="76" t="n"/>
    </row>
    <row r="518">
      <c r="A518" s="7" t="inlineStr">
        <is>
          <t>HM02</t>
        </is>
      </c>
      <c r="B518" s="6" t="inlineStr">
        <is>
          <t>TMs &amp; HMs</t>
        </is>
      </c>
      <c r="C518" s="6" t="inlineStr">
        <is>
          <t>-</t>
        </is>
      </c>
      <c r="D518" s="6" t="inlineStr">
        <is>
          <t>-</t>
        </is>
      </c>
      <c r="E518" s="32" t="inlineStr">
        <is>
          <t>Flies up on the first turn, then attacks next turn.</t>
        </is>
      </c>
      <c r="F518" s="32" t="n"/>
    </row>
    <row r="519">
      <c r="A519" s="79" t="inlineStr">
        <is>
          <t>HM03</t>
        </is>
      </c>
      <c r="B519" s="30" t="inlineStr">
        <is>
          <t>TMs &amp; HMs</t>
        </is>
      </c>
      <c r="C519" s="30" t="inlineStr">
        <is>
          <t>-</t>
        </is>
      </c>
      <c r="D519" s="30" t="inlineStr">
        <is>
          <t>-</t>
        </is>
      </c>
      <c r="E519" s="76" t="inlineStr">
        <is>
          <t>Creates a huge wave, then crashes it down on the foe.</t>
        </is>
      </c>
      <c r="F519" s="76" t="n"/>
    </row>
    <row r="520">
      <c r="A520" s="7" t="inlineStr">
        <is>
          <t>HM04</t>
        </is>
      </c>
      <c r="B520" s="6" t="inlineStr">
        <is>
          <t>TMs &amp; HMs</t>
        </is>
      </c>
      <c r="C520" s="6" t="inlineStr">
        <is>
          <t>-</t>
        </is>
      </c>
      <c r="D520" s="6" t="inlineStr">
        <is>
          <t>-</t>
        </is>
      </c>
      <c r="E520" s="32" t="inlineStr">
        <is>
          <t>Builds enormous power, then slams the foe.</t>
        </is>
      </c>
      <c r="F520" s="32" t="n"/>
    </row>
    <row r="521">
      <c r="A521" s="79" t="inlineStr">
        <is>
          <t>HM05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6" t="inlineStr">
        <is>
          <t>Looses a powerful blast of light that reduces accuracy.</t>
        </is>
      </c>
      <c r="F521" s="76" t="n"/>
    </row>
    <row r="522">
      <c r="A522" s="7" t="inlineStr">
        <is>
          <t>HM06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A rock-crushingly tough attack that may lower Defense.</t>
        </is>
      </c>
      <c r="F522" s="32" t="inlineStr">
        <is>
          <t>Viridian Forest (Split 1, Gift (end of forest))</t>
        </is>
      </c>
    </row>
    <row r="523">
      <c r="A523" s="79" t="inlineStr">
        <is>
          <t>HM07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6" t="inlineStr">
        <is>
          <t>Attacks the foe with enough power to climb waterfalls.</t>
        </is>
      </c>
      <c r="F523" s="76" t="n"/>
    </row>
    <row r="524">
      <c r="A524" s="7" t="inlineStr">
        <is>
          <t>HM08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Dives underwater the 1st turn, then attacks next turn.</t>
        </is>
      </c>
      <c r="F524" s="32" t="n"/>
    </row>
    <row r="525">
      <c r="A525" s="79" t="inlineStr">
        <is>
          <t>Escape Rope</t>
        </is>
      </c>
      <c r="B525" s="30" t="inlineStr">
        <is>
          <t>Key Items</t>
        </is>
      </c>
      <c r="C525" s="30" t="inlineStr">
        <is>
          <t>-</t>
        </is>
      </c>
      <c r="D525" s="30" t="n">
        <v>30</v>
      </c>
      <c r="E525" s="76" t="inlineStr">
        <is>
          <t>Use to escape instantly from a cave or a dungeon.</t>
        </is>
      </c>
      <c r="F525" s="76" t="inlineStr">
        <is>
          <t>Abandoned Ship - Rooms - B1F (Split 4, Item Ball); Granite Cave - 1F (Split 3, Item Ball); Magma Hideout - 3F - 3R (Split 5, Item Ball); New Mauville - Inside (Split 4, Item Ball); Route 111 (Split 5, Hidden); Fallarbor Town - Mart (Split 5, Mart); Lilycove City - Department Store - 2F (Split 7, Mart); Petalburg City - Mart (Split 1, Mart); Rustboro City - Mart (Split 2, Mart); Slateport City - Mart (Split 4, Mart)</t>
        </is>
      </c>
    </row>
    <row r="526">
      <c r="A526" s="7" t="inlineStr">
        <is>
          <t>Oval Charm</t>
        </is>
      </c>
      <c r="B526" s="6" t="inlineStr">
        <is>
          <t>Key Items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Raises the chance of finding eggs at the daycare.</t>
        </is>
      </c>
      <c r="F526" s="32" t="n"/>
    </row>
    <row r="527">
      <c r="A527" s="79" t="inlineStr">
        <is>
          <t>Shiny Charm</t>
        </is>
      </c>
      <c r="B527" s="30" t="inlineStr">
        <is>
          <t>Key Items</t>
        </is>
      </c>
      <c r="C527" s="30" t="inlineStr">
        <is>
          <t>-</t>
        </is>
      </c>
      <c r="D527" s="30" t="inlineStr">
        <is>
          <t>-</t>
        </is>
      </c>
      <c r="E527" s="76" t="inlineStr">
        <is>
          <t>A charm that will raise the chance of Shiny Pokémon.</t>
        </is>
      </c>
      <c r="F527" s="76" t="n"/>
    </row>
    <row r="528">
      <c r="A528" s="7" t="inlineStr">
        <is>
          <t>Gracidea</t>
        </is>
      </c>
      <c r="B528" s="6" t="inlineStr">
        <is>
          <t>Key Items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Bouquets made with it are offered as a token of gratitude.</t>
        </is>
      </c>
      <c r="F528" s="32" t="n"/>
    </row>
    <row r="529">
      <c r="A529" s="79" t="inlineStr">
        <is>
          <t>Reveal Glass</t>
        </is>
      </c>
      <c r="B529" s="30" t="inlineStr">
        <is>
          <t>Key Items</t>
        </is>
      </c>
      <c r="C529" s="30" t="inlineStr">
        <is>
          <t>-</t>
        </is>
      </c>
      <c r="D529" s="30" t="inlineStr">
        <is>
          <t>-</t>
        </is>
      </c>
      <c r="E529" s="76" t="inlineStr">
        <is>
          <t>This glass returns a Pokémon back to its original form.</t>
        </is>
      </c>
      <c r="F529" s="76" t="n"/>
    </row>
    <row r="530">
      <c r="A530" s="7" t="inlineStr">
        <is>
          <t>DNA Splicers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Splicer that fuses Kyurem and a certain Pokémon.</t>
        </is>
      </c>
      <c r="F530" s="32" t="n"/>
    </row>
    <row r="531">
      <c r="A531" s="79" t="inlineStr">
        <is>
          <t>Prison Bottle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6" t="inlineStr">
        <is>
          <t>A bottle used to seal a certain Pokémon long ago.</t>
        </is>
      </c>
      <c r="F531" s="76" t="n"/>
    </row>
    <row r="532">
      <c r="A532" s="7" t="inlineStr">
        <is>
          <t>Mega Ring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Enables {PKMN} holding their Mega Stone to Mega Evolve.</t>
        </is>
      </c>
      <c r="F532" s="32" t="n"/>
    </row>
    <row r="533">
      <c r="A533" s="79" t="inlineStr">
        <is>
          <t>Bicycle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6" t="inlineStr">
        <is>
          <t>A folding bicycle that is faster than the Running Shoes.</t>
        </is>
      </c>
      <c r="F533" s="76" t="n"/>
    </row>
    <row r="534">
      <c r="A534" s="7" t="inlineStr">
        <is>
          <t>Mach Bike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A folding bicycle that doubles your speed or better.</t>
        </is>
      </c>
      <c r="F534" s="32" t="n"/>
    </row>
    <row r="535">
      <c r="A535" s="79" t="inlineStr">
        <is>
          <t>Acro Bike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6" t="inlineStr">
        <is>
          <t>A folding bicycle capable of jumps and wheelies.</t>
        </is>
      </c>
      <c r="F535" s="76" t="n"/>
    </row>
    <row r="536">
      <c r="A536" s="7" t="inlineStr">
        <is>
          <t>Old Rod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Use by any body of water to fish for wild Pokémon.</t>
        </is>
      </c>
      <c r="F536" s="32" t="n"/>
    </row>
    <row r="537">
      <c r="A537" s="79" t="inlineStr">
        <is>
          <t>Good Rod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6" t="inlineStr">
        <is>
          <t>A decent fishing rod for catching wild Pokémon.</t>
        </is>
      </c>
      <c r="F537" s="76" t="n"/>
    </row>
    <row r="538">
      <c r="A538" s="7" t="inlineStr">
        <is>
          <t>Super Rod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The best fishing rod for catching wild Pokémon.</t>
        </is>
      </c>
      <c r="F538" s="32" t="n"/>
    </row>
    <row r="539">
      <c r="A539" s="79" t="inlineStr">
        <is>
          <t>Dowsing Machine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6" t="inlineStr">
        <is>
          <t>A device that signals an invisible item by sound.</t>
        </is>
      </c>
      <c r="F539" s="76" t="n"/>
    </row>
    <row r="540">
      <c r="A540" s="7" t="inlineStr">
        <is>
          <t>Town Map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Can be viewed anytime. Shows your present location.</t>
        </is>
      </c>
      <c r="F540" s="32" t="n"/>
    </row>
    <row r="541">
      <c r="A541" s="79" t="inlineStr">
        <is>
          <t>Vs. Seeker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6" t="inlineStr">
        <is>
          <t>A rechargeable unit that flags battle- ready Trainers.</t>
        </is>
      </c>
      <c r="F541" s="76" t="n"/>
    </row>
    <row r="542">
      <c r="A542" s="7" t="inlineStr">
        <is>
          <t>TM Case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A convenient case that holds TMs and HMs.</t>
        </is>
      </c>
      <c r="F542" s="32" t="n"/>
    </row>
    <row r="543">
      <c r="A543" s="79" t="inlineStr">
        <is>
          <t>Berry Pouch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6" t="inlineStr">
        <is>
          <t>A convenient container that holds Berries.</t>
        </is>
      </c>
      <c r="F543" s="76" t="n"/>
    </row>
    <row r="544">
      <c r="A544" s="7" t="inlineStr">
        <is>
          <t>{PKMN} Box Link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This device grants access to the {PKMN} Storage System.</t>
        </is>
      </c>
      <c r="F544" s="32" t="n"/>
    </row>
    <row r="545">
      <c r="A545" s="79" t="inlineStr">
        <is>
          <t>Coin Case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6" t="inlineStr">
        <is>
          <t>A case that holds up to 9,999 Coins.</t>
        </is>
      </c>
      <c r="F545" s="76" t="n"/>
    </row>
    <row r="546">
      <c r="A546" s="7" t="inlineStr">
        <is>
          <t>Powder Jar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Stores Berry Powder made using a Berry Crusher.</t>
        </is>
      </c>
      <c r="F546" s="32" t="n"/>
    </row>
    <row r="547">
      <c r="A547" s="79" t="inlineStr">
        <is>
          <t>Wailmer Pail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6" t="inlineStr">
        <is>
          <t>A tool used for watering Berries and plants.</t>
        </is>
      </c>
      <c r="F547" s="76" t="n"/>
    </row>
    <row r="548">
      <c r="A548" s="7" t="inlineStr">
        <is>
          <t>Poké Radar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A tool used to search out Pokémon hiding in grass.</t>
        </is>
      </c>
      <c r="F548" s="32" t="n"/>
    </row>
    <row r="549">
      <c r="A549" s="79" t="inlineStr">
        <is>
          <t>{POKEBLOCK}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6" t="inlineStr">
        <is>
          <t>A case for holding {POKEBLOCK}s made with a Berry Blender.</t>
        </is>
      </c>
      <c r="F549" s="76" t="n"/>
    </row>
    <row r="550">
      <c r="A550" s="7" t="inlineStr">
        <is>
          <t>Soot Sack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A sack used to gather and hold volcanic ash.</t>
        </is>
      </c>
      <c r="F550" s="32" t="n"/>
    </row>
    <row r="551">
      <c r="A551" s="79" t="inlineStr">
        <is>
          <t>Poké Flute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6" t="inlineStr">
        <is>
          <t>A sweet-sounding flute that awakens Pokémon.</t>
        </is>
      </c>
      <c r="F551" s="76" t="n"/>
    </row>
    <row r="552">
      <c r="A552" s="7" t="inlineStr">
        <is>
          <t>Fame Checker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Stores information on famous people for instant recall.</t>
        </is>
      </c>
      <c r="F552" s="32" t="n"/>
    </row>
    <row r="553">
      <c r="A553" s="79" t="inlineStr">
        <is>
          <t>Teachy TV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6" t="inlineStr">
        <is>
          <t>A TV set tuned to an advice program for Trainers.</t>
        </is>
      </c>
      <c r="F553" s="76" t="n"/>
    </row>
    <row r="554">
      <c r="A554" s="7" t="inlineStr">
        <is>
          <t>S.S. Ticket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The ticket required for sailing on a ferry.</t>
        </is>
      </c>
      <c r="F554" s="32" t="n"/>
    </row>
    <row r="555">
      <c r="A555" s="79" t="inlineStr">
        <is>
          <t>Eon Ticket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6" t="inlineStr">
        <is>
          <t>The ticket for a ferry to a distant southern island.</t>
        </is>
      </c>
      <c r="F555" s="76" t="n"/>
    </row>
    <row r="556">
      <c r="A556" s="7" t="inlineStr">
        <is>
          <t>Mystic Ticket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A ticket required to board the ship to Navel Rock.</t>
        </is>
      </c>
      <c r="F556" s="32" t="n"/>
    </row>
    <row r="557">
      <c r="A557" s="79" t="inlineStr">
        <is>
          <t>Aurora Ticket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6" t="inlineStr">
        <is>
          <t>A ticket required to board the ship to Birth Island.</t>
        </is>
      </c>
      <c r="F557" s="76" t="n"/>
    </row>
    <row r="558">
      <c r="A558" s="7" t="inlineStr">
        <is>
          <t>Old Sea Map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A faded sea chart that shows the way to a certain island.</t>
        </is>
      </c>
      <c r="F558" s="32" t="n"/>
    </row>
    <row r="559">
      <c r="A559" s="79" t="inlineStr">
        <is>
          <t>Letter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6" t="inlineStr">
        <is>
          <t>A letter to Steven from the President of the Devon Corp.</t>
        </is>
      </c>
      <c r="F559" s="76" t="n"/>
    </row>
    <row r="560">
      <c r="A560" s="7" t="inlineStr">
        <is>
          <t>Devon Parts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package that contains Devon's machine parts.</t>
        </is>
      </c>
      <c r="F560" s="32" t="n"/>
    </row>
    <row r="561">
      <c r="A561" s="79" t="inlineStr">
        <is>
          <t>Go-Goggles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6" t="inlineStr">
        <is>
          <t>Nifty goggles that protect eyes from desert sandstorms.</t>
        </is>
      </c>
      <c r="F561" s="76" t="n"/>
    </row>
    <row r="562">
      <c r="A562" s="7" t="inlineStr">
        <is>
          <t>Devon Scope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device by Devon that signals any unseeable Pokémon.</t>
        </is>
      </c>
      <c r="F562" s="32" t="n"/>
    </row>
    <row r="563">
      <c r="A563" s="79" t="inlineStr">
        <is>
          <t>Basement Key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6" t="inlineStr">
        <is>
          <t>The key for New Mauville beneath Mauville City.</t>
        </is>
      </c>
      <c r="F563" s="76" t="n"/>
    </row>
    <row r="564">
      <c r="A564" s="7" t="inlineStr">
        <is>
          <t>Scanner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device found inside the Abandoned Ship.</t>
        </is>
      </c>
      <c r="F564" s="32" t="inlineStr">
        <is>
          <t>Abandoned Ship - Hidden Floor Rooms (Split 4, Item Ball)</t>
        </is>
      </c>
    </row>
    <row r="565">
      <c r="A565" s="79" t="inlineStr">
        <is>
          <t>Storage Key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6" t="inlineStr">
        <is>
          <t>The key to the storage inside the Abandoned Ship.</t>
        </is>
      </c>
      <c r="F565" s="76" t="inlineStr">
        <is>
          <t>Abandoned Ship - Captains Office (Split 4, Item Ball)</t>
        </is>
      </c>
    </row>
    <row r="566">
      <c r="A566" s="7" t="inlineStr">
        <is>
          <t>Key to Room 1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n"/>
      <c r="F566" s="32" t="inlineStr">
        <is>
          <t>Abandoned Ship - Hidden Floor Rooms (Split 4, Hidden)</t>
        </is>
      </c>
    </row>
    <row r="567">
      <c r="A567" s="79" t="inlineStr">
        <is>
          <t>Key to Room 2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6" t="n"/>
      <c r="F567" s="76" t="inlineStr">
        <is>
          <t>Abandoned Ship - Hidden Floor Rooms (Split 4, Hidden)</t>
        </is>
      </c>
    </row>
    <row r="568">
      <c r="A568" s="7" t="inlineStr">
        <is>
          <t>Key to Room 4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n"/>
      <c r="F568" s="32" t="inlineStr">
        <is>
          <t>Abandoned Ship - Hidden Floor Rooms (Split 4, Hidden)</t>
        </is>
      </c>
    </row>
    <row r="569">
      <c r="A569" s="79" t="inlineStr">
        <is>
          <t>Key to Room 6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6" t="n"/>
      <c r="F569" s="76" t="inlineStr">
        <is>
          <t>Abandoned Ship - Hidden Floor Rooms (Split 4, Hidden)</t>
        </is>
      </c>
    </row>
    <row r="570">
      <c r="A570" s="7" t="inlineStr">
        <is>
          <t>Meteorite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inlineStr">
        <is>
          <t>A meteorite found at Meteor Falls.</t>
        </is>
      </c>
      <c r="F570" s="32" t="n"/>
    </row>
    <row r="571">
      <c r="A571" s="79" t="inlineStr">
        <is>
          <t>Magma Emblem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6" t="inlineStr">
        <is>
          <t>A medal-like item in the same shape as Team Magma's mark.</t>
        </is>
      </c>
      <c r="F571" s="76" t="n"/>
    </row>
    <row r="572">
      <c r="A572" s="7" t="inlineStr">
        <is>
          <t>Contest Pass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inlineStr">
        <is>
          <t>The pass required for entering Pokémon Contests.</t>
        </is>
      </c>
      <c r="F572" s="32" t="n"/>
    </row>
    <row r="573">
      <c r="A573" s="79" t="inlineStr">
        <is>
          <t>Parcel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6" t="inlineStr">
        <is>
          <t>A parcel for Prof. Oak from a Pokémon Mart's clerk.</t>
        </is>
      </c>
      <c r="F573" s="76" t="n"/>
    </row>
    <row r="574">
      <c r="A574" s="7" t="inlineStr">
        <is>
          <t>Secret Key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The key to the Cinnabar Island Gym's entrance.</t>
        </is>
      </c>
      <c r="F574" s="32" t="n"/>
    </row>
    <row r="575">
      <c r="A575" s="79" t="inlineStr">
        <is>
          <t>Bike Voucher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6" t="inlineStr">
        <is>
          <t>A voucher for obtaining a bicycle from the Bike Shop.</t>
        </is>
      </c>
      <c r="F575" s="76" t="n"/>
    </row>
    <row r="576">
      <c r="A576" s="7" t="inlineStr">
        <is>
          <t>Gold Teeth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Gold dentures lost by the Safari Zone's Warden.</t>
        </is>
      </c>
      <c r="F576" s="32" t="n"/>
    </row>
    <row r="577">
      <c r="A577" s="79" t="inlineStr">
        <is>
          <t>Card Key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6" t="inlineStr">
        <is>
          <t>A card-type door key used in Silph Co's office.</t>
        </is>
      </c>
      <c r="F577" s="76" t="n"/>
    </row>
    <row r="578">
      <c r="A578" s="7" t="inlineStr">
        <is>
          <t>Lift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An elevator key used in Team Rocket's Hideout.</t>
        </is>
      </c>
      <c r="F578" s="32" t="n"/>
    </row>
    <row r="579">
      <c r="A579" s="79" t="inlineStr">
        <is>
          <t>Silph Scope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6" t="inlineStr">
        <is>
          <t>Silph Co's scope makes unseeable POKéMON visible.</t>
        </is>
      </c>
      <c r="F579" s="76" t="n"/>
    </row>
    <row r="580">
      <c r="A580" s="7" t="inlineStr">
        <is>
          <t>Tri-Pass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A pass for ferries between One, Two, and Three Island.</t>
        </is>
      </c>
      <c r="F580" s="32" t="n"/>
    </row>
    <row r="581">
      <c r="A581" s="79" t="inlineStr">
        <is>
          <t>Rainbow Pass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6" t="inlineStr">
        <is>
          <t>For ferries serving Vermilion and the Sevii Islands.</t>
        </is>
      </c>
      <c r="F581" s="76" t="n"/>
    </row>
    <row r="582">
      <c r="A582" s="7" t="inlineStr">
        <is>
          <t>Tea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 thirst-quenching tea prepared by an old lady.</t>
        </is>
      </c>
      <c r="F582" s="32" t="n"/>
    </row>
    <row r="583">
      <c r="A583" s="79" t="inlineStr">
        <is>
          <t>Ruby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6" t="inlineStr">
        <is>
          <t>An exquisite, red- glowing gem that symbolizes passion.</t>
        </is>
      </c>
      <c r="F583" s="76" t="n"/>
    </row>
    <row r="584">
      <c r="A584" s="7" t="inlineStr">
        <is>
          <t>Sapphire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brilliant blue gem that symbolizes honesty.</t>
        </is>
      </c>
      <c r="F584" s="32" t="n"/>
    </row>
    <row r="585">
      <c r="A585" s="79" t="inlineStr">
        <is>
          <t>Exp. Share</t>
        </is>
      </c>
      <c r="B585" s="30" t="n"/>
      <c r="C585" s="30" t="inlineStr">
        <is>
          <t>-</t>
        </is>
      </c>
      <c r="D585" s="30" t="n">
        <v>30</v>
      </c>
      <c r="E585" s="76" t="inlineStr">
        <is>
          <t>This device gives exp. to other party members.</t>
        </is>
      </c>
      <c r="F585" s="76" t="n"/>
    </row>
  </sheetData>
  <autoFilter ref="A1:F58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Everstone</t>
        </is>
      </c>
      <c r="B2" s="32" t="inlineStr">
        <is>
          <t>Item Ball</t>
        </is>
      </c>
      <c r="C2" s="32" t="inlineStr">
        <is>
          <t>Petalburg Coast</t>
        </is>
      </c>
      <c r="D2" s="32" t="inlineStr">
        <is>
          <t>Split 1</t>
        </is>
      </c>
      <c r="E2" s="32" t="inlineStr">
        <is>
          <t>Replaces the Oval Stone; Norman's quest item.</t>
        </is>
      </c>
      <c r="F2" s="32" t="n"/>
    </row>
    <row r="3">
      <c r="A3" s="76" t="inlineStr">
        <is>
          <t>HM Rock Smash</t>
        </is>
      </c>
      <c r="B3" s="76" t="inlineStr">
        <is>
          <t>Gift (end of forest)</t>
        </is>
      </c>
      <c r="C3" s="76" t="inlineStr">
        <is>
          <t>Viridian Forest</t>
        </is>
      </c>
      <c r="D3" s="76" t="inlineStr">
        <is>
          <t>Split 1</t>
        </is>
      </c>
      <c r="E3" s="76" t="inlineStr">
        <is>
          <t>Optional; shares its flag with the Mauville City gift, so it is only given once.</t>
        </is>
      </c>
      <c r="F3" s="76" t="n"/>
    </row>
    <row r="4">
      <c r="A4" s="32" t="inlineStr">
        <is>
          <t>Storage Key</t>
        </is>
      </c>
      <c r="B4" s="32" t="inlineStr">
        <is>
          <t>Item Ball</t>
        </is>
      </c>
      <c r="C4" s="32" t="inlineStr">
        <is>
          <t>Abandoned Ship - Captains Office</t>
        </is>
      </c>
      <c r="D4" s="32" t="inlineStr">
        <is>
          <t>Split 4</t>
        </is>
      </c>
      <c r="E4" s="32" t="n"/>
      <c r="F4" s="32" t="inlineStr">
        <is>
          <t>(0, 6)</t>
        </is>
      </c>
    </row>
    <row r="5">
      <c r="A5" s="76" t="inlineStr">
        <is>
          <t>Key to Room 1</t>
        </is>
      </c>
      <c r="B5" s="76" t="inlineStr">
        <is>
          <t>Hidden</t>
        </is>
      </c>
      <c r="C5" s="76" t="inlineStr">
        <is>
          <t>Abandoned Ship - Hidden Floor Rooms</t>
        </is>
      </c>
      <c r="D5" s="76" t="inlineStr">
        <is>
          <t>Split 4</t>
        </is>
      </c>
      <c r="E5" s="76" t="n"/>
      <c r="F5" s="76" t="inlineStr">
        <is>
          <t>(42, 10)</t>
        </is>
      </c>
    </row>
    <row r="6">
      <c r="A6" s="32" t="inlineStr">
        <is>
          <t>Key to Room 2</t>
        </is>
      </c>
      <c r="B6" s="32" t="inlineStr">
        <is>
          <t>Hidden</t>
        </is>
      </c>
      <c r="C6" s="32" t="inlineStr">
        <is>
          <t>Abandoned Ship - Hidden Floor Rooms</t>
        </is>
      </c>
      <c r="D6" s="32" t="inlineStr">
        <is>
          <t>Split 4</t>
        </is>
      </c>
      <c r="E6" s="32" t="n"/>
      <c r="F6" s="32" t="inlineStr">
        <is>
          <t>(20, 5)</t>
        </is>
      </c>
    </row>
    <row r="7">
      <c r="A7" s="76" t="inlineStr">
        <is>
          <t>Key to Room 4</t>
        </is>
      </c>
      <c r="B7" s="76" t="inlineStr">
        <is>
          <t>Hidden</t>
        </is>
      </c>
      <c r="C7" s="76" t="inlineStr">
        <is>
          <t>Abandoned Ship - Hidden Floor Rooms</t>
        </is>
      </c>
      <c r="D7" s="76" t="inlineStr">
        <is>
          <t>Split 4</t>
        </is>
      </c>
      <c r="E7" s="76" t="n"/>
      <c r="F7" s="76" t="inlineStr">
        <is>
          <t>(1, 12)</t>
        </is>
      </c>
    </row>
    <row r="8">
      <c r="A8" s="32" t="inlineStr">
        <is>
          <t>Key to Room 6</t>
        </is>
      </c>
      <c r="B8" s="32" t="inlineStr">
        <is>
          <t>Hidden</t>
        </is>
      </c>
      <c r="C8" s="32" t="inlineStr">
        <is>
          <t>Abandoned Ship - Hidden Floor Rooms</t>
        </is>
      </c>
      <c r="D8" s="32" t="inlineStr">
        <is>
          <t>Split 4</t>
        </is>
      </c>
      <c r="E8" s="32" t="n"/>
      <c r="F8" s="32" t="inlineStr">
        <is>
          <t>(1, 2)</t>
        </is>
      </c>
    </row>
    <row r="9">
      <c r="A9" s="76" t="inlineStr">
        <is>
          <t>Luxury Ball</t>
        </is>
      </c>
      <c r="B9" s="76" t="inlineStr">
        <is>
          <t>Item Ball</t>
        </is>
      </c>
      <c r="C9" s="76" t="inlineStr">
        <is>
          <t>Abandoned Ship - Hidden Floor Rooms</t>
        </is>
      </c>
      <c r="D9" s="76" t="inlineStr">
        <is>
          <t>Split 4</t>
        </is>
      </c>
      <c r="E9" s="76" t="n"/>
      <c r="F9" s="76" t="inlineStr">
        <is>
          <t>(41, 4)</t>
        </is>
      </c>
    </row>
    <row r="10">
      <c r="A10" s="32" t="inlineStr">
        <is>
          <t>Scanner</t>
        </is>
      </c>
      <c r="B10" s="32" t="inlineStr">
        <is>
          <t>Item Ball</t>
        </is>
      </c>
      <c r="C10" s="32" t="inlineStr">
        <is>
          <t>Abandoned Ship - Hidden Floor Rooms</t>
        </is>
      </c>
      <c r="D10" s="32" t="inlineStr">
        <is>
          <t>Split 4</t>
        </is>
      </c>
      <c r="E10" s="32" t="n"/>
      <c r="F10" s="32" t="inlineStr">
        <is>
          <t>(16, 10)</t>
        </is>
      </c>
    </row>
    <row r="11">
      <c r="A11" s="76" t="inlineStr">
        <is>
          <t>Water Stone</t>
        </is>
      </c>
      <c r="B11" s="76" t="inlineStr">
        <is>
          <t>Item Ball</t>
        </is>
      </c>
      <c r="C11" s="76" t="inlineStr">
        <is>
          <t>Abandoned Ship - Hidden Floor Rooms</t>
        </is>
      </c>
      <c r="D11" s="76" t="inlineStr">
        <is>
          <t>Split 4</t>
        </is>
      </c>
      <c r="E11" s="76" t="n"/>
      <c r="F11" s="76" t="inlineStr">
        <is>
          <t>(31, 11)</t>
        </is>
      </c>
    </row>
    <row r="12">
      <c r="A12" s="32" t="inlineStr">
        <is>
          <t>Revive</t>
        </is>
      </c>
      <c r="B12" s="32" t="inlineStr">
        <is>
          <t>Item Ball</t>
        </is>
      </c>
      <c r="C12" s="32" t="inlineStr">
        <is>
          <t>Abandoned Ship - Rooms 2 - 1F</t>
        </is>
      </c>
      <c r="D12" s="32" t="inlineStr">
        <is>
          <t>Split 4</t>
        </is>
      </c>
      <c r="E12" s="32" t="n"/>
      <c r="F12" s="32" t="inlineStr">
        <is>
          <t>(4, 4)</t>
        </is>
      </c>
    </row>
    <row r="13">
      <c r="A13" s="76" t="inlineStr">
        <is>
          <t>Dive Ball</t>
        </is>
      </c>
      <c r="B13" s="76" t="inlineStr">
        <is>
          <t>Item Ball</t>
        </is>
      </c>
      <c r="C13" s="76" t="inlineStr">
        <is>
          <t>Abandoned Ship - Rooms 2 - B1F</t>
        </is>
      </c>
      <c r="D13" s="76" t="inlineStr">
        <is>
          <t>Split 4</t>
        </is>
      </c>
      <c r="E13" s="76" t="n"/>
      <c r="F13" s="76" t="inlineStr">
        <is>
          <t>(13, 3)</t>
        </is>
      </c>
    </row>
    <row r="14">
      <c r="A14" s="32" t="inlineStr">
        <is>
          <t>Harbor Mail</t>
        </is>
      </c>
      <c r="B14" s="32" t="inlineStr">
        <is>
          <t>Item Ball</t>
        </is>
      </c>
      <c r="C14" s="32" t="inlineStr">
        <is>
          <t>Abandoned Ship - Rooms - 1F</t>
        </is>
      </c>
      <c r="D14" s="32" t="inlineStr">
        <is>
          <t>Split 4</t>
        </is>
      </c>
      <c r="E14" s="32" t="n"/>
      <c r="F14" s="32" t="inlineStr">
        <is>
          <t>(4, 5)</t>
        </is>
      </c>
    </row>
    <row r="15">
      <c r="A15" s="76" t="inlineStr">
        <is>
          <t>Escape Rope</t>
        </is>
      </c>
      <c r="B15" s="76" t="inlineStr">
        <is>
          <t>Item Ball</t>
        </is>
      </c>
      <c r="C15" s="76" t="inlineStr">
        <is>
          <t>Abandoned Ship - Rooms - B1F</t>
        </is>
      </c>
      <c r="D15" s="76" t="inlineStr">
        <is>
          <t>Split 4</t>
        </is>
      </c>
      <c r="E15" s="76" t="n"/>
      <c r="F15" s="76" t="inlineStr">
        <is>
          <t>(6, 7)</t>
        </is>
      </c>
    </row>
    <row r="16">
      <c r="A16" s="32" t="inlineStr">
        <is>
          <t>Master Ball</t>
        </is>
      </c>
      <c r="B16" s="32" t="inlineStr">
        <is>
          <t>Item Ball</t>
        </is>
      </c>
      <c r="C16" s="32" t="inlineStr">
        <is>
          <t>Aqua Hideout - B1F</t>
        </is>
      </c>
      <c r="D16" s="32" t="inlineStr">
        <is>
          <t>Split 7</t>
        </is>
      </c>
      <c r="E16" s="32" t="n"/>
      <c r="F16" s="32" t="inlineStr">
        <is>
          <t>(15, 9)</t>
        </is>
      </c>
    </row>
    <row r="17">
      <c r="A17" s="76" t="inlineStr">
        <is>
          <t>Max Elixir</t>
        </is>
      </c>
      <c r="B17" s="76" t="inlineStr">
        <is>
          <t>Item Ball</t>
        </is>
      </c>
      <c r="C17" s="76" t="inlineStr">
        <is>
          <t>Aqua Hideout - B1F</t>
        </is>
      </c>
      <c r="D17" s="76" t="inlineStr">
        <is>
          <t>Split 7</t>
        </is>
      </c>
      <c r="E17" s="76" t="n"/>
      <c r="F17" s="76" t="inlineStr">
        <is>
          <t>(29, 12)</t>
        </is>
      </c>
    </row>
    <row r="18">
      <c r="A18" s="32" t="inlineStr">
        <is>
          <t>Nugget</t>
        </is>
      </c>
      <c r="B18" s="32" t="inlineStr">
        <is>
          <t>Item Ball</t>
        </is>
      </c>
      <c r="C18" s="32" t="inlineStr">
        <is>
          <t>Aqua Hideout - B1F</t>
        </is>
      </c>
      <c r="D18" s="32" t="inlineStr">
        <is>
          <t>Split 7</t>
        </is>
      </c>
      <c r="E18" s="32" t="n"/>
      <c r="F18" s="32" t="inlineStr">
        <is>
          <t>(15, 10)</t>
        </is>
      </c>
    </row>
    <row r="19">
      <c r="A19" s="76" t="inlineStr">
        <is>
          <t>Nest Ball</t>
        </is>
      </c>
      <c r="B19" s="76" t="inlineStr">
        <is>
          <t>Item Ball</t>
        </is>
      </c>
      <c r="C19" s="76" t="inlineStr">
        <is>
          <t>Aqua Hideout - B2F</t>
        </is>
      </c>
      <c r="D19" s="76" t="inlineStr">
        <is>
          <t>Split 7</t>
        </is>
      </c>
      <c r="E19" s="76" t="n"/>
      <c r="F19" s="76" t="inlineStr">
        <is>
          <t>(3, 13)</t>
        </is>
      </c>
    </row>
    <row r="20">
      <c r="A20" s="32" t="inlineStr">
        <is>
          <t>Carbos</t>
        </is>
      </c>
      <c r="B20" s="32" t="inlineStr">
        <is>
          <t>Item Ball</t>
        </is>
      </c>
      <c r="C20" s="32" t="inlineStr">
        <is>
          <t>Artisan Cave - 1F</t>
        </is>
      </c>
      <c r="D20" s="32" t="inlineStr">
        <is>
          <t>Unassigned</t>
        </is>
      </c>
      <c r="E20" s="32" t="n"/>
      <c r="F20" s="32" t="inlineStr">
        <is>
          <t>(14, 5)</t>
        </is>
      </c>
    </row>
    <row r="21">
      <c r="A21" s="76" t="inlineStr">
        <is>
          <t>Calcium</t>
        </is>
      </c>
      <c r="B21" s="76" t="inlineStr">
        <is>
          <t>Hidden</t>
        </is>
      </c>
      <c r="C21" s="76" t="inlineStr">
        <is>
          <t>Artisan Cave - B1F</t>
        </is>
      </c>
      <c r="D21" s="76" t="inlineStr">
        <is>
          <t>Unassigned</t>
        </is>
      </c>
      <c r="E21" s="76" t="n"/>
      <c r="F21" s="76" t="inlineStr">
        <is>
          <t>(27, 8)</t>
        </is>
      </c>
    </row>
    <row r="22">
      <c r="A22" s="32" t="inlineStr">
        <is>
          <t>HP Up</t>
        </is>
      </c>
      <c r="B22" s="32" t="inlineStr">
        <is>
          <t>Item Ball</t>
        </is>
      </c>
      <c r="C22" s="32" t="inlineStr">
        <is>
          <t>Artisan Cave - B1F</t>
        </is>
      </c>
      <c r="D22" s="32" t="inlineStr">
        <is>
          <t>Unassigned</t>
        </is>
      </c>
      <c r="E22" s="32" t="n"/>
      <c r="F22" s="32" t="inlineStr">
        <is>
          <t>(32, 38)</t>
        </is>
      </c>
    </row>
    <row r="23">
      <c r="A23" s="76" t="inlineStr">
        <is>
          <t>Iron</t>
        </is>
      </c>
      <c r="B23" s="76" t="inlineStr">
        <is>
          <t>Hidden</t>
        </is>
      </c>
      <c r="C23" s="76" t="inlineStr">
        <is>
          <t>Artisan Cave - B1F</t>
        </is>
      </c>
      <c r="D23" s="76" t="inlineStr">
        <is>
          <t>Unassigned</t>
        </is>
      </c>
      <c r="E23" s="76" t="n"/>
      <c r="F23" s="76" t="inlineStr">
        <is>
          <t>(19, 43)</t>
        </is>
      </c>
    </row>
    <row r="24">
      <c r="A24" s="32" t="inlineStr">
        <is>
          <t>Protein</t>
        </is>
      </c>
      <c r="B24" s="32" t="inlineStr">
        <is>
          <t>Hidden</t>
        </is>
      </c>
      <c r="C24" s="32" t="inlineStr">
        <is>
          <t>Artisan Cave - B1F</t>
        </is>
      </c>
      <c r="D24" s="32" t="inlineStr">
        <is>
          <t>Unassigned</t>
        </is>
      </c>
      <c r="E24" s="32" t="n"/>
      <c r="F24" s="32" t="inlineStr">
        <is>
          <t>(7, 5)</t>
        </is>
      </c>
    </row>
    <row r="25">
      <c r="A25" s="76" t="inlineStr">
        <is>
          <t>Zinc</t>
        </is>
      </c>
      <c r="B25" s="76" t="inlineStr">
        <is>
          <t>Hidden</t>
        </is>
      </c>
      <c r="C25" s="76" t="inlineStr">
        <is>
          <t>Artisan Cave - B1F</t>
        </is>
      </c>
      <c r="D25" s="76" t="inlineStr">
        <is>
          <t>Unassigned</t>
        </is>
      </c>
      <c r="E25" s="76" t="n"/>
      <c r="F25" s="76" t="inlineStr">
        <is>
          <t>(32, 29)</t>
        </is>
      </c>
    </row>
    <row r="26">
      <c r="A26" s="32" t="inlineStr">
        <is>
          <t>Nugget</t>
        </is>
      </c>
      <c r="B26" s="32" t="inlineStr">
        <is>
          <t>Hidden</t>
        </is>
      </c>
      <c r="C26" s="32" t="inlineStr">
        <is>
          <t>Fallarbor Town</t>
        </is>
      </c>
      <c r="D26" s="32" t="inlineStr">
        <is>
          <t>Split 5</t>
        </is>
      </c>
      <c r="E26" s="32" t="n"/>
      <c r="F26" s="32" t="inlineStr">
        <is>
          <t>(2, 15)</t>
        </is>
      </c>
    </row>
    <row r="27">
      <c r="A27" s="76" t="inlineStr">
        <is>
          <t>Absolite</t>
        </is>
      </c>
      <c r="B27" s="76" t="inlineStr">
        <is>
          <t>Hidden</t>
        </is>
      </c>
      <c r="C27" s="76" t="inlineStr">
        <is>
          <t>Fiery Path</t>
        </is>
      </c>
      <c r="D27" s="76" t="inlineStr">
        <is>
          <t>Split 5</t>
        </is>
      </c>
      <c r="E27" s="76" t="n"/>
      <c r="F27" s="76" t="inlineStr">
        <is>
          <t>(25, 35)</t>
        </is>
      </c>
    </row>
    <row r="28">
      <c r="A28" s="32" t="inlineStr">
        <is>
          <t>Fire Stone</t>
        </is>
      </c>
      <c r="B28" s="32" t="inlineStr">
        <is>
          <t>Item Ball</t>
        </is>
      </c>
      <c r="C28" s="32" t="inlineStr">
        <is>
          <t>Fiery Path</t>
        </is>
      </c>
      <c r="D28" s="32" t="inlineStr">
        <is>
          <t>Split 5</t>
        </is>
      </c>
      <c r="E28" s="32" t="n"/>
      <c r="F28" s="32" t="inlineStr">
        <is>
          <t>(7, 32)</t>
        </is>
      </c>
    </row>
    <row r="29">
      <c r="A29" s="76" t="inlineStr">
        <is>
          <t>Escape Rope</t>
        </is>
      </c>
      <c r="B29" s="76" t="inlineStr">
        <is>
          <t>Item Ball</t>
        </is>
      </c>
      <c r="C29" s="76" t="inlineStr">
        <is>
          <t>Granite Cave - 1F</t>
        </is>
      </c>
      <c r="D29" s="76" t="inlineStr">
        <is>
          <t>Split 3</t>
        </is>
      </c>
      <c r="E29" s="76" t="n"/>
      <c r="F29" s="76" t="inlineStr">
        <is>
          <t>(17, 7)</t>
        </is>
      </c>
    </row>
    <row r="30">
      <c r="A30" s="32" t="inlineStr">
        <is>
          <t>Poké Ball</t>
        </is>
      </c>
      <c r="B30" s="32" t="inlineStr">
        <is>
          <t>Item Ball</t>
        </is>
      </c>
      <c r="C30" s="32" t="inlineStr">
        <is>
          <t>Granite Cave - B1F</t>
        </is>
      </c>
      <c r="D30" s="32" t="inlineStr">
        <is>
          <t>Split 3</t>
        </is>
      </c>
      <c r="E30" s="32" t="n"/>
      <c r="F30" s="32" t="inlineStr">
        <is>
          <t>(15, 21)</t>
        </is>
      </c>
    </row>
    <row r="31">
      <c r="A31" s="76" t="inlineStr">
        <is>
          <t>Aerodactylite</t>
        </is>
      </c>
      <c r="B31" s="76" t="inlineStr">
        <is>
          <t>Hidden</t>
        </is>
      </c>
      <c r="C31" s="76" t="inlineStr">
        <is>
          <t>Granite Cave - B2F</t>
        </is>
      </c>
      <c r="D31" s="76" t="inlineStr">
        <is>
          <t>Split 3</t>
        </is>
      </c>
      <c r="E31" s="76" t="n"/>
      <c r="F31" s="76" t="inlineStr">
        <is>
          <t>(16, 16)</t>
        </is>
      </c>
    </row>
    <row r="32">
      <c r="A32" s="32" t="inlineStr">
        <is>
          <t>Everstone</t>
        </is>
      </c>
      <c r="B32" s="32" t="inlineStr">
        <is>
          <t>Hidden</t>
        </is>
      </c>
      <c r="C32" s="32" t="inlineStr">
        <is>
          <t>Granite Cave - B2F</t>
        </is>
      </c>
      <c r="D32" s="32" t="inlineStr">
        <is>
          <t>Split 3</t>
        </is>
      </c>
      <c r="E32" s="32" t="n"/>
      <c r="F32" s="32" t="inlineStr">
        <is>
          <t>(28, 6)</t>
        </is>
      </c>
    </row>
    <row r="33">
      <c r="A33" s="76" t="inlineStr">
        <is>
          <t>Everstone</t>
        </is>
      </c>
      <c r="B33" s="76" t="inlineStr">
        <is>
          <t>Hidden</t>
        </is>
      </c>
      <c r="C33" s="76" t="inlineStr">
        <is>
          <t>Granite Cave - B2F</t>
        </is>
      </c>
      <c r="D33" s="76" t="inlineStr">
        <is>
          <t>Split 3</t>
        </is>
      </c>
      <c r="E33" s="76" t="n"/>
      <c r="F33" s="76" t="inlineStr">
        <is>
          <t>(15, 11)</t>
        </is>
      </c>
    </row>
    <row r="34">
      <c r="A34" s="32" t="inlineStr">
        <is>
          <t>Rare Candy</t>
        </is>
      </c>
      <c r="B34" s="32" t="inlineStr">
        <is>
          <t>Item Ball</t>
        </is>
      </c>
      <c r="C34" s="32" t="inlineStr">
        <is>
          <t>Granite Cave - B2F</t>
        </is>
      </c>
      <c r="D34" s="32" t="inlineStr">
        <is>
          <t>Split 3</t>
        </is>
      </c>
      <c r="E34" s="32" t="n"/>
      <c r="F34" s="32" t="inlineStr">
        <is>
          <t>(29, 4)</t>
        </is>
      </c>
    </row>
    <row r="35">
      <c r="A35" s="76" t="inlineStr">
        <is>
          <t>Repel</t>
        </is>
      </c>
      <c r="B35" s="76" t="inlineStr">
        <is>
          <t>Item Ball</t>
        </is>
      </c>
      <c r="C35" s="76" t="inlineStr">
        <is>
          <t>Granite Cave - B2F</t>
        </is>
      </c>
      <c r="D35" s="76" t="inlineStr">
        <is>
          <t>Split 3</t>
        </is>
      </c>
      <c r="E35" s="76" t="n"/>
      <c r="F35" s="76" t="inlineStr">
        <is>
          <t>(4, 4)</t>
        </is>
      </c>
    </row>
    <row r="36">
      <c r="A36" s="32" t="inlineStr">
        <is>
          <t>Burn Heal</t>
        </is>
      </c>
      <c r="B36" s="32" t="inlineStr">
        <is>
          <t>Item Ball</t>
        </is>
      </c>
      <c r="C36" s="32" t="inlineStr">
        <is>
          <t>Jagged Pass</t>
        </is>
      </c>
      <c r="D36" s="32" t="inlineStr">
        <is>
          <t>Split 5</t>
        </is>
      </c>
      <c r="E36" s="32" t="n"/>
      <c r="F36" s="32" t="inlineStr">
        <is>
          <t>(23, 24)</t>
        </is>
      </c>
    </row>
    <row r="37">
      <c r="A37" s="76" t="inlineStr">
        <is>
          <t>Full Heal</t>
        </is>
      </c>
      <c r="B37" s="76" t="inlineStr">
        <is>
          <t>Hidden</t>
        </is>
      </c>
      <c r="C37" s="76" t="inlineStr">
        <is>
          <t>Jagged Pass</t>
        </is>
      </c>
      <c r="D37" s="76" t="inlineStr">
        <is>
          <t>Split 5</t>
        </is>
      </c>
      <c r="E37" s="76" t="n"/>
      <c r="F37" s="76" t="inlineStr">
        <is>
          <t>(8, 10)</t>
        </is>
      </c>
    </row>
    <row r="38">
      <c r="A38" s="32" t="inlineStr">
        <is>
          <t>Great Ball</t>
        </is>
      </c>
      <c r="B38" s="32" t="inlineStr">
        <is>
          <t>Hidden</t>
        </is>
      </c>
      <c r="C38" s="32" t="inlineStr">
        <is>
          <t>Jagged Pass</t>
        </is>
      </c>
      <c r="D38" s="32" t="inlineStr">
        <is>
          <t>Split 5</t>
        </is>
      </c>
      <c r="E38" s="32" t="n"/>
      <c r="F38" s="32" t="inlineStr">
        <is>
          <t>(7, 29)</t>
        </is>
      </c>
    </row>
    <row r="39">
      <c r="A39" s="76" t="inlineStr">
        <is>
          <t>Ice Heal</t>
        </is>
      </c>
      <c r="B39" s="76" t="inlineStr">
        <is>
          <t>Hidden</t>
        </is>
      </c>
      <c r="C39" s="76" t="inlineStr">
        <is>
          <t>Lavaridge Town</t>
        </is>
      </c>
      <c r="D39" s="76" t="inlineStr">
        <is>
          <t>Split 5</t>
        </is>
      </c>
      <c r="E39" s="76" t="n"/>
      <c r="F39" s="76" t="inlineStr">
        <is>
          <t>(4, 5)</t>
        </is>
      </c>
    </row>
    <row r="40">
      <c r="A40" s="32" t="inlineStr">
        <is>
          <t>Heart Scale</t>
        </is>
      </c>
      <c r="B40" s="32" t="inlineStr">
        <is>
          <t>Hidden</t>
        </is>
      </c>
      <c r="C40" s="32" t="inlineStr">
        <is>
          <t>Lilycove City</t>
        </is>
      </c>
      <c r="D40" s="32" t="inlineStr">
        <is>
          <t>Split 7</t>
        </is>
      </c>
      <c r="E40" s="32" t="n"/>
      <c r="F40" s="32" t="inlineStr">
        <is>
          <t>(36, 31)</t>
        </is>
      </c>
    </row>
    <row r="41">
      <c r="A41" s="76" t="inlineStr">
        <is>
          <t>Max Repel</t>
        </is>
      </c>
      <c r="B41" s="76" t="inlineStr">
        <is>
          <t>Item Ball</t>
        </is>
      </c>
      <c r="C41" s="76" t="inlineStr">
        <is>
          <t>Lilycove City</t>
        </is>
      </c>
      <c r="D41" s="76" t="inlineStr">
        <is>
          <t>Split 7</t>
        </is>
      </c>
      <c r="E41" s="76" t="n"/>
      <c r="F41" s="76" t="inlineStr">
        <is>
          <t>(61, 36)</t>
        </is>
      </c>
    </row>
    <row r="42">
      <c r="A42" s="32" t="inlineStr">
        <is>
          <t>Poké Ball</t>
        </is>
      </c>
      <c r="B42" s="32" t="inlineStr">
        <is>
          <t>Hidden</t>
        </is>
      </c>
      <c r="C42" s="32" t="inlineStr">
        <is>
          <t>Lilycove City</t>
        </is>
      </c>
      <c r="D42" s="32" t="inlineStr">
        <is>
          <t>Split 7</t>
        </is>
      </c>
      <c r="E42" s="32" t="n"/>
      <c r="F42" s="32" t="inlineStr">
        <is>
          <t>(64, 31)</t>
        </is>
      </c>
    </row>
    <row r="43">
      <c r="A43" s="76" t="inlineStr">
        <is>
          <t>PP Up</t>
        </is>
      </c>
      <c r="B43" s="76" t="inlineStr">
        <is>
          <t>Hidden</t>
        </is>
      </c>
      <c r="C43" s="76" t="inlineStr">
        <is>
          <t>Lilycove City</t>
        </is>
      </c>
      <c r="D43" s="76" t="inlineStr">
        <is>
          <t>Split 7</t>
        </is>
      </c>
      <c r="E43" s="76" t="n"/>
      <c r="F43" s="76" t="inlineStr">
        <is>
          <t>(61, 7)</t>
        </is>
      </c>
    </row>
    <row r="44">
      <c r="A44" s="32" t="inlineStr">
        <is>
          <t>Rare Candy</t>
        </is>
      </c>
      <c r="B44" s="32" t="inlineStr">
        <is>
          <t>Item Ball</t>
        </is>
      </c>
      <c r="C44" s="32" t="inlineStr">
        <is>
          <t>Magma Hideout - 1F</t>
        </is>
      </c>
      <c r="D44" s="32" t="inlineStr">
        <is>
          <t>Split 5</t>
        </is>
      </c>
      <c r="E44" s="32" t="n"/>
      <c r="F44" s="32" t="inlineStr">
        <is>
          <t>(3, 20)</t>
        </is>
      </c>
    </row>
    <row r="45">
      <c r="A45" s="76" t="inlineStr">
        <is>
          <t>Full Restore</t>
        </is>
      </c>
      <c r="B45" s="76" t="inlineStr">
        <is>
          <t>Item Ball</t>
        </is>
      </c>
      <c r="C45" s="76" t="inlineStr">
        <is>
          <t>Magma Hideout - 2F - 2R</t>
        </is>
      </c>
      <c r="D45" s="76" t="inlineStr">
        <is>
          <t>Split 5</t>
        </is>
      </c>
      <c r="E45" s="76" t="n"/>
      <c r="F45" s="76" t="inlineStr">
        <is>
          <t>(14, 6)</t>
        </is>
      </c>
    </row>
    <row r="46">
      <c r="A46" s="32" t="inlineStr">
        <is>
          <t>Max Elixir</t>
        </is>
      </c>
      <c r="B46" s="32" t="inlineStr">
        <is>
          <t>Item Ball</t>
        </is>
      </c>
      <c r="C46" s="32" t="inlineStr">
        <is>
          <t>Magma Hideout - 2F - 2R</t>
        </is>
      </c>
      <c r="D46" s="32" t="inlineStr">
        <is>
          <t>Split 5</t>
        </is>
      </c>
      <c r="E46" s="32" t="n"/>
      <c r="F46" s="32" t="inlineStr">
        <is>
          <t>(21, 7)</t>
        </is>
      </c>
    </row>
    <row r="47">
      <c r="A47" s="76" t="inlineStr">
        <is>
          <t>Nugget</t>
        </is>
      </c>
      <c r="B47" s="76" t="inlineStr">
        <is>
          <t>Item Ball</t>
        </is>
      </c>
      <c r="C47" s="76" t="inlineStr">
        <is>
          <t>Magma Hideout - 3F - 1R</t>
        </is>
      </c>
      <c r="D47" s="76" t="inlineStr">
        <is>
          <t>Split 5</t>
        </is>
      </c>
      <c r="E47" s="76" t="n"/>
      <c r="F47" s="76" t="inlineStr">
        <is>
          <t>(9, 16)</t>
        </is>
      </c>
    </row>
    <row r="48">
      <c r="A48" s="32" t="inlineStr">
        <is>
          <t>PP Max</t>
        </is>
      </c>
      <c r="B48" s="32" t="inlineStr">
        <is>
          <t>Item Ball</t>
        </is>
      </c>
      <c r="C48" s="32" t="inlineStr">
        <is>
          <t>Magma Hideout - 3F - 2R</t>
        </is>
      </c>
      <c r="D48" s="32" t="inlineStr">
        <is>
          <t>Split 5</t>
        </is>
      </c>
      <c r="E48" s="32" t="n"/>
      <c r="F48" s="32" t="inlineStr">
        <is>
          <t>(5, 9)</t>
        </is>
      </c>
    </row>
    <row r="49">
      <c r="A49" s="76" t="inlineStr">
        <is>
          <t>Escape Rope</t>
        </is>
      </c>
      <c r="B49" s="76" t="inlineStr">
        <is>
          <t>Item Ball</t>
        </is>
      </c>
      <c r="C49" s="76" t="inlineStr">
        <is>
          <t>Magma Hideout - 3F - 3R</t>
        </is>
      </c>
      <c r="D49" s="76" t="inlineStr">
        <is>
          <t>Split 5</t>
        </is>
      </c>
      <c r="E49" s="76" t="n"/>
      <c r="F49" s="76" t="inlineStr">
        <is>
          <t>(9, 19)</t>
        </is>
      </c>
    </row>
    <row r="50">
      <c r="A50" s="32" t="inlineStr">
        <is>
          <t>Max Revive</t>
        </is>
      </c>
      <c r="B50" s="32" t="inlineStr">
        <is>
          <t>Item Ball</t>
        </is>
      </c>
      <c r="C50" s="32" t="inlineStr">
        <is>
          <t>Magma Hideout - 4F</t>
        </is>
      </c>
      <c r="D50" s="32" t="inlineStr">
        <is>
          <t>Split 5</t>
        </is>
      </c>
      <c r="E50" s="32" t="n"/>
      <c r="F50" s="32" t="inlineStr">
        <is>
          <t>(3, 7)</t>
        </is>
      </c>
    </row>
    <row r="51">
      <c r="A51" s="76" t="inlineStr">
        <is>
          <t>Ultra Ball</t>
        </is>
      </c>
      <c r="B51" s="76" t="inlineStr">
        <is>
          <t>Item Ball</t>
        </is>
      </c>
      <c r="C51" s="76" t="inlineStr">
        <is>
          <t>Mauville City</t>
        </is>
      </c>
      <c r="D51" s="76" t="inlineStr">
        <is>
          <t>Split 4</t>
        </is>
      </c>
      <c r="E51" s="76" t="n"/>
      <c r="F51" s="76" t="inlineStr">
        <is>
          <t>(28, 19)</t>
        </is>
      </c>
    </row>
    <row r="52">
      <c r="A52" s="32" t="inlineStr">
        <is>
          <t>Full Heal</t>
        </is>
      </c>
      <c r="B52" s="32" t="inlineStr">
        <is>
          <t>Item Ball</t>
        </is>
      </c>
      <c r="C52" s="32" t="inlineStr">
        <is>
          <t>Meteor Falls - 1F - 1R</t>
        </is>
      </c>
      <c r="D52" s="32" t="inlineStr">
        <is>
          <t>Unassigned</t>
        </is>
      </c>
      <c r="E52" s="32" t="n"/>
      <c r="F52" s="32" t="inlineStr">
        <is>
          <t>(27, 5)</t>
        </is>
      </c>
    </row>
    <row r="53">
      <c r="A53" s="76" t="inlineStr">
        <is>
          <t>Moon Stone</t>
        </is>
      </c>
      <c r="B53" s="76" t="inlineStr">
        <is>
          <t>Item Ball</t>
        </is>
      </c>
      <c r="C53" s="76" t="inlineStr">
        <is>
          <t>Meteor Falls - 1F - 1R</t>
        </is>
      </c>
      <c r="D53" s="76" t="inlineStr">
        <is>
          <t>Unassigned</t>
        </is>
      </c>
      <c r="E53" s="76" t="n"/>
      <c r="F53" s="76" t="inlineStr">
        <is>
          <t>(2, 14)</t>
        </is>
      </c>
    </row>
    <row r="54">
      <c r="A54" s="32" t="inlineStr">
        <is>
          <t>PP Up</t>
        </is>
      </c>
      <c r="B54" s="32" t="inlineStr">
        <is>
          <t>Item Ball</t>
        </is>
      </c>
      <c r="C54" s="32" t="inlineStr">
        <is>
          <t>Meteor Falls - 1F - 1R</t>
        </is>
      </c>
      <c r="D54" s="32" t="inlineStr">
        <is>
          <t>Unassigned</t>
        </is>
      </c>
      <c r="E54" s="32" t="n"/>
      <c r="F54" s="32" t="inlineStr">
        <is>
          <t>(26, 32)</t>
        </is>
      </c>
    </row>
    <row r="55">
      <c r="A55" s="76" t="inlineStr">
        <is>
          <t>Net Ball</t>
        </is>
      </c>
      <c r="B55" s="76" t="inlineStr">
        <is>
          <t>Item Ball</t>
        </is>
      </c>
      <c r="C55" s="76" t="inlineStr">
        <is>
          <t>Mossdeep City</t>
        </is>
      </c>
      <c r="D55" s="76" t="inlineStr">
        <is>
          <t>Split 7</t>
        </is>
      </c>
      <c r="E55" s="76" t="n"/>
      <c r="F55" s="76" t="inlineStr">
        <is>
          <t>(62, 35)</t>
        </is>
      </c>
    </row>
    <row r="56">
      <c r="A56" s="32" t="inlineStr">
        <is>
          <t>Ultra Ball</t>
        </is>
      </c>
      <c r="B56" s="32" t="inlineStr">
        <is>
          <t>Item Ball</t>
        </is>
      </c>
      <c r="C56" s="32" t="inlineStr">
        <is>
          <t>Mt Pyre - 2F</t>
        </is>
      </c>
      <c r="D56" s="32" t="inlineStr">
        <is>
          <t>Split 7</t>
        </is>
      </c>
      <c r="E56" s="32" t="n"/>
      <c r="F56" s="32" t="inlineStr">
        <is>
          <t>(0, 10)</t>
        </is>
      </c>
    </row>
    <row r="57">
      <c r="A57" s="76" t="inlineStr">
        <is>
          <t>Super Repel</t>
        </is>
      </c>
      <c r="B57" s="76" t="inlineStr">
        <is>
          <t>Item Ball</t>
        </is>
      </c>
      <c r="C57" s="76" t="inlineStr">
        <is>
          <t>Mt Pyre - 3F</t>
        </is>
      </c>
      <c r="D57" s="76" t="inlineStr">
        <is>
          <t>Split 7</t>
        </is>
      </c>
      <c r="E57" s="76" t="n"/>
      <c r="F57" s="76" t="inlineStr">
        <is>
          <t>(0, 7)</t>
        </is>
      </c>
    </row>
    <row r="58">
      <c r="A58" s="32" t="inlineStr">
        <is>
          <t>Sea Incense</t>
        </is>
      </c>
      <c r="B58" s="32" t="inlineStr">
        <is>
          <t>Item Ball</t>
        </is>
      </c>
      <c r="C58" s="32" t="inlineStr">
        <is>
          <t>Mt Pyre - 4F</t>
        </is>
      </c>
      <c r="D58" s="32" t="inlineStr">
        <is>
          <t>Split 7</t>
        </is>
      </c>
      <c r="E58" s="32" t="n"/>
      <c r="F58" s="32" t="inlineStr">
        <is>
          <t>(3, 11)</t>
        </is>
      </c>
    </row>
    <row r="59">
      <c r="A59" s="76" t="inlineStr">
        <is>
          <t>Lax Incense</t>
        </is>
      </c>
      <c r="B59" s="76" t="inlineStr">
        <is>
          <t>Item Ball</t>
        </is>
      </c>
      <c r="C59" s="76" t="inlineStr">
        <is>
          <t>Mt Pyre - 5F</t>
        </is>
      </c>
      <c r="D59" s="76" t="inlineStr">
        <is>
          <t>Split 7</t>
        </is>
      </c>
      <c r="E59" s="76" t="n"/>
      <c r="F59" s="76" t="inlineStr">
        <is>
          <t>(6, 11)</t>
        </is>
      </c>
    </row>
    <row r="60">
      <c r="A60" s="32" t="inlineStr">
        <is>
          <t>Max Ether</t>
        </is>
      </c>
      <c r="B60" s="32" t="inlineStr">
        <is>
          <t>Hidden</t>
        </is>
      </c>
      <c r="C60" s="32" t="inlineStr">
        <is>
          <t>Mt Pyre - Exterior</t>
        </is>
      </c>
      <c r="D60" s="32" t="inlineStr">
        <is>
          <t>Split 7</t>
        </is>
      </c>
      <c r="E60" s="32" t="n"/>
      <c r="F60" s="32" t="inlineStr">
        <is>
          <t>(16, 22)</t>
        </is>
      </c>
    </row>
    <row r="61">
      <c r="A61" s="76" t="inlineStr">
        <is>
          <t>Max Potion</t>
        </is>
      </c>
      <c r="B61" s="76" t="inlineStr">
        <is>
          <t>Item Ball</t>
        </is>
      </c>
      <c r="C61" s="76" t="inlineStr">
        <is>
          <t>Mt Pyre - Exterior</t>
        </is>
      </c>
      <c r="D61" s="76" t="inlineStr">
        <is>
          <t>Split 7</t>
        </is>
      </c>
      <c r="E61" s="76" t="n"/>
      <c r="F61" s="76" t="inlineStr">
        <is>
          <t>(27, 15)</t>
        </is>
      </c>
    </row>
    <row r="62">
      <c r="A62" s="32" t="inlineStr">
        <is>
          <t>Ultra Ball</t>
        </is>
      </c>
      <c r="B62" s="32" t="inlineStr">
        <is>
          <t>Hidden</t>
        </is>
      </c>
      <c r="C62" s="32" t="inlineStr">
        <is>
          <t>Mt Pyre - Exterior</t>
        </is>
      </c>
      <c r="D62" s="32" t="inlineStr">
        <is>
          <t>Split 7</t>
        </is>
      </c>
      <c r="E62" s="32" t="n"/>
      <c r="F62" s="32" t="inlineStr">
        <is>
          <t>(9, 8)</t>
        </is>
      </c>
    </row>
    <row r="63">
      <c r="A63" s="76" t="inlineStr">
        <is>
          <t>Rare Candy</t>
        </is>
      </c>
      <c r="B63" s="76" t="inlineStr">
        <is>
          <t>Hidden</t>
        </is>
      </c>
      <c r="C63" s="76" t="inlineStr">
        <is>
          <t>Mt Pyre - Summit</t>
        </is>
      </c>
      <c r="D63" s="76" t="inlineStr">
        <is>
          <t>Split 7</t>
        </is>
      </c>
      <c r="E63" s="76" t="n"/>
      <c r="F63" s="76" t="inlineStr">
        <is>
          <t>(37, 7)</t>
        </is>
      </c>
    </row>
    <row r="64">
      <c r="A64" s="32" t="inlineStr">
        <is>
          <t>Zinc</t>
        </is>
      </c>
      <c r="B64" s="32" t="inlineStr">
        <is>
          <t>Hidden</t>
        </is>
      </c>
      <c r="C64" s="32" t="inlineStr">
        <is>
          <t>Mt Pyre - Summit</t>
        </is>
      </c>
      <c r="D64" s="32" t="inlineStr">
        <is>
          <t>Split 7</t>
        </is>
      </c>
      <c r="E64" s="32" t="n"/>
      <c r="F64" s="32" t="inlineStr">
        <is>
          <t>(9, 25)</t>
        </is>
      </c>
    </row>
    <row r="65">
      <c r="A65" s="76" t="inlineStr">
        <is>
          <t>Sacred Ash</t>
        </is>
      </c>
      <c r="B65" s="76" t="inlineStr">
        <is>
          <t>Hidden</t>
        </is>
      </c>
      <c r="C65" s="76" t="inlineStr">
        <is>
          <t>Navel Rock - Top</t>
        </is>
      </c>
      <c r="D65" s="76" t="inlineStr">
        <is>
          <t>Unassigned</t>
        </is>
      </c>
      <c r="E65" s="76" t="n"/>
      <c r="F65" s="76" t="inlineStr">
        <is>
          <t>(12, 9)</t>
        </is>
      </c>
    </row>
    <row r="66">
      <c r="A66" s="32" t="inlineStr">
        <is>
          <t>Escape Rope</t>
        </is>
      </c>
      <c r="B66" s="32" t="inlineStr">
        <is>
          <t>Item Ball</t>
        </is>
      </c>
      <c r="C66" s="32" t="inlineStr">
        <is>
          <t>New Mauville - Inside</t>
        </is>
      </c>
      <c r="D66" s="32" t="inlineStr">
        <is>
          <t>Split 4</t>
        </is>
      </c>
      <c r="E66" s="32" t="n"/>
      <c r="F66" s="32" t="inlineStr">
        <is>
          <t>(16, 22)</t>
        </is>
      </c>
    </row>
    <row r="67">
      <c r="A67" s="76" t="inlineStr">
        <is>
          <t>Full Heal</t>
        </is>
      </c>
      <c r="B67" s="76" t="inlineStr">
        <is>
          <t>Item Ball</t>
        </is>
      </c>
      <c r="C67" s="76" t="inlineStr">
        <is>
          <t>New Mauville - Inside</t>
        </is>
      </c>
      <c r="D67" s="76" t="inlineStr">
        <is>
          <t>Split 4</t>
        </is>
      </c>
      <c r="E67" s="76" t="n"/>
      <c r="F67" s="76" t="inlineStr">
        <is>
          <t>(17, 10)</t>
        </is>
      </c>
    </row>
    <row r="68">
      <c r="A68" s="32" t="inlineStr">
        <is>
          <t>Manectite</t>
        </is>
      </c>
      <c r="B68" s="32" t="inlineStr">
        <is>
          <t>Hidden</t>
        </is>
      </c>
      <c r="C68" s="32" t="inlineStr">
        <is>
          <t>New Mauville - Inside</t>
        </is>
      </c>
      <c r="D68" s="32" t="inlineStr">
        <is>
          <t>Split 4</t>
        </is>
      </c>
      <c r="E68" s="32" t="n"/>
      <c r="F68" s="32" t="inlineStr">
        <is>
          <t>(33, 25)</t>
        </is>
      </c>
    </row>
    <row r="69">
      <c r="A69" s="76" t="inlineStr">
        <is>
          <t>Paralyze Heal</t>
        </is>
      </c>
      <c r="B69" s="76" t="inlineStr">
        <is>
          <t>Item Ball</t>
        </is>
      </c>
      <c r="C69" s="76" t="inlineStr">
        <is>
          <t>New Mauville - Inside</t>
        </is>
      </c>
      <c r="D69" s="76" t="inlineStr">
        <is>
          <t>Split 4</t>
        </is>
      </c>
      <c r="E69" s="76" t="n"/>
      <c r="F69" s="76" t="inlineStr">
        <is>
          <t>(2, 11)</t>
        </is>
      </c>
    </row>
    <row r="70">
      <c r="A70" s="32" t="inlineStr">
        <is>
          <t>Thunder Stone</t>
        </is>
      </c>
      <c r="B70" s="32" t="inlineStr">
        <is>
          <t>Item Ball</t>
        </is>
      </c>
      <c r="C70" s="32" t="inlineStr">
        <is>
          <t>New Mauville - Inside</t>
        </is>
      </c>
      <c r="D70" s="32" t="inlineStr">
        <is>
          <t>Split 4</t>
        </is>
      </c>
      <c r="E70" s="32" t="n"/>
      <c r="F70" s="32" t="inlineStr">
        <is>
          <t>(39, 4)</t>
        </is>
      </c>
    </row>
    <row r="71">
      <c r="A71" s="76" t="inlineStr">
        <is>
          <t>Ultra Ball</t>
        </is>
      </c>
      <c r="B71" s="76" t="inlineStr">
        <is>
          <t>Item Ball</t>
        </is>
      </c>
      <c r="C71" s="76" t="inlineStr">
        <is>
          <t>New Mauville - Inside</t>
        </is>
      </c>
      <c r="D71" s="76" t="inlineStr">
        <is>
          <t>Split 4</t>
        </is>
      </c>
      <c r="E71" s="76" t="n"/>
      <c r="F71" s="76" t="inlineStr">
        <is>
          <t>(32, 25)</t>
        </is>
      </c>
    </row>
    <row r="72">
      <c r="A72" s="32" t="inlineStr">
        <is>
          <t>Ether</t>
        </is>
      </c>
      <c r="B72" s="32" t="inlineStr">
        <is>
          <t>Item Ball</t>
        </is>
      </c>
      <c r="C72" s="32" t="inlineStr">
        <is>
          <t>Petalburg City</t>
        </is>
      </c>
      <c r="D72" s="32" t="inlineStr">
        <is>
          <t>Split 1</t>
        </is>
      </c>
      <c r="E72" s="32" t="n"/>
      <c r="F72" s="32" t="inlineStr">
        <is>
          <t>(3, 28)</t>
        </is>
      </c>
    </row>
    <row r="73">
      <c r="A73" s="76" t="inlineStr">
        <is>
          <t>Max Revive</t>
        </is>
      </c>
      <c r="B73" s="76" t="inlineStr">
        <is>
          <t>Item Ball</t>
        </is>
      </c>
      <c r="C73" s="76" t="inlineStr">
        <is>
          <t>Petalburg City</t>
        </is>
      </c>
      <c r="D73" s="76" t="inlineStr">
        <is>
          <t>Split 1</t>
        </is>
      </c>
      <c r="E73" s="76" t="n"/>
      <c r="F73" s="76" t="inlineStr">
        <is>
          <t>(19, 2)</t>
        </is>
      </c>
    </row>
    <row r="74">
      <c r="A74" s="32" t="inlineStr">
        <is>
          <t>Rare Candy</t>
        </is>
      </c>
      <c r="B74" s="32" t="inlineStr">
        <is>
          <t>Hidden</t>
        </is>
      </c>
      <c r="C74" s="32" t="inlineStr">
        <is>
          <t>Petalburg City</t>
        </is>
      </c>
      <c r="D74" s="32" t="inlineStr">
        <is>
          <t>Split 1</t>
        </is>
      </c>
      <c r="E74" s="32" t="n"/>
      <c r="F74" s="32" t="inlineStr">
        <is>
          <t>(11, 29)</t>
        </is>
      </c>
    </row>
    <row r="75">
      <c r="A75" s="76" t="inlineStr">
        <is>
          <t>Everstone</t>
        </is>
      </c>
      <c r="B75" s="76" t="inlineStr">
        <is>
          <t>Item Ball</t>
        </is>
      </c>
      <c r="C75" s="76" t="inlineStr">
        <is>
          <t>Petalburg Coast</t>
        </is>
      </c>
      <c r="D75" s="76" t="inlineStr">
        <is>
          <t>Split 1</t>
        </is>
      </c>
      <c r="E75" s="76" t="n"/>
      <c r="F75" s="76" t="inlineStr">
        <is>
          <t>(20, 5)</t>
        </is>
      </c>
    </row>
    <row r="76">
      <c r="A76" s="32" t="inlineStr">
        <is>
          <t>Ether</t>
        </is>
      </c>
      <c r="B76" s="32" t="inlineStr">
        <is>
          <t>Item Ball</t>
        </is>
      </c>
      <c r="C76" s="32" t="inlineStr">
        <is>
          <t>Petalburg Woods</t>
        </is>
      </c>
      <c r="D76" s="32" t="inlineStr">
        <is>
          <t>Split 2</t>
        </is>
      </c>
      <c r="E76" s="32" t="n"/>
      <c r="F76" s="32" t="inlineStr">
        <is>
          <t>(4, 8)</t>
        </is>
      </c>
    </row>
    <row r="77">
      <c r="A77" s="76" t="inlineStr">
        <is>
          <t>Great Ball</t>
        </is>
      </c>
      <c r="B77" s="76" t="inlineStr">
        <is>
          <t>Item Ball</t>
        </is>
      </c>
      <c r="C77" s="76" t="inlineStr">
        <is>
          <t>Petalburg Woods</t>
        </is>
      </c>
      <c r="D77" s="76" t="inlineStr">
        <is>
          <t>Split 2</t>
        </is>
      </c>
      <c r="E77" s="76" t="n"/>
      <c r="F77" s="76" t="inlineStr">
        <is>
          <t>(45, 7)</t>
        </is>
      </c>
    </row>
    <row r="78">
      <c r="A78" s="32" t="inlineStr">
        <is>
          <t>King's Rock</t>
        </is>
      </c>
      <c r="B78" s="32" t="inlineStr">
        <is>
          <t>Item Ball</t>
        </is>
      </c>
      <c r="C78" s="32" t="inlineStr">
        <is>
          <t>Petalburg Woods</t>
        </is>
      </c>
      <c r="D78" s="32" t="inlineStr">
        <is>
          <t>Split 2</t>
        </is>
      </c>
      <c r="E78" s="32" t="n"/>
      <c r="F78" s="32" t="inlineStr">
        <is>
          <t>(35, 20)</t>
        </is>
      </c>
    </row>
    <row r="79">
      <c r="A79" s="76" t="inlineStr">
        <is>
          <t>Paralyze Heal</t>
        </is>
      </c>
      <c r="B79" s="76" t="inlineStr">
        <is>
          <t>Item Ball</t>
        </is>
      </c>
      <c r="C79" s="76" t="inlineStr">
        <is>
          <t>Petalburg Woods</t>
        </is>
      </c>
      <c r="D79" s="76" t="inlineStr">
        <is>
          <t>Split 2</t>
        </is>
      </c>
      <c r="E79" s="76" t="n"/>
      <c r="F79" s="76" t="inlineStr">
        <is>
          <t>(4, 26)</t>
        </is>
      </c>
    </row>
    <row r="80">
      <c r="A80" s="32" t="inlineStr">
        <is>
          <t>Poké Ball</t>
        </is>
      </c>
      <c r="B80" s="32" t="inlineStr">
        <is>
          <t>Hidden</t>
        </is>
      </c>
      <c r="C80" s="32" t="inlineStr">
        <is>
          <t>Petalburg Woods</t>
        </is>
      </c>
      <c r="D80" s="32" t="inlineStr">
        <is>
          <t>Split 2</t>
        </is>
      </c>
      <c r="E80" s="32" t="n"/>
      <c r="F80" s="32" t="inlineStr">
        <is>
          <t>(4, 19)</t>
        </is>
      </c>
    </row>
    <row r="81">
      <c r="A81" s="76" t="inlineStr">
        <is>
          <t>Potion</t>
        </is>
      </c>
      <c r="B81" s="76" t="inlineStr">
        <is>
          <t>Hidden</t>
        </is>
      </c>
      <c r="C81" s="76" t="inlineStr">
        <is>
          <t>Petalburg Woods</t>
        </is>
      </c>
      <c r="D81" s="76" t="inlineStr">
        <is>
          <t>Split 2</t>
        </is>
      </c>
      <c r="E81" s="76" t="n"/>
      <c r="F81" s="76" t="inlineStr">
        <is>
          <t>(39, 35)</t>
        </is>
      </c>
    </row>
    <row r="82">
      <c r="A82" s="32" t="inlineStr">
        <is>
          <t>Sceptilite</t>
        </is>
      </c>
      <c r="B82" s="32" t="inlineStr">
        <is>
          <t>Hidden</t>
        </is>
      </c>
      <c r="C82" s="32" t="inlineStr">
        <is>
          <t>Petalburg Woods</t>
        </is>
      </c>
      <c r="D82" s="32" t="inlineStr">
        <is>
          <t>Split 2</t>
        </is>
      </c>
      <c r="E82" s="32" t="n"/>
      <c r="F82" s="32" t="inlineStr">
        <is>
          <t>(5, 19)</t>
        </is>
      </c>
    </row>
    <row r="83">
      <c r="A83" s="76" t="inlineStr">
        <is>
          <t>Tiny Mushroom</t>
        </is>
      </c>
      <c r="B83" s="76" t="inlineStr">
        <is>
          <t>Hidden</t>
        </is>
      </c>
      <c r="C83" s="76" t="inlineStr">
        <is>
          <t>Petalburg Woods</t>
        </is>
      </c>
      <c r="D83" s="76" t="inlineStr">
        <is>
          <t>Split 2</t>
        </is>
      </c>
      <c r="E83" s="76" t="n"/>
      <c r="F83" s="76" t="inlineStr">
        <is>
          <t>(26, 6)</t>
        </is>
      </c>
    </row>
    <row r="84">
      <c r="A84" s="32" t="inlineStr">
        <is>
          <t>Tiny Mushroom</t>
        </is>
      </c>
      <c r="B84" s="32" t="inlineStr">
        <is>
          <t>Hidden</t>
        </is>
      </c>
      <c r="C84" s="32" t="inlineStr">
        <is>
          <t>Petalburg Woods</t>
        </is>
      </c>
      <c r="D84" s="32" t="inlineStr">
        <is>
          <t>Split 2</t>
        </is>
      </c>
      <c r="E84" s="32" t="n"/>
      <c r="F84" s="32" t="inlineStr">
        <is>
          <t>(40, 29)</t>
        </is>
      </c>
    </row>
    <row r="85">
      <c r="A85" s="76" t="inlineStr">
        <is>
          <t>Potion</t>
        </is>
      </c>
      <c r="B85" s="76" t="inlineStr">
        <is>
          <t>Item Ball</t>
        </is>
      </c>
      <c r="C85" s="76" t="inlineStr">
        <is>
          <t>Route 102</t>
        </is>
      </c>
      <c r="D85" s="76" t="inlineStr">
        <is>
          <t>Split 1</t>
        </is>
      </c>
      <c r="E85" s="76" t="n"/>
      <c r="F85" s="76" t="inlineStr">
        <is>
          <t>(11, 15)</t>
        </is>
      </c>
    </row>
    <row r="86">
      <c r="A86" s="32" t="inlineStr">
        <is>
          <t>Guard Spec.</t>
        </is>
      </c>
      <c r="B86" s="32" t="inlineStr">
        <is>
          <t>Item Ball</t>
        </is>
      </c>
      <c r="C86" s="32" t="inlineStr">
        <is>
          <t>Route 103</t>
        </is>
      </c>
      <c r="D86" s="32" t="inlineStr">
        <is>
          <t>Split 1</t>
        </is>
      </c>
      <c r="E86" s="32" t="n"/>
      <c r="F86" s="32" t="inlineStr">
        <is>
          <t>(50, 5)</t>
        </is>
      </c>
    </row>
    <row r="87">
      <c r="A87" s="76" t="inlineStr">
        <is>
          <t>PP Up</t>
        </is>
      </c>
      <c r="B87" s="76" t="inlineStr">
        <is>
          <t>Item Ball</t>
        </is>
      </c>
      <c r="C87" s="76" t="inlineStr">
        <is>
          <t>Route 103</t>
        </is>
      </c>
      <c r="D87" s="76" t="inlineStr">
        <is>
          <t>Split 1</t>
        </is>
      </c>
      <c r="E87" s="76" t="n"/>
      <c r="F87" s="76" t="inlineStr">
        <is>
          <t>(64, 7)</t>
        </is>
      </c>
    </row>
    <row r="88">
      <c r="A88" s="32" t="inlineStr">
        <is>
          <t>Antidote</t>
        </is>
      </c>
      <c r="B88" s="32" t="inlineStr">
        <is>
          <t>Hidden</t>
        </is>
      </c>
      <c r="C88" s="32" t="inlineStr">
        <is>
          <t>Route 104</t>
        </is>
      </c>
      <c r="D88" s="32" t="inlineStr">
        <is>
          <t>Split 2</t>
        </is>
      </c>
      <c r="E88" s="32" t="n"/>
      <c r="F88" s="32" t="inlineStr">
        <is>
          <t>(16, 72)</t>
        </is>
      </c>
    </row>
    <row r="89">
      <c r="A89" s="76" t="inlineStr">
        <is>
          <t>Bright Powder</t>
        </is>
      </c>
      <c r="B89" s="76" t="inlineStr">
        <is>
          <t>Item Ball</t>
        </is>
      </c>
      <c r="C89" s="76" t="inlineStr">
        <is>
          <t>Route 104</t>
        </is>
      </c>
      <c r="D89" s="76" t="inlineStr">
        <is>
          <t>Split 2</t>
        </is>
      </c>
      <c r="E89" s="76" t="n"/>
      <c r="F89" s="76" t="inlineStr">
        <is>
          <t>(37, 22)</t>
        </is>
      </c>
    </row>
    <row r="90">
      <c r="A90" s="32" t="inlineStr">
        <is>
          <t>Heart Scale</t>
        </is>
      </c>
      <c r="B90" s="32" t="inlineStr">
        <is>
          <t>Hidden</t>
        </is>
      </c>
      <c r="C90" s="32" t="inlineStr">
        <is>
          <t>Route 104</t>
        </is>
      </c>
      <c r="D90" s="32" t="inlineStr">
        <is>
          <t>Split 2</t>
        </is>
      </c>
      <c r="E90" s="32" t="n"/>
      <c r="F90" s="32" t="inlineStr">
        <is>
          <t>(16, 64)</t>
        </is>
      </c>
    </row>
    <row r="91">
      <c r="A91" s="76" t="inlineStr">
        <is>
          <t>Poké Ball</t>
        </is>
      </c>
      <c r="B91" s="76" t="inlineStr">
        <is>
          <t>Item Ball</t>
        </is>
      </c>
      <c r="C91" s="76" t="inlineStr">
        <is>
          <t>Route 104</t>
        </is>
      </c>
      <c r="D91" s="76" t="inlineStr">
        <is>
          <t>Split 2</t>
        </is>
      </c>
      <c r="E91" s="76" t="n"/>
      <c r="F91" s="76" t="inlineStr">
        <is>
          <t>(29, 53)</t>
        </is>
      </c>
    </row>
    <row r="92">
      <c r="A92" s="32" t="inlineStr">
        <is>
          <t>Poké Ball</t>
        </is>
      </c>
      <c r="B92" s="32" t="inlineStr">
        <is>
          <t>Hidden</t>
        </is>
      </c>
      <c r="C92" s="32" t="inlineStr">
        <is>
          <t>Route 104</t>
        </is>
      </c>
      <c r="D92" s="32" t="inlineStr">
        <is>
          <t>Split 2</t>
        </is>
      </c>
      <c r="E92" s="32" t="n"/>
      <c r="F92" s="32" t="inlineStr">
        <is>
          <t>(3, 9)</t>
        </is>
      </c>
    </row>
    <row r="93">
      <c r="A93" s="76" t="inlineStr">
        <is>
          <t>Potion</t>
        </is>
      </c>
      <c r="B93" s="76" t="inlineStr">
        <is>
          <t>Item Ball</t>
        </is>
      </c>
      <c r="C93" s="76" t="inlineStr">
        <is>
          <t>Route 104</t>
        </is>
      </c>
      <c r="D93" s="76" t="inlineStr">
        <is>
          <t>Split 2</t>
        </is>
      </c>
      <c r="E93" s="76" t="n"/>
      <c r="F93" s="76" t="inlineStr">
        <is>
          <t>(5, 8)</t>
        </is>
      </c>
    </row>
    <row r="94">
      <c r="A94" s="32" t="inlineStr">
        <is>
          <t>Potion</t>
        </is>
      </c>
      <c r="B94" s="32" t="inlineStr">
        <is>
          <t>Hidden</t>
        </is>
      </c>
      <c r="C94" s="32" t="inlineStr">
        <is>
          <t>Route 104</t>
        </is>
      </c>
      <c r="D94" s="32" t="inlineStr">
        <is>
          <t>Split 2</t>
        </is>
      </c>
      <c r="E94" s="32" t="n"/>
      <c r="F94" s="32" t="inlineStr">
        <is>
          <t>(14, 55)</t>
        </is>
      </c>
    </row>
    <row r="95">
      <c r="A95" s="76" t="inlineStr">
        <is>
          <t>PP Up</t>
        </is>
      </c>
      <c r="B95" s="76" t="inlineStr">
        <is>
          <t>Item Ball</t>
        </is>
      </c>
      <c r="C95" s="76" t="inlineStr">
        <is>
          <t>Route 104</t>
        </is>
      </c>
      <c r="D95" s="76" t="inlineStr">
        <is>
          <t>Split 2</t>
        </is>
      </c>
      <c r="E95" s="76" t="n"/>
      <c r="F95" s="76" t="inlineStr">
        <is>
          <t>(39, 15)</t>
        </is>
      </c>
    </row>
    <row r="96">
      <c r="A96" s="32" t="inlineStr">
        <is>
          <t>Super Potion</t>
        </is>
      </c>
      <c r="B96" s="32" t="inlineStr">
        <is>
          <t>Hidden</t>
        </is>
      </c>
      <c r="C96" s="32" t="inlineStr">
        <is>
          <t>Route 104</t>
        </is>
      </c>
      <c r="D96" s="32" t="inlineStr">
        <is>
          <t>Split 2</t>
        </is>
      </c>
      <c r="E96" s="32" t="n"/>
      <c r="F96" s="32" t="inlineStr">
        <is>
          <t>(7, 6)</t>
        </is>
      </c>
    </row>
    <row r="97">
      <c r="A97" s="76" t="inlineStr">
        <is>
          <t>Big Pearl</t>
        </is>
      </c>
      <c r="B97" s="76" t="inlineStr">
        <is>
          <t>Hidden</t>
        </is>
      </c>
      <c r="C97" s="76" t="inlineStr">
        <is>
          <t>Route 105</t>
        </is>
      </c>
      <c r="D97" s="76" t="inlineStr">
        <is>
          <t>Split 3</t>
        </is>
      </c>
      <c r="E97" s="76" t="n"/>
      <c r="F97" s="76" t="inlineStr">
        <is>
          <t>(5, 56)</t>
        </is>
      </c>
    </row>
    <row r="98">
      <c r="A98" s="32" t="inlineStr">
        <is>
          <t>Heart Scale</t>
        </is>
      </c>
      <c r="B98" s="32" t="inlineStr">
        <is>
          <t>Hidden</t>
        </is>
      </c>
      <c r="C98" s="32" t="inlineStr">
        <is>
          <t>Route 105</t>
        </is>
      </c>
      <c r="D98" s="32" t="inlineStr">
        <is>
          <t>Split 3</t>
        </is>
      </c>
      <c r="E98" s="32" t="n"/>
      <c r="F98" s="32" t="inlineStr">
        <is>
          <t>(15, 68)</t>
        </is>
      </c>
    </row>
    <row r="99">
      <c r="A99" s="76" t="inlineStr">
        <is>
          <t>Star Piece</t>
        </is>
      </c>
      <c r="B99" s="76" t="inlineStr">
        <is>
          <t>Item Ball</t>
        </is>
      </c>
      <c r="C99" s="76" t="inlineStr">
        <is>
          <t>Route 105</t>
        </is>
      </c>
      <c r="D99" s="76" t="inlineStr">
        <is>
          <t>Split 3</t>
        </is>
      </c>
      <c r="E99" s="76" t="n"/>
      <c r="F99" s="76" t="inlineStr">
        <is>
          <t>(8, 73)</t>
        </is>
      </c>
    </row>
    <row r="100">
      <c r="A100" s="32" t="inlineStr">
        <is>
          <t>Full Heal</t>
        </is>
      </c>
      <c r="B100" s="32" t="inlineStr">
        <is>
          <t>Item Ball</t>
        </is>
      </c>
      <c r="C100" s="32" t="inlineStr">
        <is>
          <t>Route 106</t>
        </is>
      </c>
      <c r="D100" s="32" t="inlineStr">
        <is>
          <t>Split 3</t>
        </is>
      </c>
      <c r="E100" s="32" t="n"/>
      <c r="F100" s="32" t="inlineStr">
        <is>
          <t>(29, 14)</t>
        </is>
      </c>
    </row>
    <row r="101">
      <c r="A101" s="76" t="inlineStr">
        <is>
          <t>Heart Scale</t>
        </is>
      </c>
      <c r="B101" s="76" t="inlineStr">
        <is>
          <t>Hidden</t>
        </is>
      </c>
      <c r="C101" s="76" t="inlineStr">
        <is>
          <t>Route 106</t>
        </is>
      </c>
      <c r="D101" s="76" t="inlineStr">
        <is>
          <t>Split 3</t>
        </is>
      </c>
      <c r="E101" s="76" t="n"/>
      <c r="F101" s="76" t="inlineStr">
        <is>
          <t>(68, 15)</t>
        </is>
      </c>
    </row>
    <row r="102">
      <c r="A102" s="32" t="inlineStr">
        <is>
          <t>Poké Ball</t>
        </is>
      </c>
      <c r="B102" s="32" t="inlineStr">
        <is>
          <t>Hidden</t>
        </is>
      </c>
      <c r="C102" s="32" t="inlineStr">
        <is>
          <t>Route 106</t>
        </is>
      </c>
      <c r="D102" s="32" t="inlineStr">
        <is>
          <t>Split 3</t>
        </is>
      </c>
      <c r="E102" s="32" t="n"/>
      <c r="F102" s="32" t="inlineStr">
        <is>
          <t>(41, 11)</t>
        </is>
      </c>
    </row>
    <row r="103">
      <c r="A103" s="76" t="inlineStr">
        <is>
          <t>Stardust</t>
        </is>
      </c>
      <c r="B103" s="76" t="inlineStr">
        <is>
          <t>Hidden</t>
        </is>
      </c>
      <c r="C103" s="76" t="inlineStr">
        <is>
          <t>Route 106</t>
        </is>
      </c>
      <c r="D103" s="76" t="inlineStr">
        <is>
          <t>Split 3</t>
        </is>
      </c>
      <c r="E103" s="76" t="n"/>
      <c r="F103" s="76" t="inlineStr">
        <is>
          <t>(53, 12)</t>
        </is>
      </c>
    </row>
    <row r="104">
      <c r="A104" s="32" t="inlineStr">
        <is>
          <t>Rare Candy</t>
        </is>
      </c>
      <c r="B104" s="32" t="inlineStr">
        <is>
          <t>Hidden</t>
        </is>
      </c>
      <c r="C104" s="32" t="inlineStr">
        <is>
          <t>Route 108</t>
        </is>
      </c>
      <c r="D104" s="32" t="inlineStr">
        <is>
          <t>Split 4</t>
        </is>
      </c>
      <c r="E104" s="32" t="n"/>
      <c r="F104" s="32" t="inlineStr">
        <is>
          <t>(38, 14)</t>
        </is>
      </c>
    </row>
    <row r="105">
      <c r="A105" s="76" t="inlineStr">
        <is>
          <t>Star Piece</t>
        </is>
      </c>
      <c r="B105" s="76" t="inlineStr">
        <is>
          <t>Item Ball</t>
        </is>
      </c>
      <c r="C105" s="76" t="inlineStr">
        <is>
          <t>Route 108</t>
        </is>
      </c>
      <c r="D105" s="76" t="inlineStr">
        <is>
          <t>Split 4</t>
        </is>
      </c>
      <c r="E105" s="76" t="n"/>
      <c r="F105" s="76" t="inlineStr">
        <is>
          <t>(42, 4)</t>
        </is>
      </c>
    </row>
    <row r="106">
      <c r="A106" s="32" t="inlineStr">
        <is>
          <t>Ether</t>
        </is>
      </c>
      <c r="B106" s="32" t="inlineStr">
        <is>
          <t>Hidden</t>
        </is>
      </c>
      <c r="C106" s="32" t="inlineStr">
        <is>
          <t>Route 109</t>
        </is>
      </c>
      <c r="D106" s="32" t="inlineStr">
        <is>
          <t>Split 4</t>
        </is>
      </c>
      <c r="E106" s="32" t="n"/>
      <c r="F106" s="32" t="inlineStr">
        <is>
          <t>(28, 20)</t>
        </is>
      </c>
    </row>
    <row r="107">
      <c r="A107" s="76" t="inlineStr">
        <is>
          <t>Great Ball</t>
        </is>
      </c>
      <c r="B107" s="76" t="inlineStr">
        <is>
          <t>Hidden</t>
        </is>
      </c>
      <c r="C107" s="76" t="inlineStr">
        <is>
          <t>Route 109</t>
        </is>
      </c>
      <c r="D107" s="76" t="inlineStr">
        <is>
          <t>Split 4</t>
        </is>
      </c>
      <c r="E107" s="76" t="n"/>
      <c r="F107" s="76" t="inlineStr">
        <is>
          <t>(9, 10)</t>
        </is>
      </c>
    </row>
    <row r="108">
      <c r="A108" s="32" t="inlineStr">
        <is>
          <t>Heart Scale</t>
        </is>
      </c>
      <c r="B108" s="32" t="inlineStr">
        <is>
          <t>Hidden</t>
        </is>
      </c>
      <c r="C108" s="32" t="inlineStr">
        <is>
          <t>Route 109</t>
        </is>
      </c>
      <c r="D108" s="32" t="inlineStr">
        <is>
          <t>Split 4</t>
        </is>
      </c>
      <c r="E108" s="32" t="n"/>
      <c r="F108" s="32" t="inlineStr">
        <is>
          <t>(33, 5)</t>
        </is>
      </c>
    </row>
    <row r="109">
      <c r="A109" s="76" t="inlineStr">
        <is>
          <t>Heart Scale</t>
        </is>
      </c>
      <c r="B109" s="76" t="inlineStr">
        <is>
          <t>Hidden</t>
        </is>
      </c>
      <c r="C109" s="76" t="inlineStr">
        <is>
          <t>Route 109</t>
        </is>
      </c>
      <c r="D109" s="76" t="inlineStr">
        <is>
          <t>Split 4</t>
        </is>
      </c>
      <c r="E109" s="76" t="n"/>
      <c r="F109" s="76" t="inlineStr">
        <is>
          <t>(13, 16)</t>
        </is>
      </c>
    </row>
    <row r="110">
      <c r="A110" s="32" t="inlineStr">
        <is>
          <t>Heart Scale</t>
        </is>
      </c>
      <c r="B110" s="32" t="inlineStr">
        <is>
          <t>Hidden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(8, 42)</t>
        </is>
      </c>
    </row>
    <row r="111">
      <c r="A111" s="76" t="inlineStr">
        <is>
          <t>Potion</t>
        </is>
      </c>
      <c r="B111" s="76" t="inlineStr">
        <is>
          <t>Item Ball</t>
        </is>
      </c>
      <c r="C111" s="76" t="inlineStr">
        <is>
          <t>Route 109</t>
        </is>
      </c>
      <c r="D111" s="76" t="inlineStr">
        <is>
          <t>Split 4</t>
        </is>
      </c>
      <c r="E111" s="76" t="n"/>
      <c r="F111" s="76" t="inlineStr">
        <is>
          <t>(25, 6)</t>
        </is>
      </c>
    </row>
    <row r="112">
      <c r="A112" s="32" t="inlineStr">
        <is>
          <t>PP Up</t>
        </is>
      </c>
      <c r="B112" s="32" t="inlineStr">
        <is>
          <t>Item Ball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(27, 46)</t>
        </is>
      </c>
    </row>
    <row r="113">
      <c r="A113" s="76" t="inlineStr">
        <is>
          <t>Revive</t>
        </is>
      </c>
      <c r="B113" s="76" t="inlineStr">
        <is>
          <t>Hidden</t>
        </is>
      </c>
      <c r="C113" s="76" t="inlineStr">
        <is>
          <t>Route 109</t>
        </is>
      </c>
      <c r="D113" s="76" t="inlineStr">
        <is>
          <t>Split 4</t>
        </is>
      </c>
      <c r="E113" s="76" t="n"/>
      <c r="F113" s="76" t="inlineStr">
        <is>
          <t>(16, 23)</t>
        </is>
      </c>
    </row>
    <row r="114">
      <c r="A114" s="32" t="inlineStr">
        <is>
          <t>Elixir</t>
        </is>
      </c>
      <c r="B114" s="32" t="inlineStr">
        <is>
          <t>Item Ball</t>
        </is>
      </c>
      <c r="C114" s="32" t="inlineStr">
        <is>
          <t>Route 110</t>
        </is>
      </c>
      <c r="D114" s="32" t="inlineStr">
        <is>
          <t>Split 4</t>
        </is>
      </c>
      <c r="E114" s="32" t="n"/>
      <c r="F114" s="32" t="inlineStr">
        <is>
          <t>(6, 38)</t>
        </is>
      </c>
    </row>
    <row r="115">
      <c r="A115" s="76" t="inlineStr">
        <is>
          <t>Full Heal</t>
        </is>
      </c>
      <c r="B115" s="76" t="inlineStr">
        <is>
          <t>Hidden</t>
        </is>
      </c>
      <c r="C115" s="76" t="inlineStr">
        <is>
          <t>Route 110</t>
        </is>
      </c>
      <c r="D115" s="76" t="inlineStr">
        <is>
          <t>Split 4</t>
        </is>
      </c>
      <c r="E115" s="76" t="n"/>
      <c r="F115" s="76" t="inlineStr">
        <is>
          <t>(37, 67)</t>
        </is>
      </c>
    </row>
    <row r="116">
      <c r="A116" s="32" t="inlineStr">
        <is>
          <t>Great Ball</t>
        </is>
      </c>
      <c r="B116" s="32" t="inlineStr">
        <is>
          <t>Hidden</t>
        </is>
      </c>
      <c r="C116" s="32" t="inlineStr">
        <is>
          <t>Route 110</t>
        </is>
      </c>
      <c r="D116" s="32" t="inlineStr">
        <is>
          <t>Split 4</t>
        </is>
      </c>
      <c r="E116" s="32" t="n"/>
      <c r="F116" s="32" t="inlineStr">
        <is>
          <t>(33, 45)</t>
        </is>
      </c>
    </row>
    <row r="117">
      <c r="A117" s="76" t="inlineStr">
        <is>
          <t>Poké Ball</t>
        </is>
      </c>
      <c r="B117" s="76" t="inlineStr">
        <is>
          <t>Hidden</t>
        </is>
      </c>
      <c r="C117" s="76" t="inlineStr">
        <is>
          <t>Route 110</t>
        </is>
      </c>
      <c r="D117" s="76" t="inlineStr">
        <is>
          <t>Split 4</t>
        </is>
      </c>
      <c r="E117" s="76" t="n"/>
      <c r="F117" s="76" t="inlineStr">
        <is>
          <t>(4, 35)</t>
        </is>
      </c>
    </row>
    <row r="118">
      <c r="A118" s="32" t="inlineStr">
        <is>
          <t>Rare Candy</t>
        </is>
      </c>
      <c r="B118" s="32" t="inlineStr">
        <is>
          <t>Item Ball</t>
        </is>
      </c>
      <c r="C118" s="32" t="inlineStr">
        <is>
          <t>Route 110</t>
        </is>
      </c>
      <c r="D118" s="32" t="inlineStr">
        <is>
          <t>Split 4</t>
        </is>
      </c>
      <c r="E118" s="32" t="n"/>
      <c r="F118" s="32" t="inlineStr">
        <is>
          <t>(26, 47)</t>
        </is>
      </c>
    </row>
    <row r="119">
      <c r="A119" s="76" t="inlineStr">
        <is>
          <t>Revive</t>
        </is>
      </c>
      <c r="B119" s="76" t="inlineStr">
        <is>
          <t>Hidden</t>
        </is>
      </c>
      <c r="C119" s="76" t="inlineStr">
        <is>
          <t>Route 110</t>
        </is>
      </c>
      <c r="D119" s="76" t="inlineStr">
        <is>
          <t>Split 4</t>
        </is>
      </c>
      <c r="E119" s="76" t="n"/>
      <c r="F119" s="76" t="inlineStr">
        <is>
          <t>(35, 39)</t>
        </is>
      </c>
    </row>
    <row r="120">
      <c r="A120" s="32" t="inlineStr">
        <is>
          <t>Scope Lens</t>
        </is>
      </c>
      <c r="B120" s="32" t="inlineStr">
        <is>
          <t>Item Ball</t>
        </is>
      </c>
      <c r="C120" s="32" t="inlineStr">
        <is>
          <t>Route 110</t>
        </is>
      </c>
      <c r="D120" s="32" t="inlineStr">
        <is>
          <t>Split 4</t>
        </is>
      </c>
      <c r="E120" s="32" t="n"/>
      <c r="F120" s="32" t="inlineStr">
        <is>
          <t>(30, 69)</t>
        </is>
      </c>
    </row>
    <row r="121">
      <c r="A121" s="76" t="inlineStr">
        <is>
          <t>Swampertite</t>
        </is>
      </c>
      <c r="B121" s="76" t="inlineStr">
        <is>
          <t>Hidden</t>
        </is>
      </c>
      <c r="C121" s="76" t="inlineStr">
        <is>
          <t>Route 110</t>
        </is>
      </c>
      <c r="D121" s="76" t="inlineStr">
        <is>
          <t>Split 4</t>
        </is>
      </c>
      <c r="E121" s="76" t="n"/>
      <c r="F121" s="76" t="inlineStr">
        <is>
          <t>(36, 67)</t>
        </is>
      </c>
    </row>
    <row r="122">
      <c r="A122" s="32" t="inlineStr">
        <is>
          <t>Nugget</t>
        </is>
      </c>
      <c r="B122" s="32" t="inlineStr">
        <is>
          <t>Hidden</t>
        </is>
      </c>
      <c r="C122" s="32" t="inlineStr">
        <is>
          <t>Route 110 - Trick House End</t>
        </is>
      </c>
      <c r="D122" s="32" t="inlineStr">
        <is>
          <t>Split 4</t>
        </is>
      </c>
      <c r="E122" s="32" t="n"/>
      <c r="F122" s="32" t="inlineStr">
        <is>
          <t>(4, 5)</t>
        </is>
      </c>
    </row>
    <row r="123">
      <c r="A123" s="76" t="inlineStr">
        <is>
          <t>Orange Mail</t>
        </is>
      </c>
      <c r="B123" s="76" t="inlineStr">
        <is>
          <t>Item Ball</t>
        </is>
      </c>
      <c r="C123" s="76" t="inlineStr">
        <is>
          <t>Route 110 - Trick House Puzzle 1</t>
        </is>
      </c>
      <c r="D123" s="76" t="inlineStr">
        <is>
          <t>Split 4</t>
        </is>
      </c>
      <c r="E123" s="76" t="n"/>
      <c r="F123" s="76" t="inlineStr">
        <is>
          <t>(9, 4)</t>
        </is>
      </c>
    </row>
    <row r="124">
      <c r="A124" s="32" t="inlineStr">
        <is>
          <t>Harbor Mail</t>
        </is>
      </c>
      <c r="B124" s="32" t="inlineStr">
        <is>
          <t>Item Ball</t>
        </is>
      </c>
      <c r="C124" s="32" t="inlineStr">
        <is>
          <t>Route 110 - Trick House Puzzle 2</t>
        </is>
      </c>
      <c r="D124" s="32" t="inlineStr">
        <is>
          <t>Split 4</t>
        </is>
      </c>
      <c r="E124" s="32" t="n"/>
      <c r="F124" s="32" t="inlineStr">
        <is>
          <t>(3, 13)</t>
        </is>
      </c>
    </row>
    <row r="125">
      <c r="A125" s="76" t="inlineStr">
        <is>
          <t>Wave Mail</t>
        </is>
      </c>
      <c r="B125" s="76" t="inlineStr">
        <is>
          <t>Item Ball</t>
        </is>
      </c>
      <c r="C125" s="76" t="inlineStr">
        <is>
          <t>Route 110 - Trick House Puzzle 2</t>
        </is>
      </c>
      <c r="D125" s="76" t="inlineStr">
        <is>
          <t>Split 4</t>
        </is>
      </c>
      <c r="E125" s="76" t="n"/>
      <c r="F125" s="76" t="inlineStr">
        <is>
          <t>(8, 17)</t>
        </is>
      </c>
    </row>
    <row r="126">
      <c r="A126" s="32" t="inlineStr">
        <is>
          <t>Shadow Mail</t>
        </is>
      </c>
      <c r="B126" s="32" t="inlineStr">
        <is>
          <t>Item Ball</t>
        </is>
      </c>
      <c r="C126" s="32" t="inlineStr">
        <is>
          <t>Route 110 - Trick House Puzzle 3</t>
        </is>
      </c>
      <c r="D126" s="32" t="inlineStr">
        <is>
          <t>Split 4</t>
        </is>
      </c>
      <c r="E126" s="32" t="n"/>
      <c r="F126" s="32" t="inlineStr">
        <is>
          <t>(4, 2)</t>
        </is>
      </c>
    </row>
    <row r="127">
      <c r="A127" s="76" t="inlineStr">
        <is>
          <t>Wood Mail</t>
        </is>
      </c>
      <c r="B127" s="76" t="inlineStr">
        <is>
          <t>Item Ball</t>
        </is>
      </c>
      <c r="C127" s="76" t="inlineStr">
        <is>
          <t>Route 110 - Trick House Puzzle 3</t>
        </is>
      </c>
      <c r="D127" s="76" t="inlineStr">
        <is>
          <t>Split 4</t>
        </is>
      </c>
      <c r="E127" s="76" t="n"/>
      <c r="F127" s="76" t="inlineStr">
        <is>
          <t>(1, 2)</t>
        </is>
      </c>
    </row>
    <row r="128">
      <c r="A128" s="32" t="inlineStr">
        <is>
          <t>Mech Mail</t>
        </is>
      </c>
      <c r="B128" s="32" t="inlineStr">
        <is>
          <t>Item Ball</t>
        </is>
      </c>
      <c r="C128" s="32" t="inlineStr">
        <is>
          <t>Route 110 - Trick House Puzzle 4</t>
        </is>
      </c>
      <c r="D128" s="32" t="inlineStr">
        <is>
          <t>Split 4</t>
        </is>
      </c>
      <c r="E128" s="32" t="n"/>
      <c r="F128" s="32" t="inlineStr">
        <is>
          <t>(2, 5)</t>
        </is>
      </c>
    </row>
    <row r="129">
      <c r="A129" s="76" t="inlineStr">
        <is>
          <t>Glitter Mail</t>
        </is>
      </c>
      <c r="B129" s="76" t="inlineStr">
        <is>
          <t>Item Ball</t>
        </is>
      </c>
      <c r="C129" s="76" t="inlineStr">
        <is>
          <t>Route 110 - Trick House Puzzle 6</t>
        </is>
      </c>
      <c r="D129" s="76" t="inlineStr">
        <is>
          <t>Split 4</t>
        </is>
      </c>
      <c r="E129" s="76" t="n"/>
      <c r="F129" s="76" t="inlineStr">
        <is>
          <t>(11, 21)</t>
        </is>
      </c>
    </row>
    <row r="130">
      <c r="A130" s="32" t="inlineStr">
        <is>
          <t>Tropic Mail</t>
        </is>
      </c>
      <c r="B130" s="32" t="inlineStr">
        <is>
          <t>Item Ball</t>
        </is>
      </c>
      <c r="C130" s="32" t="inlineStr">
        <is>
          <t>Route 110 - Trick House Puzzle 7</t>
        </is>
      </c>
      <c r="D130" s="32" t="inlineStr">
        <is>
          <t>Split 4</t>
        </is>
      </c>
      <c r="E130" s="32" t="n"/>
      <c r="F130" s="32" t="inlineStr">
        <is>
          <t>(5, 12)</t>
        </is>
      </c>
    </row>
    <row r="131">
      <c r="A131" s="76" t="inlineStr">
        <is>
          <t>Bead Mail</t>
        </is>
      </c>
      <c r="B131" s="76" t="inlineStr">
        <is>
          <t>Item Ball</t>
        </is>
      </c>
      <c r="C131" s="76" t="inlineStr">
        <is>
          <t>Route 110 - Trick House Puzzle 8</t>
        </is>
      </c>
      <c r="D131" s="76" t="inlineStr">
        <is>
          <t>Split 4</t>
        </is>
      </c>
      <c r="E131" s="76" t="n"/>
      <c r="F131" s="76" t="inlineStr">
        <is>
          <t>(2, 2)</t>
        </is>
      </c>
    </row>
    <row r="132">
      <c r="A132" s="32" t="inlineStr">
        <is>
          <t>Elixir</t>
        </is>
      </c>
      <c r="B132" s="32" t="inlineStr">
        <is>
          <t>Item Ball</t>
        </is>
      </c>
      <c r="C132" s="32" t="inlineStr">
        <is>
          <t>Route 111</t>
        </is>
      </c>
      <c r="D132" s="32" t="inlineStr">
        <is>
          <t>Split 5</t>
        </is>
      </c>
      <c r="E132" s="32" t="n"/>
      <c r="F132" s="32" t="inlineStr">
        <is>
          <t>(19, 118)</t>
        </is>
      </c>
    </row>
    <row r="133">
      <c r="A133" s="76" t="inlineStr">
        <is>
          <t>Escape Rope</t>
        </is>
      </c>
      <c r="B133" s="76" t="inlineStr">
        <is>
          <t>Hidden</t>
        </is>
      </c>
      <c r="C133" s="76" t="inlineStr">
        <is>
          <t>Route 111</t>
        </is>
      </c>
      <c r="D133" s="76" t="inlineStr">
        <is>
          <t>Split 5</t>
        </is>
      </c>
      <c r="E133" s="76" t="n"/>
      <c r="F133" s="76" t="inlineStr">
        <is>
          <t>(19, 55)</t>
        </is>
      </c>
    </row>
    <row r="134">
      <c r="A134" s="32" t="inlineStr">
        <is>
          <t>Ether</t>
        </is>
      </c>
      <c r="B134" s="32" t="inlineStr">
        <is>
          <t>Item Ball</t>
        </is>
      </c>
      <c r="C134" s="32" t="inlineStr">
        <is>
          <t>Route 111</t>
        </is>
      </c>
      <c r="D134" s="32" t="inlineStr">
        <is>
          <t>Split 5</t>
        </is>
      </c>
      <c r="E134" s="32" t="n"/>
      <c r="F134" s="32" t="inlineStr">
        <is>
          <t>(3, 114)</t>
        </is>
      </c>
    </row>
    <row r="135">
      <c r="A135" s="76" t="inlineStr">
        <is>
          <t>Kangaskhanite</t>
        </is>
      </c>
      <c r="B135" s="76" t="inlineStr">
        <is>
          <t>Hidden</t>
        </is>
      </c>
      <c r="C135" s="76" t="inlineStr">
        <is>
          <t>Route 111</t>
        </is>
      </c>
      <c r="D135" s="76" t="inlineStr">
        <is>
          <t>Split 5</t>
        </is>
      </c>
      <c r="E135" s="76" t="n"/>
      <c r="F135" s="76" t="inlineStr">
        <is>
          <t>(36, 66)</t>
        </is>
      </c>
    </row>
    <row r="136">
      <c r="A136" s="32" t="inlineStr">
        <is>
          <t>Rare Candy</t>
        </is>
      </c>
      <c r="B136" s="32" t="inlineStr">
        <is>
          <t>Hidden</t>
        </is>
      </c>
      <c r="C136" s="32" t="inlineStr">
        <is>
          <t>Route 111</t>
        </is>
      </c>
      <c r="D136" s="32" t="inlineStr">
        <is>
          <t>Split 5</t>
        </is>
      </c>
      <c r="E136" s="32" t="n"/>
      <c r="F136" s="32" t="inlineStr">
        <is>
          <t>(35, 66)</t>
        </is>
      </c>
    </row>
    <row r="137">
      <c r="A137" s="76" t="inlineStr">
        <is>
          <t>Soft Sand</t>
        </is>
      </c>
      <c r="B137" s="76" t="inlineStr">
        <is>
          <t>Item Ball</t>
        </is>
      </c>
      <c r="C137" s="76" t="inlineStr">
        <is>
          <t>Route 111</t>
        </is>
      </c>
      <c r="D137" s="76" t="inlineStr">
        <is>
          <t>Split 5</t>
        </is>
      </c>
      <c r="E137" s="76" t="n"/>
      <c r="F137" s="76" t="inlineStr">
        <is>
          <t>(33, 104)</t>
        </is>
      </c>
    </row>
    <row r="138">
      <c r="A138" s="32" t="inlineStr">
        <is>
          <t>Stardust</t>
        </is>
      </c>
      <c r="B138" s="32" t="inlineStr">
        <is>
          <t>Item Ball</t>
        </is>
      </c>
      <c r="C138" s="32" t="inlineStr">
        <is>
          <t>Route 111</t>
        </is>
      </c>
      <c r="D138" s="32" t="inlineStr">
        <is>
          <t>Split 5</t>
        </is>
      </c>
      <c r="E138" s="32" t="n"/>
      <c r="F138" s="32" t="inlineStr">
        <is>
          <t>(12, 54)</t>
        </is>
      </c>
    </row>
    <row r="139">
      <c r="A139" s="76" t="inlineStr">
        <is>
          <t>Stardust</t>
        </is>
      </c>
      <c r="B139" s="76" t="inlineStr">
        <is>
          <t>Hidden</t>
        </is>
      </c>
      <c r="C139" s="76" t="inlineStr">
        <is>
          <t>Route 111</t>
        </is>
      </c>
      <c r="D139" s="76" t="inlineStr">
        <is>
          <t>Split 5</t>
        </is>
      </c>
      <c r="E139" s="76" t="n"/>
      <c r="F139" s="76" t="inlineStr">
        <is>
          <t>(26, 70)</t>
        </is>
      </c>
    </row>
    <row r="140">
      <c r="A140" s="32" t="inlineStr">
        <is>
          <t>Blazikenite</t>
        </is>
      </c>
      <c r="B140" s="32" t="inlineStr">
        <is>
          <t>Hidden</t>
        </is>
      </c>
      <c r="C140" s="32" t="inlineStr">
        <is>
          <t>Route 112</t>
        </is>
      </c>
      <c r="D140" s="32" t="inlineStr">
        <is>
          <t>Split 5</t>
        </is>
      </c>
      <c r="E140" s="32" t="n"/>
      <c r="F140" s="32" t="inlineStr">
        <is>
          <t>(25, 7)</t>
        </is>
      </c>
    </row>
    <row r="141">
      <c r="A141" s="76" t="inlineStr">
        <is>
          <t>Nugget</t>
        </is>
      </c>
      <c r="B141" s="76" t="inlineStr">
        <is>
          <t>Item Ball</t>
        </is>
      </c>
      <c r="C141" s="76" t="inlineStr">
        <is>
          <t>Route 112</t>
        </is>
      </c>
      <c r="D141" s="76" t="inlineStr">
        <is>
          <t>Split 5</t>
        </is>
      </c>
      <c r="E141" s="76" t="n"/>
      <c r="F141" s="76" t="inlineStr">
        <is>
          <t>(14, 43)</t>
        </is>
      </c>
    </row>
    <row r="142">
      <c r="A142" s="32" t="inlineStr">
        <is>
          <t>Ether</t>
        </is>
      </c>
      <c r="B142" s="32" t="inlineStr">
        <is>
          <t>Hidden</t>
        </is>
      </c>
      <c r="C142" s="32" t="inlineStr">
        <is>
          <t>Route 113</t>
        </is>
      </c>
      <c r="D142" s="32" t="inlineStr">
        <is>
          <t>Split 5</t>
        </is>
      </c>
      <c r="E142" s="32" t="n"/>
      <c r="F142" s="32" t="inlineStr">
        <is>
          <t>(66, 3)</t>
        </is>
      </c>
    </row>
    <row r="143">
      <c r="A143" s="76" t="inlineStr">
        <is>
          <t>Hyper Potion</t>
        </is>
      </c>
      <c r="B143" s="76" t="inlineStr">
        <is>
          <t>Item Ball</t>
        </is>
      </c>
      <c r="C143" s="76" t="inlineStr">
        <is>
          <t>Route 113</t>
        </is>
      </c>
      <c r="D143" s="76" t="inlineStr">
        <is>
          <t>Split 5</t>
        </is>
      </c>
      <c r="E143" s="76" t="n"/>
      <c r="F143" s="76" t="inlineStr">
        <is>
          <t>(15, 15)</t>
        </is>
      </c>
    </row>
    <row r="144">
      <c r="A144" s="32" t="inlineStr">
        <is>
          <t>Max Ether</t>
        </is>
      </c>
      <c r="B144" s="32" t="inlineStr">
        <is>
          <t>Item Ball</t>
        </is>
      </c>
      <c r="C144" s="32" t="inlineStr">
        <is>
          <t>Route 113</t>
        </is>
      </c>
      <c r="D144" s="32" t="inlineStr">
        <is>
          <t>Split 5</t>
        </is>
      </c>
      <c r="E144" s="32" t="n"/>
      <c r="F144" s="32" t="inlineStr">
        <is>
          <t>(53, 7)</t>
        </is>
      </c>
    </row>
    <row r="145">
      <c r="A145" s="76" t="inlineStr">
        <is>
          <t>Nugget</t>
        </is>
      </c>
      <c r="B145" s="76" t="inlineStr">
        <is>
          <t>Hidden</t>
        </is>
      </c>
      <c r="C145" s="76" t="inlineStr">
        <is>
          <t>Route 113</t>
        </is>
      </c>
      <c r="D145" s="76" t="inlineStr">
        <is>
          <t>Split 5</t>
        </is>
      </c>
      <c r="E145" s="76" t="n"/>
      <c r="F145" s="76" t="inlineStr">
        <is>
          <t>(73, 3)</t>
        </is>
      </c>
    </row>
    <row r="146">
      <c r="A146" s="32" t="inlineStr">
        <is>
          <t>Super Repel</t>
        </is>
      </c>
      <c r="B146" s="32" t="inlineStr">
        <is>
          <t>Item Ball</t>
        </is>
      </c>
      <c r="C146" s="32" t="inlineStr">
        <is>
          <t>Route 113</t>
        </is>
      </c>
      <c r="D146" s="32" t="inlineStr">
        <is>
          <t>Split 5</t>
        </is>
      </c>
      <c r="E146" s="32" t="n"/>
      <c r="F146" s="32" t="inlineStr">
        <is>
          <t>(79, 5)</t>
        </is>
      </c>
    </row>
    <row r="147">
      <c r="A147" s="76" t="inlineStr">
        <is>
          <t>Carbos</t>
        </is>
      </c>
      <c r="B147" s="76" t="inlineStr">
        <is>
          <t>Hidden</t>
        </is>
      </c>
      <c r="C147" s="76" t="inlineStr">
        <is>
          <t>Route 114</t>
        </is>
      </c>
      <c r="D147" s="76" t="inlineStr">
        <is>
          <t>Split 5</t>
        </is>
      </c>
      <c r="E147" s="76" t="n"/>
      <c r="F147" s="76" t="inlineStr">
        <is>
          <t>(20, 57)</t>
        </is>
      </c>
    </row>
    <row r="148">
      <c r="A148" s="32" t="inlineStr">
        <is>
          <t>Energy Powder</t>
        </is>
      </c>
      <c r="B148" s="32" t="inlineStr">
        <is>
          <t>Item Ball</t>
        </is>
      </c>
      <c r="C148" s="32" t="inlineStr">
        <is>
          <t>Route 114</t>
        </is>
      </c>
      <c r="D148" s="32" t="inlineStr">
        <is>
          <t>Split 5</t>
        </is>
      </c>
      <c r="E148" s="32" t="n"/>
      <c r="F148" s="32" t="inlineStr">
        <is>
          <t>(31, 19)</t>
        </is>
      </c>
    </row>
    <row r="149">
      <c r="A149" s="76" t="inlineStr">
        <is>
          <t>Protein</t>
        </is>
      </c>
      <c r="B149" s="76" t="inlineStr">
        <is>
          <t>Item Ball</t>
        </is>
      </c>
      <c r="C149" s="76" t="inlineStr">
        <is>
          <t>Route 114</t>
        </is>
      </c>
      <c r="D149" s="76" t="inlineStr">
        <is>
          <t>Split 5</t>
        </is>
      </c>
      <c r="E149" s="76" t="n"/>
      <c r="F149" s="76" t="inlineStr">
        <is>
          <t>(11, 37)</t>
        </is>
      </c>
    </row>
    <row r="150">
      <c r="A150" s="32" t="inlineStr">
        <is>
          <t>Rare Candy</t>
        </is>
      </c>
      <c r="B150" s="32" t="inlineStr">
        <is>
          <t>Item Ball</t>
        </is>
      </c>
      <c r="C150" s="32" t="inlineStr">
        <is>
          <t>Route 114</t>
        </is>
      </c>
      <c r="D150" s="32" t="inlineStr">
        <is>
          <t>Split 5</t>
        </is>
      </c>
      <c r="E150" s="32" t="n"/>
      <c r="F150" s="32" t="inlineStr">
        <is>
          <t>(7, 6)</t>
        </is>
      </c>
    </row>
    <row r="151">
      <c r="A151" s="76" t="inlineStr">
        <is>
          <t>Revive</t>
        </is>
      </c>
      <c r="B151" s="76" t="inlineStr">
        <is>
          <t>Hidden</t>
        </is>
      </c>
      <c r="C151" s="76" t="inlineStr">
        <is>
          <t>Route 114</t>
        </is>
      </c>
      <c r="D151" s="76" t="inlineStr">
        <is>
          <t>Split 5</t>
        </is>
      </c>
      <c r="E151" s="76" t="n"/>
      <c r="F151" s="76" t="inlineStr">
        <is>
          <t>(7, 30)</t>
        </is>
      </c>
    </row>
    <row r="152">
      <c r="A152" s="32" t="inlineStr">
        <is>
          <t>Great Ball</t>
        </is>
      </c>
      <c r="B152" s="32" t="inlineStr">
        <is>
          <t>Item Ball</t>
        </is>
      </c>
      <c r="C152" s="32" t="inlineStr">
        <is>
          <t>Route 115</t>
        </is>
      </c>
      <c r="D152" s="32" t="inlineStr">
        <is>
          <t>Unassigned</t>
        </is>
      </c>
      <c r="E152" s="32" t="n"/>
      <c r="F152" s="32" t="inlineStr">
        <is>
          <t>(31, 56)</t>
        </is>
      </c>
    </row>
    <row r="153">
      <c r="A153" s="76" t="inlineStr">
        <is>
          <t>Heal Powder</t>
        </is>
      </c>
      <c r="B153" s="76" t="inlineStr">
        <is>
          <t>Item Ball</t>
        </is>
      </c>
      <c r="C153" s="76" t="inlineStr">
        <is>
          <t>Route 115</t>
        </is>
      </c>
      <c r="D153" s="76" t="inlineStr">
        <is>
          <t>Unassigned</t>
        </is>
      </c>
      <c r="E153" s="76" t="n"/>
      <c r="F153" s="76" t="inlineStr">
        <is>
          <t>(12, 14)</t>
        </is>
      </c>
    </row>
    <row r="154">
      <c r="A154" s="32" t="inlineStr">
        <is>
          <t>Heart Scale</t>
        </is>
      </c>
      <c r="B154" s="32" t="inlineStr">
        <is>
          <t>Hidden</t>
        </is>
      </c>
      <c r="C154" s="32" t="inlineStr">
        <is>
          <t>Route 115</t>
        </is>
      </c>
      <c r="D154" s="32" t="inlineStr">
        <is>
          <t>Unassigned</t>
        </is>
      </c>
      <c r="E154" s="32" t="n"/>
      <c r="F154" s="32" t="inlineStr">
        <is>
          <t>(15, 49)</t>
        </is>
      </c>
    </row>
    <row r="155">
      <c r="A155" s="76" t="inlineStr">
        <is>
          <t>Iron</t>
        </is>
      </c>
      <c r="B155" s="76" t="inlineStr">
        <is>
          <t>Item Ball</t>
        </is>
      </c>
      <c r="C155" s="76" t="inlineStr">
        <is>
          <t>Route 115</t>
        </is>
      </c>
      <c r="D155" s="76" t="inlineStr">
        <is>
          <t>Unassigned</t>
        </is>
      </c>
      <c r="E155" s="76" t="n"/>
      <c r="F155" s="76" t="inlineStr">
        <is>
          <t>(23, 29)</t>
        </is>
      </c>
    </row>
    <row r="156">
      <c r="A156" s="32" t="inlineStr">
        <is>
          <t>PP Up</t>
        </is>
      </c>
      <c r="B156" s="32" t="inlineStr">
        <is>
          <t>Item Ball</t>
        </is>
      </c>
      <c r="C156" s="32" t="inlineStr">
        <is>
          <t>Route 115</t>
        </is>
      </c>
      <c r="D156" s="32" t="inlineStr">
        <is>
          <t>Unassigned</t>
        </is>
      </c>
      <c r="E156" s="32" t="n"/>
      <c r="F156" s="32" t="inlineStr">
        <is>
          <t>(26, 67)</t>
        </is>
      </c>
    </row>
    <row r="157">
      <c r="A157" s="76" t="inlineStr">
        <is>
          <t>Super Potion</t>
        </is>
      </c>
      <c r="B157" s="76" t="inlineStr">
        <is>
          <t>Item Ball</t>
        </is>
      </c>
      <c r="C157" s="76" t="inlineStr">
        <is>
          <t>Route 115</t>
        </is>
      </c>
      <c r="D157" s="76" t="inlineStr">
        <is>
          <t>Unassigned</t>
        </is>
      </c>
      <c r="E157" s="76" t="n"/>
      <c r="F157" s="76" t="inlineStr">
        <is>
          <t>(20, 60)</t>
        </is>
      </c>
    </row>
    <row r="158">
      <c r="A158" s="32" t="inlineStr">
        <is>
          <t>Black Glasses</t>
        </is>
      </c>
      <c r="B158" s="32" t="inlineStr">
        <is>
          <t>Hidden</t>
        </is>
      </c>
      <c r="C158" s="32" t="inlineStr">
        <is>
          <t>Route 116</t>
        </is>
      </c>
      <c r="D158" s="32" t="inlineStr">
        <is>
          <t>Split 2</t>
        </is>
      </c>
      <c r="E158" s="32" t="n"/>
      <c r="F158" s="32" t="inlineStr">
        <is>
          <t>(70, 13)</t>
        </is>
      </c>
    </row>
    <row r="159">
      <c r="A159" s="76" t="inlineStr">
        <is>
          <t>Ether</t>
        </is>
      </c>
      <c r="B159" s="76" t="inlineStr">
        <is>
          <t>Item Ball</t>
        </is>
      </c>
      <c r="C159" s="76" t="inlineStr">
        <is>
          <t>Route 116</t>
        </is>
      </c>
      <c r="D159" s="76" t="inlineStr">
        <is>
          <t>Split 2</t>
        </is>
      </c>
      <c r="E159" s="76" t="n"/>
      <c r="F159" s="76" t="inlineStr">
        <is>
          <t>(19, 6)</t>
        </is>
      </c>
    </row>
    <row r="160">
      <c r="A160" s="32" t="inlineStr">
        <is>
          <t>HP Up</t>
        </is>
      </c>
      <c r="B160" s="32" t="inlineStr">
        <is>
          <t>Item Ball</t>
        </is>
      </c>
      <c r="C160" s="32" t="inlineStr">
        <is>
          <t>Route 116</t>
        </is>
      </c>
      <c r="D160" s="32" t="inlineStr">
        <is>
          <t>Split 2</t>
        </is>
      </c>
      <c r="E160" s="32" t="n"/>
      <c r="F160" s="32" t="inlineStr">
        <is>
          <t>(80, 8)</t>
        </is>
      </c>
    </row>
    <row r="161">
      <c r="A161" s="76" t="inlineStr">
        <is>
          <t>Potion</t>
        </is>
      </c>
      <c r="B161" s="76" t="inlineStr">
        <is>
          <t>Item Ball</t>
        </is>
      </c>
      <c r="C161" s="76" t="inlineStr">
        <is>
          <t>Route 116</t>
        </is>
      </c>
      <c r="D161" s="76" t="inlineStr">
        <is>
          <t>Split 2</t>
        </is>
      </c>
      <c r="E161" s="76" t="n"/>
      <c r="F161" s="76" t="inlineStr">
        <is>
          <t>(34, 7)</t>
        </is>
      </c>
    </row>
    <row r="162">
      <c r="A162" s="32" t="inlineStr">
        <is>
          <t>Repel</t>
        </is>
      </c>
      <c r="B162" s="32" t="inlineStr">
        <is>
          <t>Item Ball</t>
        </is>
      </c>
      <c r="C162" s="32" t="inlineStr">
        <is>
          <t>Route 116</t>
        </is>
      </c>
      <c r="D162" s="32" t="inlineStr">
        <is>
          <t>Split 2</t>
        </is>
      </c>
      <c r="E162" s="32" t="n"/>
      <c r="F162" s="32" t="inlineStr">
        <is>
          <t>(10, 17)</t>
        </is>
      </c>
    </row>
    <row r="163">
      <c r="A163" s="76" t="inlineStr">
        <is>
          <t>Super Potion</t>
        </is>
      </c>
      <c r="B163" s="76" t="inlineStr">
        <is>
          <t>Hidden</t>
        </is>
      </c>
      <c r="C163" s="76" t="inlineStr">
        <is>
          <t>Route 116</t>
        </is>
      </c>
      <c r="D163" s="76" t="inlineStr">
        <is>
          <t>Split 2</t>
        </is>
      </c>
      <c r="E163" s="76" t="n"/>
      <c r="F163" s="76" t="inlineStr">
        <is>
          <t>(22, 9)</t>
        </is>
      </c>
    </row>
    <row r="164">
      <c r="A164" s="32" t="inlineStr">
        <is>
          <t>X Special</t>
        </is>
      </c>
      <c r="B164" s="32" t="inlineStr">
        <is>
          <t>Item Ball</t>
        </is>
      </c>
      <c r="C164" s="32" t="inlineStr">
        <is>
          <t>Route 116</t>
        </is>
      </c>
      <c r="D164" s="32" t="inlineStr">
        <is>
          <t>Split 2</t>
        </is>
      </c>
      <c r="E164" s="32" t="n"/>
      <c r="F164" s="32" t="inlineStr">
        <is>
          <t>(55, 12)</t>
        </is>
      </c>
    </row>
    <row r="165">
      <c r="A165" s="76" t="inlineStr">
        <is>
          <t>Great Ball</t>
        </is>
      </c>
      <c r="B165" s="76" t="inlineStr">
        <is>
          <t>Item Ball</t>
        </is>
      </c>
      <c r="C165" s="76" t="inlineStr">
        <is>
          <t>Route 117</t>
        </is>
      </c>
      <c r="D165" s="76" t="inlineStr">
        <is>
          <t>Split 4</t>
        </is>
      </c>
      <c r="E165" s="76" t="n"/>
      <c r="F165" s="76" t="inlineStr">
        <is>
          <t>(16, 18)</t>
        </is>
      </c>
    </row>
    <row r="166">
      <c r="A166" s="32" t="inlineStr">
        <is>
          <t>Repel</t>
        </is>
      </c>
      <c r="B166" s="32" t="inlineStr">
        <is>
          <t>Hidden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(3, 18)</t>
        </is>
      </c>
    </row>
    <row r="167">
      <c r="A167" s="76" t="inlineStr">
        <is>
          <t>Revive</t>
        </is>
      </c>
      <c r="B167" s="76" t="inlineStr">
        <is>
          <t>Item Ball</t>
        </is>
      </c>
      <c r="C167" s="76" t="inlineStr">
        <is>
          <t>Route 117</t>
        </is>
      </c>
      <c r="D167" s="76" t="inlineStr">
        <is>
          <t>Split 4</t>
        </is>
      </c>
      <c r="E167" s="76" t="n"/>
      <c r="F167" s="76" t="inlineStr">
        <is>
          <t>(9, 1)</t>
        </is>
      </c>
    </row>
    <row r="168">
      <c r="A168" s="32" t="inlineStr">
        <is>
          <t>Heart Scale</t>
        </is>
      </c>
      <c r="B168" s="32" t="inlineStr">
        <is>
          <t>Hidden</t>
        </is>
      </c>
      <c r="C168" s="32" t="inlineStr">
        <is>
          <t>Route 118</t>
        </is>
      </c>
      <c r="D168" s="32" t="inlineStr">
        <is>
          <t>Split 6</t>
        </is>
      </c>
      <c r="E168" s="32" t="n"/>
      <c r="F168" s="32" t="inlineStr">
        <is>
          <t>(12, 14)</t>
        </is>
      </c>
    </row>
    <row r="169">
      <c r="A169" s="76" t="inlineStr">
        <is>
          <t>Hyper Potion</t>
        </is>
      </c>
      <c r="B169" s="76" t="inlineStr">
        <is>
          <t>Item Ball</t>
        </is>
      </c>
      <c r="C169" s="76" t="inlineStr">
        <is>
          <t>Route 118</t>
        </is>
      </c>
      <c r="D169" s="76" t="inlineStr">
        <is>
          <t>Split 6</t>
        </is>
      </c>
      <c r="E169" s="76" t="n"/>
      <c r="F169" s="76" t="inlineStr">
        <is>
          <t>(69, 7)</t>
        </is>
      </c>
    </row>
    <row r="170">
      <c r="A170" s="32" t="inlineStr">
        <is>
          <t>Iron</t>
        </is>
      </c>
      <c r="B170" s="32" t="inlineStr">
        <is>
          <t>Hidden</t>
        </is>
      </c>
      <c r="C170" s="32" t="inlineStr">
        <is>
          <t>Route 118</t>
        </is>
      </c>
      <c r="D170" s="32" t="inlineStr">
        <is>
          <t>Split 6</t>
        </is>
      </c>
      <c r="E170" s="32" t="n"/>
      <c r="F170" s="32" t="inlineStr">
        <is>
          <t>(31, 13)</t>
        </is>
      </c>
    </row>
    <row r="171">
      <c r="A171" s="76" t="inlineStr">
        <is>
          <t>Calcium</t>
        </is>
      </c>
      <c r="B171" s="76" t="inlineStr">
        <is>
          <t>Hidden</t>
        </is>
      </c>
      <c r="C171" s="76" t="inlineStr">
        <is>
          <t>Route 119</t>
        </is>
      </c>
      <c r="D171" s="76" t="inlineStr">
        <is>
          <t>Split 6</t>
        </is>
      </c>
      <c r="E171" s="76" t="n"/>
      <c r="F171" s="76" t="inlineStr">
        <is>
          <t>(17, 82)</t>
        </is>
      </c>
    </row>
    <row r="172">
      <c r="A172" s="32" t="inlineStr">
        <is>
          <t>Elixir</t>
        </is>
      </c>
      <c r="B172" s="32" t="inlineStr">
        <is>
          <t>Item Ball</t>
        </is>
      </c>
      <c r="C172" s="32" t="inlineStr">
        <is>
          <t>Route 119</t>
        </is>
      </c>
      <c r="D172" s="32" t="inlineStr">
        <is>
          <t>Split 6</t>
        </is>
      </c>
      <c r="E172" s="32" t="n"/>
      <c r="F172" s="32" t="inlineStr">
        <is>
          <t>(29, 53)</t>
        </is>
      </c>
    </row>
    <row r="173">
      <c r="A173" s="76" t="inlineStr">
        <is>
          <t>Elixir</t>
        </is>
      </c>
      <c r="B173" s="76" t="inlineStr">
        <is>
          <t>Item Ball</t>
        </is>
      </c>
      <c r="C173" s="76" t="inlineStr">
        <is>
          <t>Route 119</t>
        </is>
      </c>
      <c r="D173" s="76" t="inlineStr">
        <is>
          <t>Split 6</t>
        </is>
      </c>
      <c r="E173" s="76" t="n"/>
      <c r="F173" s="76" t="inlineStr">
        <is>
          <t>(24, 42)</t>
        </is>
      </c>
    </row>
    <row r="174">
      <c r="A174" s="32" t="inlineStr">
        <is>
          <t>Full Heal</t>
        </is>
      </c>
      <c r="B174" s="32" t="inlineStr">
        <is>
          <t>Hidden</t>
        </is>
      </c>
      <c r="C174" s="32" t="inlineStr">
        <is>
          <t>Route 119</t>
        </is>
      </c>
      <c r="D174" s="32" t="inlineStr">
        <is>
          <t>Split 6</t>
        </is>
      </c>
      <c r="E174" s="32" t="n"/>
      <c r="F174" s="32" t="inlineStr">
        <is>
          <t>(26, 120)</t>
        </is>
      </c>
    </row>
    <row r="175">
      <c r="A175" s="76" t="inlineStr">
        <is>
          <t>Hyper Potion</t>
        </is>
      </c>
      <c r="B175" s="76" t="inlineStr">
        <is>
          <t>Item Ball</t>
        </is>
      </c>
      <c r="C175" s="76" t="inlineStr">
        <is>
          <t>Route 119</t>
        </is>
      </c>
      <c r="D175" s="76" t="inlineStr">
        <is>
          <t>Split 6</t>
        </is>
      </c>
      <c r="E175" s="76" t="n"/>
      <c r="F175" s="76" t="inlineStr">
        <is>
          <t>(33, 117)</t>
        </is>
      </c>
    </row>
    <row r="176">
      <c r="A176" s="32" t="inlineStr">
        <is>
          <t>Hyper Potion</t>
        </is>
      </c>
      <c r="B176" s="32" t="inlineStr">
        <is>
          <t>Item Ball</t>
        </is>
      </c>
      <c r="C176" s="32" t="inlineStr">
        <is>
          <t>Route 119</t>
        </is>
      </c>
      <c r="D176" s="32" t="inlineStr">
        <is>
          <t>Split 6</t>
        </is>
      </c>
      <c r="E176" s="32" t="n"/>
      <c r="F176" s="32" t="inlineStr">
        <is>
          <t>(3, 56)</t>
        </is>
      </c>
    </row>
    <row r="177">
      <c r="A177" s="76" t="inlineStr">
        <is>
          <t>Leaf Stone</t>
        </is>
      </c>
      <c r="B177" s="76" t="inlineStr">
        <is>
          <t>Item Ball</t>
        </is>
      </c>
      <c r="C177" s="76" t="inlineStr">
        <is>
          <t>Route 119</t>
        </is>
      </c>
      <c r="D177" s="76" t="inlineStr">
        <is>
          <t>Split 6</t>
        </is>
      </c>
      <c r="E177" s="76" t="n"/>
      <c r="F177" s="76" t="inlineStr">
        <is>
          <t>(25, 76)</t>
        </is>
      </c>
    </row>
    <row r="178">
      <c r="A178" s="32" t="inlineStr">
        <is>
          <t>Max Ether</t>
        </is>
      </c>
      <c r="B178" s="32" t="inlineStr">
        <is>
          <t>Hidden</t>
        </is>
      </c>
      <c r="C178" s="32" t="inlineStr">
        <is>
          <t>Route 119</t>
        </is>
      </c>
      <c r="D178" s="32" t="inlineStr">
        <is>
          <t>Split 6</t>
        </is>
      </c>
      <c r="E178" s="32" t="n"/>
      <c r="F178" s="32" t="inlineStr">
        <is>
          <t>(20, 29)</t>
        </is>
      </c>
    </row>
    <row r="179">
      <c r="A179" s="76" t="inlineStr">
        <is>
          <t>Nugget</t>
        </is>
      </c>
      <c r="B179" s="76" t="inlineStr">
        <is>
          <t>Item Ball</t>
        </is>
      </c>
      <c r="C179" s="76" t="inlineStr">
        <is>
          <t>Route 119</t>
        </is>
      </c>
      <c r="D179" s="76" t="inlineStr">
        <is>
          <t>Split 6</t>
        </is>
      </c>
      <c r="E179" s="76" t="n"/>
      <c r="F179" s="76" t="inlineStr">
        <is>
          <t>(19, 5)</t>
        </is>
      </c>
    </row>
    <row r="180">
      <c r="A180" s="32" t="inlineStr">
        <is>
          <t>Rare Candy</t>
        </is>
      </c>
      <c r="B180" s="32" t="inlineStr">
        <is>
          <t>Item Ball</t>
        </is>
      </c>
      <c r="C180" s="32" t="inlineStr">
        <is>
          <t>Route 119</t>
        </is>
      </c>
      <c r="D180" s="32" t="inlineStr">
        <is>
          <t>Split 6</t>
        </is>
      </c>
      <c r="E180" s="32" t="n"/>
      <c r="F180" s="32" t="inlineStr">
        <is>
          <t>(8, 18)</t>
        </is>
      </c>
    </row>
    <row r="181">
      <c r="A181" s="76" t="inlineStr">
        <is>
          <t>Super Repel</t>
        </is>
      </c>
      <c r="B181" s="76" t="inlineStr">
        <is>
          <t>Item Ball</t>
        </is>
      </c>
      <c r="C181" s="76" t="inlineStr">
        <is>
          <t>Route 119</t>
        </is>
      </c>
      <c r="D181" s="76" t="inlineStr">
        <is>
          <t>Split 6</t>
        </is>
      </c>
      <c r="E181" s="76" t="n"/>
      <c r="F181" s="76" t="inlineStr">
        <is>
          <t>(12, 121)</t>
        </is>
      </c>
    </row>
    <row r="182">
      <c r="A182" s="32" t="inlineStr">
        <is>
          <t>Ultra Ball</t>
        </is>
      </c>
      <c r="B182" s="32" t="inlineStr">
        <is>
          <t>Hidden</t>
        </is>
      </c>
      <c r="C182" s="32" t="inlineStr">
        <is>
          <t>Route 119</t>
        </is>
      </c>
      <c r="D182" s="32" t="inlineStr">
        <is>
          <t>Split 6</t>
        </is>
      </c>
      <c r="E182" s="32" t="n"/>
      <c r="F182" s="32" t="inlineStr">
        <is>
          <t>(38, 63)</t>
        </is>
      </c>
    </row>
    <row r="183">
      <c r="A183" s="76" t="inlineStr">
        <is>
          <t>Zinc</t>
        </is>
      </c>
      <c r="B183" s="76" t="inlineStr">
        <is>
          <t>Item Ball</t>
        </is>
      </c>
      <c r="C183" s="76" t="inlineStr">
        <is>
          <t>Route 119</t>
        </is>
      </c>
      <c r="D183" s="76" t="inlineStr">
        <is>
          <t>Split 6</t>
        </is>
      </c>
      <c r="E183" s="76" t="n"/>
      <c r="F183" s="76" t="inlineStr">
        <is>
          <t>(4, 96)</t>
        </is>
      </c>
    </row>
    <row r="184">
      <c r="A184" s="32" t="inlineStr">
        <is>
          <t>Full Heal</t>
        </is>
      </c>
      <c r="B184" s="32" t="inlineStr">
        <is>
          <t>Item Ball</t>
        </is>
      </c>
      <c r="C184" s="32" t="inlineStr">
        <is>
          <t>Route 120</t>
        </is>
      </c>
      <c r="D184" s="32" t="inlineStr">
        <is>
          <t>Split 7</t>
        </is>
      </c>
      <c r="E184" s="32" t="n"/>
      <c r="F184" s="32" t="inlineStr">
        <is>
          <t>(7, 89)</t>
        </is>
      </c>
    </row>
    <row r="185">
      <c r="A185" s="76" t="inlineStr">
        <is>
          <t>Hyper Potion</t>
        </is>
      </c>
      <c r="B185" s="76" t="inlineStr">
        <is>
          <t>Item Ball</t>
        </is>
      </c>
      <c r="C185" s="76" t="inlineStr">
        <is>
          <t>Route 120</t>
        </is>
      </c>
      <c r="D185" s="76" t="inlineStr">
        <is>
          <t>Split 7</t>
        </is>
      </c>
      <c r="E185" s="76" t="n"/>
      <c r="F185" s="76" t="inlineStr">
        <is>
          <t>(23, 82)</t>
        </is>
      </c>
    </row>
    <row r="186">
      <c r="A186" s="32" t="inlineStr">
        <is>
          <t>Nest Ball</t>
        </is>
      </c>
      <c r="B186" s="32" t="inlineStr">
        <is>
          <t>Item Ball</t>
        </is>
      </c>
      <c r="C186" s="32" t="inlineStr">
        <is>
          <t>Route 120</t>
        </is>
      </c>
      <c r="D186" s="32" t="inlineStr">
        <is>
          <t>Split 7</t>
        </is>
      </c>
      <c r="E186" s="32" t="n"/>
      <c r="F186" s="32" t="inlineStr">
        <is>
          <t>(22, 13)</t>
        </is>
      </c>
    </row>
    <row r="187">
      <c r="A187" s="76" t="inlineStr">
        <is>
          <t>Nugget</t>
        </is>
      </c>
      <c r="B187" s="76" t="inlineStr">
        <is>
          <t>Item Ball</t>
        </is>
      </c>
      <c r="C187" s="76" t="inlineStr">
        <is>
          <t>Route 120</t>
        </is>
      </c>
      <c r="D187" s="76" t="inlineStr">
        <is>
          <t>Split 7</t>
        </is>
      </c>
      <c r="E187" s="76" t="n"/>
      <c r="F187" s="76" t="inlineStr">
        <is>
          <t>(20, 55)</t>
        </is>
      </c>
    </row>
    <row r="188">
      <c r="A188" s="32" t="inlineStr">
        <is>
          <t>Rare Candy</t>
        </is>
      </c>
      <c r="B188" s="32" t="inlineStr">
        <is>
          <t>Hidden</t>
        </is>
      </c>
      <c r="C188" s="32" t="inlineStr">
        <is>
          <t>Route 120</t>
        </is>
      </c>
      <c r="D188" s="32" t="inlineStr">
        <is>
          <t>Split 7</t>
        </is>
      </c>
      <c r="E188" s="32" t="n"/>
      <c r="F188" s="32" t="inlineStr">
        <is>
          <t>(9, 1)</t>
        </is>
      </c>
    </row>
    <row r="189">
      <c r="A189" s="76" t="inlineStr">
        <is>
          <t>Rare Candy</t>
        </is>
      </c>
      <c r="B189" s="76" t="inlineStr">
        <is>
          <t>Hidden</t>
        </is>
      </c>
      <c r="C189" s="76" t="inlineStr">
        <is>
          <t>Route 120</t>
        </is>
      </c>
      <c r="D189" s="76" t="inlineStr">
        <is>
          <t>Split 7</t>
        </is>
      </c>
      <c r="E189" s="76" t="n"/>
      <c r="F189" s="76" t="inlineStr">
        <is>
          <t>(0, 86)</t>
        </is>
      </c>
    </row>
    <row r="190">
      <c r="A190" s="32" t="inlineStr">
        <is>
          <t>Revive</t>
        </is>
      </c>
      <c r="B190" s="32" t="inlineStr">
        <is>
          <t>Item Ball</t>
        </is>
      </c>
      <c r="C190" s="32" t="inlineStr">
        <is>
          <t>Route 120</t>
        </is>
      </c>
      <c r="D190" s="32" t="inlineStr">
        <is>
          <t>Split 7</t>
        </is>
      </c>
      <c r="E190" s="32" t="n"/>
      <c r="F190" s="32" t="inlineStr">
        <is>
          <t>(24, 33)</t>
        </is>
      </c>
    </row>
    <row r="191">
      <c r="A191" s="76" t="inlineStr">
        <is>
          <t>Revive</t>
        </is>
      </c>
      <c r="B191" s="76" t="inlineStr">
        <is>
          <t>Hidden</t>
        </is>
      </c>
      <c r="C191" s="76" t="inlineStr">
        <is>
          <t>Route 120</t>
        </is>
      </c>
      <c r="D191" s="76" t="inlineStr">
        <is>
          <t>Split 7</t>
        </is>
      </c>
      <c r="E191" s="76" t="n"/>
      <c r="F191" s="76" t="inlineStr">
        <is>
          <t>(31, 11)</t>
        </is>
      </c>
    </row>
    <row r="192">
      <c r="A192" s="32" t="inlineStr">
        <is>
          <t>Zinc</t>
        </is>
      </c>
      <c r="B192" s="32" t="inlineStr">
        <is>
          <t>Hidden</t>
        </is>
      </c>
      <c r="C192" s="32" t="inlineStr">
        <is>
          <t>Route 120</t>
        </is>
      </c>
      <c r="D192" s="32" t="inlineStr">
        <is>
          <t>Split 7</t>
        </is>
      </c>
      <c r="E192" s="32" t="n"/>
      <c r="F192" s="32" t="inlineStr">
        <is>
          <t>(24, 42)</t>
        </is>
      </c>
    </row>
    <row r="193">
      <c r="A193" s="76" t="inlineStr">
        <is>
          <t>Carbos</t>
        </is>
      </c>
      <c r="B193" s="76" t="inlineStr">
        <is>
          <t>Item Ball</t>
        </is>
      </c>
      <c r="C193" s="76" t="inlineStr">
        <is>
          <t>Route 121</t>
        </is>
      </c>
      <c r="D193" s="76" t="inlineStr">
        <is>
          <t>Split 7</t>
        </is>
      </c>
      <c r="E193" s="76" t="n"/>
      <c r="F193" s="76" t="inlineStr">
        <is>
          <t>(55, 10)</t>
        </is>
      </c>
    </row>
    <row r="194">
      <c r="A194" s="32" t="inlineStr">
        <is>
          <t>Full Heal</t>
        </is>
      </c>
      <c r="B194" s="32" t="inlineStr">
        <is>
          <t>Hidden</t>
        </is>
      </c>
      <c r="C194" s="32" t="inlineStr">
        <is>
          <t>Route 121</t>
        </is>
      </c>
      <c r="D194" s="32" t="inlineStr">
        <is>
          <t>Split 7</t>
        </is>
      </c>
      <c r="E194" s="32" t="n"/>
      <c r="F194" s="32" t="inlineStr">
        <is>
          <t>(72, 5)</t>
        </is>
      </c>
    </row>
    <row r="195">
      <c r="A195" s="76" t="inlineStr">
        <is>
          <t>HP Up</t>
        </is>
      </c>
      <c r="B195" s="76" t="inlineStr">
        <is>
          <t>Hidden</t>
        </is>
      </c>
      <c r="C195" s="76" t="inlineStr">
        <is>
          <t>Route 121</t>
        </is>
      </c>
      <c r="D195" s="76" t="inlineStr">
        <is>
          <t>Split 7</t>
        </is>
      </c>
      <c r="E195" s="76" t="n"/>
      <c r="F195" s="76" t="inlineStr">
        <is>
          <t>(23, 10)</t>
        </is>
      </c>
    </row>
    <row r="196">
      <c r="A196" s="32" t="inlineStr">
        <is>
          <t>Max Revive</t>
        </is>
      </c>
      <c r="B196" s="32" t="inlineStr">
        <is>
          <t>Hidden</t>
        </is>
      </c>
      <c r="C196" s="32" t="inlineStr">
        <is>
          <t>Route 121</t>
        </is>
      </c>
      <c r="D196" s="32" t="inlineStr">
        <is>
          <t>Split 7</t>
        </is>
      </c>
      <c r="E196" s="32" t="n"/>
      <c r="F196" s="32" t="inlineStr">
        <is>
          <t>(68, 8)</t>
        </is>
      </c>
    </row>
    <row r="197">
      <c r="A197" s="76" t="inlineStr">
        <is>
          <t>Nugget</t>
        </is>
      </c>
      <c r="B197" s="76" t="inlineStr">
        <is>
          <t>Hidden</t>
        </is>
      </c>
      <c r="C197" s="76" t="inlineStr">
        <is>
          <t>Route 121</t>
        </is>
      </c>
      <c r="D197" s="76" t="inlineStr">
        <is>
          <t>Split 7</t>
        </is>
      </c>
      <c r="E197" s="76" t="n"/>
      <c r="F197" s="76" t="inlineStr">
        <is>
          <t>(58, 3)</t>
        </is>
      </c>
    </row>
    <row r="198">
      <c r="A198" s="32" t="inlineStr">
        <is>
          <t>Revive</t>
        </is>
      </c>
      <c r="B198" s="32" t="inlineStr">
        <is>
          <t>Item Ball</t>
        </is>
      </c>
      <c r="C198" s="32" t="inlineStr">
        <is>
          <t>Route 121</t>
        </is>
      </c>
      <c r="D198" s="32" t="inlineStr">
        <is>
          <t>Split 7</t>
        </is>
      </c>
      <c r="E198" s="32" t="n"/>
      <c r="F198" s="32" t="inlineStr">
        <is>
          <t>(60, 10)</t>
        </is>
      </c>
    </row>
    <row r="199">
      <c r="A199" s="76" t="inlineStr">
        <is>
          <t>Zinc</t>
        </is>
      </c>
      <c r="B199" s="76" t="inlineStr">
        <is>
          <t>Item Ball</t>
        </is>
      </c>
      <c r="C199" s="76" t="inlineStr">
        <is>
          <t>Route 121</t>
        </is>
      </c>
      <c r="D199" s="76" t="inlineStr">
        <is>
          <t>Split 7</t>
        </is>
      </c>
      <c r="E199" s="76" t="n"/>
      <c r="F199" s="76" t="inlineStr">
        <is>
          <t>(38, 13)</t>
        </is>
      </c>
    </row>
    <row r="200">
      <c r="A200" s="32" t="inlineStr">
        <is>
          <t>Calcium</t>
        </is>
      </c>
      <c r="B200" s="32" t="inlineStr">
        <is>
          <t>Item Ball</t>
        </is>
      </c>
      <c r="C200" s="32" t="inlineStr">
        <is>
          <t>Route 123</t>
        </is>
      </c>
      <c r="D200" s="32" t="inlineStr">
        <is>
          <t>Split 7</t>
        </is>
      </c>
      <c r="E200" s="32" t="n"/>
      <c r="F200" s="32" t="inlineStr">
        <is>
          <t>(31, 8)</t>
        </is>
      </c>
    </row>
    <row r="201">
      <c r="A201" s="76" t="inlineStr">
        <is>
          <t>Elixir</t>
        </is>
      </c>
      <c r="B201" s="76" t="inlineStr">
        <is>
          <t>Item Ball</t>
        </is>
      </c>
      <c r="C201" s="76" t="inlineStr">
        <is>
          <t>Route 123</t>
        </is>
      </c>
      <c r="D201" s="76" t="inlineStr">
        <is>
          <t>Split 7</t>
        </is>
      </c>
      <c r="E201" s="76" t="n"/>
      <c r="F201" s="76" t="inlineStr">
        <is>
          <t>(75, 9)</t>
        </is>
      </c>
    </row>
    <row r="202">
      <c r="A202" s="32" t="inlineStr">
        <is>
          <t>Hyper Potion</t>
        </is>
      </c>
      <c r="B202" s="32" t="inlineStr">
        <is>
          <t>Hidden</t>
        </is>
      </c>
      <c r="C202" s="32" t="inlineStr">
        <is>
          <t>Route 123</t>
        </is>
      </c>
      <c r="D202" s="32" t="inlineStr">
        <is>
          <t>Split 7</t>
        </is>
      </c>
      <c r="E202" s="32" t="n"/>
      <c r="F202" s="32" t="inlineStr">
        <is>
          <t>(91, 15)</t>
        </is>
      </c>
    </row>
    <row r="203">
      <c r="A203" s="76" t="inlineStr">
        <is>
          <t>PP Up</t>
        </is>
      </c>
      <c r="B203" s="76" t="inlineStr">
        <is>
          <t>Item Ball</t>
        </is>
      </c>
      <c r="C203" s="76" t="inlineStr">
        <is>
          <t>Route 123</t>
        </is>
      </c>
      <c r="D203" s="76" t="inlineStr">
        <is>
          <t>Split 7</t>
        </is>
      </c>
      <c r="E203" s="76" t="n"/>
      <c r="F203" s="76" t="inlineStr">
        <is>
          <t>(43, 15)</t>
        </is>
      </c>
    </row>
    <row r="204">
      <c r="A204" s="32" t="inlineStr">
        <is>
          <t>PP Up</t>
        </is>
      </c>
      <c r="B204" s="32" t="inlineStr">
        <is>
          <t>Hidden</t>
        </is>
      </c>
      <c r="C204" s="32" t="inlineStr">
        <is>
          <t>Route 123</t>
        </is>
      </c>
      <c r="D204" s="32" t="inlineStr">
        <is>
          <t>Split 7</t>
        </is>
      </c>
      <c r="E204" s="32" t="n"/>
      <c r="F204" s="32" t="inlineStr">
        <is>
          <t>(139, 15)</t>
        </is>
      </c>
    </row>
    <row r="205">
      <c r="A205" s="76" t="inlineStr">
        <is>
          <t>Rare Candy</t>
        </is>
      </c>
      <c r="B205" s="76" t="inlineStr">
        <is>
          <t>Hidden</t>
        </is>
      </c>
      <c r="C205" s="76" t="inlineStr">
        <is>
          <t>Route 123</t>
        </is>
      </c>
      <c r="D205" s="76" t="inlineStr">
        <is>
          <t>Split 7</t>
        </is>
      </c>
      <c r="E205" s="76" t="n"/>
      <c r="F205" s="76" t="inlineStr">
        <is>
          <t>(138, 18)</t>
        </is>
      </c>
    </row>
    <row r="206">
      <c r="A206" s="32" t="inlineStr">
        <is>
          <t>Revival Herb</t>
        </is>
      </c>
      <c r="B206" s="32" t="inlineStr">
        <is>
          <t>Item Ball</t>
        </is>
      </c>
      <c r="C206" s="32" t="inlineStr">
        <is>
          <t>Route 123</t>
        </is>
      </c>
      <c r="D206" s="32" t="inlineStr">
        <is>
          <t>Split 7</t>
        </is>
      </c>
      <c r="E206" s="32" t="n"/>
      <c r="F206" s="32" t="inlineStr">
        <is>
          <t>(57, 16)</t>
        </is>
      </c>
    </row>
    <row r="207">
      <c r="A207" s="76" t="inlineStr">
        <is>
          <t>Revive</t>
        </is>
      </c>
      <c r="B207" s="76" t="inlineStr">
        <is>
          <t>Hidden</t>
        </is>
      </c>
      <c r="C207" s="76" t="inlineStr">
        <is>
          <t>Route 123</t>
        </is>
      </c>
      <c r="D207" s="76" t="inlineStr">
        <is>
          <t>Split 7</t>
        </is>
      </c>
      <c r="E207" s="76" t="n"/>
      <c r="F207" s="76" t="inlineStr">
        <is>
          <t>(12, 1)</t>
        </is>
      </c>
    </row>
    <row r="208">
      <c r="A208" s="32" t="inlineStr">
        <is>
          <t>Super Repel</t>
        </is>
      </c>
      <c r="B208" s="32" t="inlineStr">
        <is>
          <t>Hidden</t>
        </is>
      </c>
      <c r="C208" s="32" t="inlineStr">
        <is>
          <t>Route 123</t>
        </is>
      </c>
      <c r="D208" s="32" t="inlineStr">
        <is>
          <t>Split 7</t>
        </is>
      </c>
      <c r="E208" s="32" t="n"/>
      <c r="F208" s="32" t="inlineStr">
        <is>
          <t>(75, 1)</t>
        </is>
      </c>
    </row>
    <row r="209">
      <c r="A209" s="76" t="inlineStr">
        <is>
          <t>Ultra Ball</t>
        </is>
      </c>
      <c r="B209" s="76" t="inlineStr">
        <is>
          <t>Item Ball</t>
        </is>
      </c>
      <c r="C209" s="76" t="inlineStr">
        <is>
          <t>Route 123</t>
        </is>
      </c>
      <c r="D209" s="76" t="inlineStr">
        <is>
          <t>Split 7</t>
        </is>
      </c>
      <c r="E209" s="76" t="n"/>
      <c r="F209" s="76" t="inlineStr">
        <is>
          <t>(27, 18)</t>
        </is>
      </c>
    </row>
    <row r="210">
      <c r="A210" s="32" t="inlineStr">
        <is>
          <t>Blue Shard</t>
        </is>
      </c>
      <c r="B210" s="32" t="inlineStr">
        <is>
          <t>Item Ball</t>
        </is>
      </c>
      <c r="C210" s="32" t="inlineStr">
        <is>
          <t>Route 124</t>
        </is>
      </c>
      <c r="D210" s="32" t="inlineStr">
        <is>
          <t>Split 7</t>
        </is>
      </c>
      <c r="E210" s="32" t="n"/>
      <c r="F210" s="32" t="inlineStr">
        <is>
          <t>(31, 53)</t>
        </is>
      </c>
    </row>
    <row r="211">
      <c r="A211" s="76" t="inlineStr">
        <is>
          <t>Red Shard</t>
        </is>
      </c>
      <c r="B211" s="76" t="inlineStr">
        <is>
          <t>Item Ball</t>
        </is>
      </c>
      <c r="C211" s="76" t="inlineStr">
        <is>
          <t>Route 124</t>
        </is>
      </c>
      <c r="D211" s="76" t="inlineStr">
        <is>
          <t>Split 7</t>
        </is>
      </c>
      <c r="E211" s="76" t="n"/>
      <c r="F211" s="76" t="inlineStr">
        <is>
          <t>(28, 12)</t>
        </is>
      </c>
    </row>
    <row r="212">
      <c r="A212" s="32" t="inlineStr">
        <is>
          <t>Yellow Shard</t>
        </is>
      </c>
      <c r="B212" s="32" t="inlineStr">
        <is>
          <t>Item Ball</t>
        </is>
      </c>
      <c r="C212" s="32" t="inlineStr">
        <is>
          <t>Route 124</t>
        </is>
      </c>
      <c r="D212" s="32" t="inlineStr">
        <is>
          <t>Split 7</t>
        </is>
      </c>
      <c r="E212" s="32" t="n"/>
      <c r="F212" s="32" t="inlineStr">
        <is>
          <t>(58, 11)</t>
        </is>
      </c>
    </row>
    <row r="213">
      <c r="A213" s="76" t="inlineStr">
        <is>
          <t>Big Pearl</t>
        </is>
      </c>
      <c r="B213" s="76" t="inlineStr">
        <is>
          <t>Item Ball</t>
        </is>
      </c>
      <c r="C213" s="76" t="inlineStr">
        <is>
          <t>Route 125</t>
        </is>
      </c>
      <c r="D213" s="76" t="inlineStr">
        <is>
          <t>Split 8</t>
        </is>
      </c>
      <c r="E213" s="76" t="n"/>
      <c r="F213" s="76" t="inlineStr">
        <is>
          <t>(46, 17)</t>
        </is>
      </c>
    </row>
    <row r="214">
      <c r="A214" s="32" t="inlineStr">
        <is>
          <t>Green Shard</t>
        </is>
      </c>
      <c r="B214" s="32" t="inlineStr">
        <is>
          <t>Item Ball</t>
        </is>
      </c>
      <c r="C214" s="32" t="inlineStr">
        <is>
          <t>Route 126</t>
        </is>
      </c>
      <c r="D214" s="32" t="inlineStr">
        <is>
          <t>Split 8</t>
        </is>
      </c>
      <c r="E214" s="32" t="n"/>
      <c r="F214" s="32" t="inlineStr">
        <is>
          <t>(14, 1)</t>
        </is>
      </c>
    </row>
    <row r="215">
      <c r="A215" s="76" t="inlineStr">
        <is>
          <t>Carbos</t>
        </is>
      </c>
      <c r="B215" s="76" t="inlineStr">
        <is>
          <t>Item Ball</t>
        </is>
      </c>
      <c r="C215" s="76" t="inlineStr">
        <is>
          <t>Route 127</t>
        </is>
      </c>
      <c r="D215" s="76" t="inlineStr">
        <is>
          <t>Split 8</t>
        </is>
      </c>
      <c r="E215" s="76" t="n"/>
      <c r="F215" s="76" t="inlineStr">
        <is>
          <t>(64, 39)</t>
        </is>
      </c>
    </row>
    <row r="216">
      <c r="A216" s="32" t="inlineStr">
        <is>
          <t>Rare Candy</t>
        </is>
      </c>
      <c r="B216" s="32" t="inlineStr">
        <is>
          <t>Item Ball</t>
        </is>
      </c>
      <c r="C216" s="32" t="inlineStr">
        <is>
          <t>Route 127</t>
        </is>
      </c>
      <c r="D216" s="32" t="inlineStr">
        <is>
          <t>Split 8</t>
        </is>
      </c>
      <c r="E216" s="32" t="n"/>
      <c r="F216" s="32" t="inlineStr">
        <is>
          <t>(13, 20)</t>
        </is>
      </c>
    </row>
    <row r="217">
      <c r="A217" s="76" t="inlineStr">
        <is>
          <t>Zinc</t>
        </is>
      </c>
      <c r="B217" s="76" t="inlineStr">
        <is>
          <t>Item Ball</t>
        </is>
      </c>
      <c r="C217" s="76" t="inlineStr">
        <is>
          <t>Route 127</t>
        </is>
      </c>
      <c r="D217" s="76" t="inlineStr">
        <is>
          <t>Split 8</t>
        </is>
      </c>
      <c r="E217" s="76" t="n"/>
      <c r="F217" s="76" t="inlineStr">
        <is>
          <t>(14, 6)</t>
        </is>
      </c>
    </row>
    <row r="218">
      <c r="A218" s="32" t="inlineStr">
        <is>
          <t>Heart Scale</t>
        </is>
      </c>
      <c r="B218" s="32" t="inlineStr">
        <is>
          <t>Hidden</t>
        </is>
      </c>
      <c r="C218" s="32" t="inlineStr">
        <is>
          <t>Route 128</t>
        </is>
      </c>
      <c r="D218" s="32" t="inlineStr">
        <is>
          <t>Split 8</t>
        </is>
      </c>
      <c r="E218" s="32" t="n"/>
      <c r="F218" s="32" t="inlineStr">
        <is>
          <t>(49, 9)</t>
        </is>
      </c>
    </row>
    <row r="219">
      <c r="A219" s="76" t="inlineStr">
        <is>
          <t>Heart Scale</t>
        </is>
      </c>
      <c r="B219" s="76" t="inlineStr">
        <is>
          <t>Hidden</t>
        </is>
      </c>
      <c r="C219" s="76" t="inlineStr">
        <is>
          <t>Route 128</t>
        </is>
      </c>
      <c r="D219" s="76" t="inlineStr">
        <is>
          <t>Split 8</t>
        </is>
      </c>
      <c r="E219" s="76" t="n"/>
      <c r="F219" s="76" t="inlineStr">
        <is>
          <t>(57, 21)</t>
        </is>
      </c>
    </row>
    <row r="220">
      <c r="A220" s="32" t="inlineStr">
        <is>
          <t>Heart Scale</t>
        </is>
      </c>
      <c r="B220" s="32" t="inlineStr">
        <is>
          <t>Hidden</t>
        </is>
      </c>
      <c r="C220" s="32" t="inlineStr">
        <is>
          <t>Route 128</t>
        </is>
      </c>
      <c r="D220" s="32" t="inlineStr">
        <is>
          <t>Split 8</t>
        </is>
      </c>
      <c r="E220" s="32" t="n"/>
      <c r="F220" s="32" t="inlineStr">
        <is>
          <t>(31, 33)</t>
        </is>
      </c>
    </row>
    <row r="221">
      <c r="A221" s="76" t="inlineStr">
        <is>
          <t>Protein</t>
        </is>
      </c>
      <c r="B221" s="76" t="inlineStr">
        <is>
          <t>Item Ball</t>
        </is>
      </c>
      <c r="C221" s="76" t="inlineStr">
        <is>
          <t>Route 132</t>
        </is>
      </c>
      <c r="D221" s="76" t="inlineStr">
        <is>
          <t>Unassigned</t>
        </is>
      </c>
      <c r="E221" s="76" t="n"/>
      <c r="F221" s="76" t="inlineStr">
        <is>
          <t>(20, 27)</t>
        </is>
      </c>
    </row>
    <row r="222">
      <c r="A222" s="32" t="inlineStr">
        <is>
          <t>Rare Candy</t>
        </is>
      </c>
      <c r="B222" s="32" t="inlineStr">
        <is>
          <t>Item Ball</t>
        </is>
      </c>
      <c r="C222" s="32" t="inlineStr">
        <is>
          <t>Route 132</t>
        </is>
      </c>
      <c r="D222" s="32" t="inlineStr">
        <is>
          <t>Unassigned</t>
        </is>
      </c>
      <c r="E222" s="32" t="n"/>
      <c r="F222" s="32" t="inlineStr">
        <is>
          <t>(10, 11)</t>
        </is>
      </c>
    </row>
    <row r="223">
      <c r="A223" s="76" t="inlineStr">
        <is>
          <t>Big Pearl</t>
        </is>
      </c>
      <c r="B223" s="76" t="inlineStr">
        <is>
          <t>Item Ball</t>
        </is>
      </c>
      <c r="C223" s="76" t="inlineStr">
        <is>
          <t>Route 133</t>
        </is>
      </c>
      <c r="D223" s="76" t="inlineStr">
        <is>
          <t>Unassigned</t>
        </is>
      </c>
      <c r="E223" s="76" t="n"/>
      <c r="F223" s="76" t="inlineStr">
        <is>
          <t>(53, 12)</t>
        </is>
      </c>
    </row>
    <row r="224">
      <c r="A224" s="32" t="inlineStr">
        <is>
          <t>Max Revive</t>
        </is>
      </c>
      <c r="B224" s="32" t="inlineStr">
        <is>
          <t>Item Ball</t>
        </is>
      </c>
      <c r="C224" s="32" t="inlineStr">
        <is>
          <t>Route 133</t>
        </is>
      </c>
      <c r="D224" s="32" t="inlineStr">
        <is>
          <t>Unassigned</t>
        </is>
      </c>
      <c r="E224" s="32" t="n"/>
      <c r="F224" s="32" t="inlineStr">
        <is>
          <t>(48, 28)</t>
        </is>
      </c>
    </row>
    <row r="225">
      <c r="A225" s="76" t="inlineStr">
        <is>
          <t>Star Piece</t>
        </is>
      </c>
      <c r="B225" s="76" t="inlineStr">
        <is>
          <t>Item Ball</t>
        </is>
      </c>
      <c r="C225" s="76" t="inlineStr">
        <is>
          <t>Route 133</t>
        </is>
      </c>
      <c r="D225" s="76" t="inlineStr">
        <is>
          <t>Unassigned</t>
        </is>
      </c>
      <c r="E225" s="76" t="n"/>
      <c r="F225" s="76" t="inlineStr">
        <is>
          <t>(8, 10)</t>
        </is>
      </c>
    </row>
    <row r="226">
      <c r="A226" s="32" t="inlineStr">
        <is>
          <t>Carbos</t>
        </is>
      </c>
      <c r="B226" s="32" t="inlineStr">
        <is>
          <t>Item Ball</t>
        </is>
      </c>
      <c r="C226" s="32" t="inlineStr">
        <is>
          <t>Route 134</t>
        </is>
      </c>
      <c r="D226" s="32" t="inlineStr">
        <is>
          <t>Unassigned</t>
        </is>
      </c>
      <c r="E226" s="32" t="n"/>
      <c r="F226" s="32" t="inlineStr">
        <is>
          <t>(50, 17)</t>
        </is>
      </c>
    </row>
    <row r="227">
      <c r="A227" s="76" t="inlineStr">
        <is>
          <t>Star Piece</t>
        </is>
      </c>
      <c r="B227" s="76" t="inlineStr">
        <is>
          <t>Item Ball</t>
        </is>
      </c>
      <c r="C227" s="76" t="inlineStr">
        <is>
          <t>Route 134</t>
        </is>
      </c>
      <c r="D227" s="76" t="inlineStr">
        <is>
          <t>Unassigned</t>
        </is>
      </c>
      <c r="E227" s="76" t="n"/>
      <c r="F227" s="76" t="inlineStr">
        <is>
          <t>(22, 27)</t>
        </is>
      </c>
    </row>
    <row r="228">
      <c r="A228" s="32" t="inlineStr">
        <is>
          <t>Razor Claw</t>
        </is>
      </c>
      <c r="B228" s="32" t="inlineStr">
        <is>
          <t>Item Ball</t>
        </is>
      </c>
      <c r="C228" s="32" t="inlineStr">
        <is>
          <t>Rustboro City</t>
        </is>
      </c>
      <c r="D228" s="32" t="inlineStr">
        <is>
          <t>Split 2</t>
        </is>
      </c>
      <c r="E228" s="32" t="n"/>
      <c r="F228" s="32" t="inlineStr">
        <is>
          <t>(36, 51)</t>
        </is>
      </c>
    </row>
    <row r="229">
      <c r="A229" s="76" t="inlineStr">
        <is>
          <t>Max Ether</t>
        </is>
      </c>
      <c r="B229" s="76" t="inlineStr">
        <is>
          <t>Item Ball</t>
        </is>
      </c>
      <c r="C229" s="76" t="inlineStr">
        <is>
          <t>Rusturf Tunnel</t>
        </is>
      </c>
      <c r="D229" s="76" t="inlineStr">
        <is>
          <t>Split 2</t>
        </is>
      </c>
      <c r="E229" s="76" t="n"/>
      <c r="F229" s="76" t="inlineStr">
        <is>
          <t>(30, 2)</t>
        </is>
      </c>
    </row>
    <row r="230">
      <c r="A230" s="32" t="inlineStr">
        <is>
          <t>Poké Ball</t>
        </is>
      </c>
      <c r="B230" s="32" t="inlineStr">
        <is>
          <t>Item Ball</t>
        </is>
      </c>
      <c r="C230" s="32" t="inlineStr">
        <is>
          <t>Rusturf Tunnel</t>
        </is>
      </c>
      <c r="D230" s="32" t="inlineStr">
        <is>
          <t>Split 2</t>
        </is>
      </c>
      <c r="E230" s="32" t="n"/>
      <c r="F230" s="32" t="inlineStr">
        <is>
          <t>(3, 1)</t>
        </is>
      </c>
    </row>
    <row r="231">
      <c r="A231" s="76" t="inlineStr">
        <is>
          <t>Leftovers</t>
        </is>
      </c>
      <c r="B231" s="76" t="inlineStr">
        <is>
          <t>Hidden</t>
        </is>
      </c>
      <c r="C231" s="76" t="inlineStr">
        <is>
          <t>S.S. Tidal Lower Deck</t>
        </is>
      </c>
      <c r="D231" s="76" t="inlineStr">
        <is>
          <t>Postgame</t>
        </is>
      </c>
      <c r="E231" s="76" t="n"/>
      <c r="F231" s="76" t="inlineStr">
        <is>
          <t>(0, 2)</t>
        </is>
      </c>
    </row>
    <row r="232">
      <c r="A232" s="32" t="inlineStr">
        <is>
          <t>Calcium</t>
        </is>
      </c>
      <c r="B232" s="32" t="inlineStr">
        <is>
          <t>Item Ball</t>
        </is>
      </c>
      <c r="C232" s="32" t="inlineStr">
        <is>
          <t>Safari Zone - North</t>
        </is>
      </c>
      <c r="D232" s="32" t="inlineStr">
        <is>
          <t>Postgame</t>
        </is>
      </c>
      <c r="E232" s="32" t="n"/>
      <c r="F232" s="32" t="inlineStr">
        <is>
          <t>(7, 6)</t>
        </is>
      </c>
    </row>
    <row r="233">
      <c r="A233" s="76" t="inlineStr">
        <is>
          <t>Nugget</t>
        </is>
      </c>
      <c r="B233" s="76" t="inlineStr">
        <is>
          <t>Item Ball</t>
        </is>
      </c>
      <c r="C233" s="76" t="inlineStr">
        <is>
          <t>Safari Zone - Northeast</t>
        </is>
      </c>
      <c r="D233" s="76" t="inlineStr">
        <is>
          <t>Postgame</t>
        </is>
      </c>
      <c r="E233" s="76" t="n"/>
      <c r="F233" s="76" t="inlineStr">
        <is>
          <t>(8, 17)</t>
        </is>
      </c>
    </row>
    <row r="234">
      <c r="A234" s="32" t="inlineStr">
        <is>
          <t>Rare Candy</t>
        </is>
      </c>
      <c r="B234" s="32" t="inlineStr">
        <is>
          <t>Hidden</t>
        </is>
      </c>
      <c r="C234" s="32" t="inlineStr">
        <is>
          <t>Safari Zone - Northeast</t>
        </is>
      </c>
      <c r="D234" s="32" t="inlineStr">
        <is>
          <t>Postgame</t>
        </is>
      </c>
      <c r="E234" s="32" t="n"/>
      <c r="F234" s="32" t="inlineStr">
        <is>
          <t>(31, 35)</t>
        </is>
      </c>
    </row>
    <row r="235">
      <c r="A235" s="76" t="inlineStr">
        <is>
          <t>Zinc</t>
        </is>
      </c>
      <c r="B235" s="76" t="inlineStr">
        <is>
          <t>Hidden</t>
        </is>
      </c>
      <c r="C235" s="76" t="inlineStr">
        <is>
          <t>Safari Zone - Northeast</t>
        </is>
      </c>
      <c r="D235" s="76" t="inlineStr">
        <is>
          <t>Postgame</t>
        </is>
      </c>
      <c r="E235" s="76" t="n"/>
      <c r="F235" s="76" t="inlineStr">
        <is>
          <t>(21, 5)</t>
        </is>
      </c>
    </row>
    <row r="236">
      <c r="A236" s="32" t="inlineStr">
        <is>
          <t>Big Pearl</t>
        </is>
      </c>
      <c r="B236" s="32" t="inlineStr">
        <is>
          <t>Item Ball</t>
        </is>
      </c>
      <c r="C236" s="32" t="inlineStr">
        <is>
          <t>Safari Zone - Southeast</t>
        </is>
      </c>
      <c r="D236" s="32" t="inlineStr">
        <is>
          <t>Postgame</t>
        </is>
      </c>
      <c r="E236" s="32" t="n"/>
      <c r="F236" s="32" t="inlineStr">
        <is>
          <t>(31, 15)</t>
        </is>
      </c>
    </row>
    <row r="237">
      <c r="A237" s="76" t="inlineStr">
        <is>
          <t>Full Restore</t>
        </is>
      </c>
      <c r="B237" s="76" t="inlineStr">
        <is>
          <t>Hidden</t>
        </is>
      </c>
      <c r="C237" s="76" t="inlineStr">
        <is>
          <t>Safari Zone - Southeast</t>
        </is>
      </c>
      <c r="D237" s="76" t="inlineStr">
        <is>
          <t>Postgame</t>
        </is>
      </c>
      <c r="E237" s="76" t="n"/>
      <c r="F237" s="76" t="inlineStr">
        <is>
          <t>(32, 33)</t>
        </is>
      </c>
    </row>
    <row r="238">
      <c r="A238" s="32" t="inlineStr">
        <is>
          <t>PP Up</t>
        </is>
      </c>
      <c r="B238" s="32" t="inlineStr">
        <is>
          <t>Hidden</t>
        </is>
      </c>
      <c r="C238" s="32" t="inlineStr">
        <is>
          <t>Safari Zone - Southeast</t>
        </is>
      </c>
      <c r="D238" s="32" t="inlineStr">
        <is>
          <t>Postgame</t>
        </is>
      </c>
      <c r="E238" s="32" t="n"/>
      <c r="F238" s="32" t="inlineStr">
        <is>
          <t>(19, 36)</t>
        </is>
      </c>
    </row>
    <row r="239">
      <c r="A239" s="76" t="inlineStr">
        <is>
          <t>Max Revive</t>
        </is>
      </c>
      <c r="B239" s="76" t="inlineStr">
        <is>
          <t>Item Ball</t>
        </is>
      </c>
      <c r="C239" s="76" t="inlineStr">
        <is>
          <t>Safari Zone - Southwest</t>
        </is>
      </c>
      <c r="D239" s="76" t="inlineStr">
        <is>
          <t>Postgame</t>
        </is>
      </c>
      <c r="E239" s="76" t="n"/>
      <c r="F239" s="76" t="inlineStr">
        <is>
          <t>(0, 37)</t>
        </is>
      </c>
    </row>
    <row r="240">
      <c r="A240" s="32" t="inlineStr">
        <is>
          <t>Big Pearl</t>
        </is>
      </c>
      <c r="B240" s="32" t="inlineStr">
        <is>
          <t>Item Ball</t>
        </is>
      </c>
      <c r="C240" s="32" t="inlineStr">
        <is>
          <t>Shoal Cave - Low Tide Entrance Room</t>
        </is>
      </c>
      <c r="D240" s="32" t="inlineStr">
        <is>
          <t>Split 7</t>
        </is>
      </c>
      <c r="E240" s="32" t="n"/>
      <c r="F240" s="32" t="inlineStr">
        <is>
          <t>(30, 3)</t>
        </is>
      </c>
    </row>
    <row r="241">
      <c r="A241" s="76" t="inlineStr">
        <is>
          <t>Never-Melt Ice</t>
        </is>
      </c>
      <c r="B241" s="76" t="inlineStr">
        <is>
          <t>Item Ball</t>
        </is>
      </c>
      <c r="C241" s="76" t="inlineStr">
        <is>
          <t>Shoal Cave - Low Tide Ice Room</t>
        </is>
      </c>
      <c r="D241" s="76" t="inlineStr">
        <is>
          <t>Split 7</t>
        </is>
      </c>
      <c r="E241" s="76" t="n"/>
      <c r="F241" s="76" t="inlineStr">
        <is>
          <t>(12, 21)</t>
        </is>
      </c>
    </row>
    <row r="242">
      <c r="A242" s="32" t="inlineStr">
        <is>
          <t>Rare Candy</t>
        </is>
      </c>
      <c r="B242" s="32" t="inlineStr">
        <is>
          <t>Item Ball</t>
        </is>
      </c>
      <c r="C242" s="32" t="inlineStr">
        <is>
          <t>Shoal Cave - Low Tide Inner Room</t>
        </is>
      </c>
      <c r="D242" s="32" t="inlineStr">
        <is>
          <t>Split 7</t>
        </is>
      </c>
      <c r="E242" s="32" t="n"/>
      <c r="F242" s="32" t="inlineStr">
        <is>
          <t>(26, 14)</t>
        </is>
      </c>
    </row>
    <row r="243">
      <c r="A243" s="76" t="inlineStr">
        <is>
          <t>Ice Heal</t>
        </is>
      </c>
      <c r="B243" s="76" t="inlineStr">
        <is>
          <t>Item Ball</t>
        </is>
      </c>
      <c r="C243" s="76" t="inlineStr">
        <is>
          <t>Shoal Cave - Low Tide Stairs Room</t>
        </is>
      </c>
      <c r="D243" s="76" t="inlineStr">
        <is>
          <t>Split 7</t>
        </is>
      </c>
      <c r="E243" s="76" t="n"/>
      <c r="F243" s="76" t="inlineStr">
        <is>
          <t>(13, 12)</t>
        </is>
      </c>
    </row>
    <row r="244">
      <c r="A244" s="32" t="inlineStr">
        <is>
          <t>Big Pearl</t>
        </is>
      </c>
      <c r="B244" s="32" t="inlineStr">
        <is>
          <t>Hidden</t>
        </is>
      </c>
      <c r="C244" s="32" t="inlineStr">
        <is>
          <t>Underwater - Route 124</t>
        </is>
      </c>
      <c r="D244" s="32" t="inlineStr">
        <is>
          <t>Unassigned</t>
        </is>
      </c>
      <c r="E244" s="32" t="n"/>
      <c r="F244" s="32" t="inlineStr">
        <is>
          <t>(64, 54)</t>
        </is>
      </c>
    </row>
    <row r="245">
      <c r="A245" s="76" t="inlineStr">
        <is>
          <t>Calcium</t>
        </is>
      </c>
      <c r="B245" s="76" t="inlineStr">
        <is>
          <t>Hidden</t>
        </is>
      </c>
      <c r="C245" s="76" t="inlineStr">
        <is>
          <t>Underwater - Route 124</t>
        </is>
      </c>
      <c r="D245" s="76" t="inlineStr">
        <is>
          <t>Unassigned</t>
        </is>
      </c>
      <c r="E245" s="76" t="n"/>
      <c r="F245" s="76" t="inlineStr">
        <is>
          <t>(42, 5)</t>
        </is>
      </c>
    </row>
    <row r="246">
      <c r="A246" s="32" t="inlineStr">
        <is>
          <t>Carbos</t>
        </is>
      </c>
      <c r="B246" s="32" t="inlineStr">
        <is>
          <t>Hidden</t>
        </is>
      </c>
      <c r="C246" s="32" t="inlineStr">
        <is>
          <t>Underwater - Route 124</t>
        </is>
      </c>
      <c r="D246" s="32" t="inlineStr">
        <is>
          <t>Unassigned</t>
        </is>
      </c>
      <c r="E246" s="32" t="n"/>
      <c r="F246" s="32" t="inlineStr">
        <is>
          <t>(42, 51)</t>
        </is>
      </c>
    </row>
    <row r="247">
      <c r="A247" s="76" t="inlineStr">
        <is>
          <t>Green Shard</t>
        </is>
      </c>
      <c r="B247" s="76" t="inlineStr">
        <is>
          <t>Hidden</t>
        </is>
      </c>
      <c r="C247" s="76" t="inlineStr">
        <is>
          <t>Underwater - Route 124</t>
        </is>
      </c>
      <c r="D247" s="76" t="inlineStr">
        <is>
          <t>Unassigned</t>
        </is>
      </c>
      <c r="E247" s="76" t="n"/>
      <c r="F247" s="76" t="inlineStr">
        <is>
          <t>(14, 40)</t>
        </is>
      </c>
    </row>
    <row r="248">
      <c r="A248" s="32" t="inlineStr">
        <is>
          <t>Heart Scale</t>
        </is>
      </c>
      <c r="B248" s="32" t="inlineStr">
        <is>
          <t>Hidden</t>
        </is>
      </c>
      <c r="C248" s="32" t="inlineStr">
        <is>
          <t>Underwater - Route 124</t>
        </is>
      </c>
      <c r="D248" s="32" t="inlineStr">
        <is>
          <t>Unassigned</t>
        </is>
      </c>
      <c r="E248" s="32" t="n"/>
      <c r="F248" s="32" t="inlineStr">
        <is>
          <t>(70, 64)</t>
        </is>
      </c>
    </row>
    <row r="249">
      <c r="A249" s="76" t="inlineStr">
        <is>
          <t>Heart Scale</t>
        </is>
      </c>
      <c r="B249" s="76" t="inlineStr">
        <is>
          <t>Hidden</t>
        </is>
      </c>
      <c r="C249" s="76" t="inlineStr">
        <is>
          <t>Underwater - Route 124</t>
        </is>
      </c>
      <c r="D249" s="76" t="inlineStr">
        <is>
          <t>Unassigned</t>
        </is>
      </c>
      <c r="E249" s="76" t="n"/>
      <c r="F249" s="76" t="inlineStr">
        <is>
          <t>(45, 36)</t>
        </is>
      </c>
    </row>
    <row r="250">
      <c r="A250" s="32" t="inlineStr">
        <is>
          <t>Pearl</t>
        </is>
      </c>
      <c r="B250" s="32" t="inlineStr">
        <is>
          <t>Hidden</t>
        </is>
      </c>
      <c r="C250" s="32" t="inlineStr">
        <is>
          <t>Underwater - Route 124</t>
        </is>
      </c>
      <c r="D250" s="32" t="inlineStr">
        <is>
          <t>Unassigned</t>
        </is>
      </c>
      <c r="E250" s="32" t="n"/>
      <c r="F250" s="32" t="inlineStr">
        <is>
          <t>(66, 34)</t>
        </is>
      </c>
    </row>
    <row r="251">
      <c r="A251" s="76" t="inlineStr">
        <is>
          <t>Big Pearl</t>
        </is>
      </c>
      <c r="B251" s="76" t="inlineStr">
        <is>
          <t>Hidden</t>
        </is>
      </c>
      <c r="C251" s="76" t="inlineStr">
        <is>
          <t>Underwater - Route 126</t>
        </is>
      </c>
      <c r="D251" s="76" t="inlineStr">
        <is>
          <t>Unassigned</t>
        </is>
      </c>
      <c r="E251" s="76" t="n"/>
      <c r="F251" s="76" t="inlineStr">
        <is>
          <t>(65, 60)</t>
        </is>
      </c>
    </row>
    <row r="252">
      <c r="A252" s="32" t="inlineStr">
        <is>
          <t>Blue Shard</t>
        </is>
      </c>
      <c r="B252" s="32" t="inlineStr">
        <is>
          <t>Hidden</t>
        </is>
      </c>
      <c r="C252" s="32" t="inlineStr">
        <is>
          <t>Underwater - Route 126</t>
        </is>
      </c>
      <c r="D252" s="32" t="inlineStr">
        <is>
          <t>Unassigned</t>
        </is>
      </c>
      <c r="E252" s="32" t="n"/>
      <c r="F252" s="32" t="inlineStr">
        <is>
          <t>(9, 77)</t>
        </is>
      </c>
    </row>
    <row r="253">
      <c r="A253" s="76" t="inlineStr">
        <is>
          <t>Heart Scale</t>
        </is>
      </c>
      <c r="B253" s="76" t="inlineStr">
        <is>
          <t>Hidden</t>
        </is>
      </c>
      <c r="C253" s="76" t="inlineStr">
        <is>
          <t>Underwater - Route 126</t>
        </is>
      </c>
      <c r="D253" s="76" t="inlineStr">
        <is>
          <t>Unassigned</t>
        </is>
      </c>
      <c r="E253" s="76" t="n"/>
      <c r="F253" s="76" t="inlineStr">
        <is>
          <t>(30, 17)</t>
        </is>
      </c>
    </row>
    <row r="254">
      <c r="A254" s="32" t="inlineStr">
        <is>
          <t>Iron</t>
        </is>
      </c>
      <c r="B254" s="32" t="inlineStr">
        <is>
          <t>Hidden</t>
        </is>
      </c>
      <c r="C254" s="32" t="inlineStr">
        <is>
          <t>Underwater - Route 126</t>
        </is>
      </c>
      <c r="D254" s="32" t="inlineStr">
        <is>
          <t>Unassigned</t>
        </is>
      </c>
      <c r="E254" s="32" t="n"/>
      <c r="F254" s="32" t="inlineStr">
        <is>
          <t>(11, 39)</t>
        </is>
      </c>
    </row>
    <row r="255">
      <c r="A255" s="76" t="inlineStr">
        <is>
          <t>Pearl</t>
        </is>
      </c>
      <c r="B255" s="76" t="inlineStr">
        <is>
          <t>Hidden</t>
        </is>
      </c>
      <c r="C255" s="76" t="inlineStr">
        <is>
          <t>Underwater - Route 126</t>
        </is>
      </c>
      <c r="D255" s="76" t="inlineStr">
        <is>
          <t>Unassigned</t>
        </is>
      </c>
      <c r="E255" s="76" t="n"/>
      <c r="F255" s="76" t="inlineStr">
        <is>
          <t>(10, 36)</t>
        </is>
      </c>
    </row>
    <row r="256">
      <c r="A256" s="32" t="inlineStr">
        <is>
          <t>Stardust</t>
        </is>
      </c>
      <c r="B256" s="32" t="inlineStr">
        <is>
          <t>Hidden</t>
        </is>
      </c>
      <c r="C256" s="32" t="inlineStr">
        <is>
          <t>Underwater - Route 126</t>
        </is>
      </c>
      <c r="D256" s="32" t="inlineStr">
        <is>
          <t>Unassigned</t>
        </is>
      </c>
      <c r="E256" s="32" t="n"/>
      <c r="F256" s="32" t="inlineStr">
        <is>
          <t>(63, 19)</t>
        </is>
      </c>
    </row>
    <row r="257">
      <c r="A257" s="76" t="inlineStr">
        <is>
          <t>Ultra Ball</t>
        </is>
      </c>
      <c r="B257" s="76" t="inlineStr">
        <is>
          <t>Hidden</t>
        </is>
      </c>
      <c r="C257" s="76" t="inlineStr">
        <is>
          <t>Underwater - Route 126</t>
        </is>
      </c>
      <c r="D257" s="76" t="inlineStr">
        <is>
          <t>Unassigned</t>
        </is>
      </c>
      <c r="E257" s="76" t="n"/>
      <c r="F257" s="76" t="inlineStr">
        <is>
          <t>(41, 19)</t>
        </is>
      </c>
    </row>
    <row r="258">
      <c r="A258" s="32" t="inlineStr">
        <is>
          <t>Yellow Shard</t>
        </is>
      </c>
      <c r="B258" s="32" t="inlineStr">
        <is>
          <t>Hidden</t>
        </is>
      </c>
      <c r="C258" s="32" t="inlineStr">
        <is>
          <t>Underwater - Route 126</t>
        </is>
      </c>
      <c r="D258" s="32" t="inlineStr">
        <is>
          <t>Unassigned</t>
        </is>
      </c>
      <c r="E258" s="32" t="n"/>
      <c r="F258" s="32" t="inlineStr">
        <is>
          <t>(12, 35)</t>
        </is>
      </c>
    </row>
    <row r="259">
      <c r="A259" s="76" t="inlineStr">
        <is>
          <t>Heart Scale</t>
        </is>
      </c>
      <c r="B259" s="76" t="inlineStr">
        <is>
          <t>Hidden</t>
        </is>
      </c>
      <c r="C259" s="76" t="inlineStr">
        <is>
          <t>Underwater - Route 127</t>
        </is>
      </c>
      <c r="D259" s="76" t="inlineStr">
        <is>
          <t>Unassigned</t>
        </is>
      </c>
      <c r="E259" s="76" t="n"/>
      <c r="F259" s="76" t="inlineStr">
        <is>
          <t>(34, 72)</t>
        </is>
      </c>
    </row>
    <row r="260">
      <c r="A260" s="32" t="inlineStr">
        <is>
          <t>HP Up</t>
        </is>
      </c>
      <c r="B260" s="32" t="inlineStr">
        <is>
          <t>Hidden</t>
        </is>
      </c>
      <c r="C260" s="32" t="inlineStr">
        <is>
          <t>Underwater - Route 127</t>
        </is>
      </c>
      <c r="D260" s="32" t="inlineStr">
        <is>
          <t>Unassigned</t>
        </is>
      </c>
      <c r="E260" s="32" t="n"/>
      <c r="F260" s="32" t="inlineStr">
        <is>
          <t>(50, 36)</t>
        </is>
      </c>
    </row>
    <row r="261">
      <c r="A261" s="76" t="inlineStr">
        <is>
          <t>Red Shard</t>
        </is>
      </c>
      <c r="B261" s="76" t="inlineStr">
        <is>
          <t>Hidden</t>
        </is>
      </c>
      <c r="C261" s="76" t="inlineStr">
        <is>
          <t>Underwater - Route 127</t>
        </is>
      </c>
      <c r="D261" s="76" t="inlineStr">
        <is>
          <t>Unassigned</t>
        </is>
      </c>
      <c r="E261" s="76" t="n"/>
      <c r="F261" s="76" t="inlineStr">
        <is>
          <t>(72, 20)</t>
        </is>
      </c>
    </row>
    <row r="262">
      <c r="A262" s="32" t="inlineStr">
        <is>
          <t>Star Piece</t>
        </is>
      </c>
      <c r="B262" s="32" t="inlineStr">
        <is>
          <t>Hidden</t>
        </is>
      </c>
      <c r="C262" s="32" t="inlineStr">
        <is>
          <t>Underwater - Route 127</t>
        </is>
      </c>
      <c r="D262" s="32" t="inlineStr">
        <is>
          <t>Unassigned</t>
        </is>
      </c>
      <c r="E262" s="32" t="n"/>
      <c r="F262" s="32" t="inlineStr">
        <is>
          <t>(12, 42)</t>
        </is>
      </c>
    </row>
    <row r="263">
      <c r="A263" s="76" t="inlineStr">
        <is>
          <t>Pearl</t>
        </is>
      </c>
      <c r="B263" s="76" t="inlineStr">
        <is>
          <t>Hidden</t>
        </is>
      </c>
      <c r="C263" s="76" t="inlineStr">
        <is>
          <t>Underwater - Route 128</t>
        </is>
      </c>
      <c r="D263" s="76" t="inlineStr">
        <is>
          <t>Unassigned</t>
        </is>
      </c>
      <c r="E263" s="76" t="n"/>
      <c r="F263" s="76" t="inlineStr">
        <is>
          <t>(69, 18)</t>
        </is>
      </c>
    </row>
    <row r="264">
      <c r="A264" s="32" t="inlineStr">
        <is>
          <t>Protein</t>
        </is>
      </c>
      <c r="B264" s="32" t="inlineStr">
        <is>
          <t>Hidden</t>
        </is>
      </c>
      <c r="C264" s="32" t="inlineStr">
        <is>
          <t>Underwater - Route 128</t>
        </is>
      </c>
      <c r="D264" s="32" t="inlineStr">
        <is>
          <t>Unassigned</t>
        </is>
      </c>
      <c r="E264" s="32" t="n"/>
      <c r="F264" s="32" t="inlineStr">
        <is>
          <t>(38, 19)</t>
        </is>
      </c>
    </row>
    <row r="265">
      <c r="A265" s="76" t="inlineStr">
        <is>
          <t>Max Elixir</t>
        </is>
      </c>
      <c r="B265" s="76" t="inlineStr">
        <is>
          <t>Item Ball</t>
        </is>
      </c>
      <c r="C265" s="76" t="inlineStr">
        <is>
          <t>Victory Road - 1F</t>
        </is>
      </c>
      <c r="D265" s="76" t="inlineStr">
        <is>
          <t>Elite Four &amp; Champion</t>
        </is>
      </c>
      <c r="E265" s="76" t="n"/>
      <c r="F265" s="76" t="inlineStr">
        <is>
          <t>(40, 26)</t>
        </is>
      </c>
    </row>
    <row r="266">
      <c r="A266" s="32" t="inlineStr">
        <is>
          <t>PP Up</t>
        </is>
      </c>
      <c r="B266" s="32" t="inlineStr">
        <is>
          <t>Item Ball</t>
        </is>
      </c>
      <c r="C266" s="32" t="inlineStr">
        <is>
          <t>Victory Road - 1F</t>
        </is>
      </c>
      <c r="D266" s="32" t="inlineStr">
        <is>
          <t>Elite Four &amp; Champion</t>
        </is>
      </c>
      <c r="E266" s="32" t="n"/>
      <c r="F266" s="32" t="inlineStr">
        <is>
          <t>(37, 39)</t>
        </is>
      </c>
    </row>
    <row r="267">
      <c r="A267" s="76" t="inlineStr">
        <is>
          <t>Ultra Ball</t>
        </is>
      </c>
      <c r="B267" s="76" t="inlineStr">
        <is>
          <t>Hidden</t>
        </is>
      </c>
      <c r="C267" s="76" t="inlineStr">
        <is>
          <t>Victory Road - 1F</t>
        </is>
      </c>
      <c r="D267" s="76" t="inlineStr">
        <is>
          <t>Elite Four &amp; Champion</t>
        </is>
      </c>
      <c r="E267" s="76" t="n"/>
      <c r="F267" s="76" t="inlineStr">
        <is>
          <t>(30, 39)</t>
        </is>
      </c>
    </row>
    <row r="268">
      <c r="A268" s="32" t="inlineStr">
        <is>
          <t>Full Restore</t>
        </is>
      </c>
      <c r="B268" s="32" t="inlineStr">
        <is>
          <t>Item Ball</t>
        </is>
      </c>
      <c r="C268" s="32" t="inlineStr">
        <is>
          <t>Victory Road - B1F</t>
        </is>
      </c>
      <c r="D268" s="32" t="inlineStr">
        <is>
          <t>Elite Four &amp; Champion</t>
        </is>
      </c>
      <c r="E268" s="32" t="n"/>
      <c r="F268" s="32" t="inlineStr">
        <is>
          <t>(32, 3)</t>
        </is>
      </c>
    </row>
    <row r="269">
      <c r="A269" s="76" t="inlineStr">
        <is>
          <t>Elixir</t>
        </is>
      </c>
      <c r="B269" s="76" t="inlineStr">
        <is>
          <t>Hidden</t>
        </is>
      </c>
      <c r="C269" s="76" t="inlineStr">
        <is>
          <t>Victory Road - B2F</t>
        </is>
      </c>
      <c r="D269" s="76" t="inlineStr">
        <is>
          <t>Elite Four &amp; Champion</t>
        </is>
      </c>
      <c r="E269" s="76" t="n"/>
      <c r="F269" s="76" t="inlineStr">
        <is>
          <t>(28, 5)</t>
        </is>
      </c>
    </row>
    <row r="270">
      <c r="A270" s="32" t="inlineStr">
        <is>
          <t>Full Heal</t>
        </is>
      </c>
      <c r="B270" s="32" t="inlineStr">
        <is>
          <t>Item Ball</t>
        </is>
      </c>
      <c r="C270" s="32" t="inlineStr">
        <is>
          <t>Victory Road - B2F</t>
        </is>
      </c>
      <c r="D270" s="32" t="inlineStr">
        <is>
          <t>Elite Four &amp; Champion</t>
        </is>
      </c>
      <c r="E270" s="32" t="n"/>
      <c r="F270" s="32" t="inlineStr">
        <is>
          <t>(13, 8)</t>
        </is>
      </c>
    </row>
    <row r="271">
      <c r="A271" s="76" t="inlineStr">
        <is>
          <t>Max Repel</t>
        </is>
      </c>
      <c r="B271" s="76" t="inlineStr">
        <is>
          <t>Hidden</t>
        </is>
      </c>
      <c r="C271" s="76" t="inlineStr">
        <is>
          <t>Victory Road - B2F</t>
        </is>
      </c>
      <c r="D271" s="76" t="inlineStr">
        <is>
          <t>Elite Four &amp; Champion</t>
        </is>
      </c>
      <c r="E271" s="76" t="n"/>
      <c r="F271" s="76" t="inlineStr">
        <is>
          <t>(37, 1)</t>
        </is>
      </c>
    </row>
    <row r="272">
      <c r="A272" s="32" t="inlineStr">
        <is>
          <t>Full Heal</t>
        </is>
      </c>
      <c r="B272" s="32" t="inlineStr">
        <is>
          <t>Mart</t>
        </is>
      </c>
      <c r="C272" s="32" t="inlineStr">
        <is>
          <t>Battle Frontier - Mart</t>
        </is>
      </c>
      <c r="D272" s="32" t="inlineStr">
        <is>
          <t>Postgame</t>
        </is>
      </c>
      <c r="E272" s="32" t="n"/>
      <c r="F272" s="32" t="inlineStr">
        <is>
          <t>-</t>
        </is>
      </c>
    </row>
    <row r="273">
      <c r="A273" s="76" t="inlineStr">
        <is>
          <t>Full Restore</t>
        </is>
      </c>
      <c r="B273" s="76" t="inlineStr">
        <is>
          <t>Mart</t>
        </is>
      </c>
      <c r="C273" s="76" t="inlineStr">
        <is>
          <t>Battle Frontier - Mart</t>
        </is>
      </c>
      <c r="D273" s="76" t="inlineStr">
        <is>
          <t>Postgame</t>
        </is>
      </c>
      <c r="E273" s="76" t="n"/>
      <c r="F273" s="76" t="inlineStr">
        <is>
          <t>-</t>
        </is>
      </c>
    </row>
    <row r="274">
      <c r="A274" s="32" t="inlineStr">
        <is>
          <t>Hyper Potion</t>
        </is>
      </c>
      <c r="B274" s="32" t="inlineStr">
        <is>
          <t>Mart</t>
        </is>
      </c>
      <c r="C274" s="32" t="inlineStr">
        <is>
          <t>Battle Frontier - Mart</t>
        </is>
      </c>
      <c r="D274" s="32" t="inlineStr">
        <is>
          <t>Postgame</t>
        </is>
      </c>
      <c r="E274" s="32" t="n"/>
      <c r="F274" s="32" t="inlineStr">
        <is>
          <t>-</t>
        </is>
      </c>
    </row>
    <row r="275">
      <c r="A275" s="76" t="inlineStr">
        <is>
          <t>Max Potion</t>
        </is>
      </c>
      <c r="B275" s="76" t="inlineStr">
        <is>
          <t>Mart</t>
        </is>
      </c>
      <c r="C275" s="76" t="inlineStr">
        <is>
          <t>Battle Frontier - Mart</t>
        </is>
      </c>
      <c r="D275" s="76" t="inlineStr">
        <is>
          <t>Postgame</t>
        </is>
      </c>
      <c r="E275" s="76" t="n"/>
      <c r="F275" s="76" t="inlineStr">
        <is>
          <t>-</t>
        </is>
      </c>
    </row>
    <row r="276">
      <c r="A276" s="32" t="inlineStr">
        <is>
          <t>Max Repel</t>
        </is>
      </c>
      <c r="B276" s="32" t="inlineStr">
        <is>
          <t>Mart</t>
        </is>
      </c>
      <c r="C276" s="32" t="inlineStr">
        <is>
          <t>Battle Frontier - Mart</t>
        </is>
      </c>
      <c r="D276" s="32" t="inlineStr">
        <is>
          <t>Postgame</t>
        </is>
      </c>
      <c r="E276" s="32" t="n"/>
      <c r="F276" s="32" t="inlineStr">
        <is>
          <t>-</t>
        </is>
      </c>
    </row>
    <row r="277">
      <c r="A277" s="76" t="inlineStr">
        <is>
          <t>Rare Candy</t>
        </is>
      </c>
      <c r="B277" s="76" t="inlineStr">
        <is>
          <t>Mart</t>
        </is>
      </c>
      <c r="C277" s="76" t="inlineStr">
        <is>
          <t>Battle Frontier - Mart</t>
        </is>
      </c>
      <c r="D277" s="76" t="inlineStr">
        <is>
          <t>Postgame</t>
        </is>
      </c>
      <c r="E277" s="76" t="n"/>
      <c r="F277" s="76" t="inlineStr">
        <is>
          <t>-</t>
        </is>
      </c>
    </row>
    <row r="278">
      <c r="A278" s="32" t="inlineStr">
        <is>
          <t>Revive</t>
        </is>
      </c>
      <c r="B278" s="32" t="inlineStr">
        <is>
          <t>Mart</t>
        </is>
      </c>
      <c r="C278" s="32" t="inlineStr">
        <is>
          <t>Battle Frontier - Mart</t>
        </is>
      </c>
      <c r="D278" s="32" t="inlineStr">
        <is>
          <t>Postgame</t>
        </is>
      </c>
      <c r="E278" s="32" t="n"/>
      <c r="F278" s="32" t="inlineStr">
        <is>
          <t>-</t>
        </is>
      </c>
    </row>
    <row r="279">
      <c r="A279" s="76" t="inlineStr">
        <is>
          <t>Ultra Ball</t>
        </is>
      </c>
      <c r="B279" s="76" t="inlineStr">
        <is>
          <t>Mart</t>
        </is>
      </c>
      <c r="C279" s="76" t="inlineStr">
        <is>
          <t>Battle Frontier - Mart</t>
        </is>
      </c>
      <c r="D279" s="76" t="inlineStr">
        <is>
          <t>Postgame</t>
        </is>
      </c>
      <c r="E279" s="76" t="n"/>
      <c r="F279" s="76" t="inlineStr">
        <is>
          <t>-</t>
        </is>
      </c>
    </row>
    <row r="280">
      <c r="A280" s="32" t="inlineStr">
        <is>
          <t>Full Heal</t>
        </is>
      </c>
      <c r="B280" s="32" t="inlineStr">
        <is>
          <t>Mart</t>
        </is>
      </c>
      <c r="C280" s="32" t="inlineStr">
        <is>
          <t>Ever Grande City - Pokemon League - 1F</t>
        </is>
      </c>
      <c r="D280" s="32" t="inlineStr">
        <is>
          <t>Elite Four &amp; Champion</t>
        </is>
      </c>
      <c r="E280" s="32" t="n"/>
      <c r="F280" s="32" t="inlineStr">
        <is>
          <t>-</t>
        </is>
      </c>
    </row>
    <row r="281">
      <c r="A281" s="76" t="inlineStr">
        <is>
          <t>Full Restore</t>
        </is>
      </c>
      <c r="B281" s="76" t="inlineStr">
        <is>
          <t>Mart</t>
        </is>
      </c>
      <c r="C281" s="76" t="inlineStr">
        <is>
          <t>Ever Grande City - Pokemon League - 1F</t>
        </is>
      </c>
      <c r="D281" s="76" t="inlineStr">
        <is>
          <t>Elite Four &amp; Champion</t>
        </is>
      </c>
      <c r="E281" s="76" t="n"/>
      <c r="F281" s="76" t="inlineStr">
        <is>
          <t>-</t>
        </is>
      </c>
    </row>
    <row r="282">
      <c r="A282" s="32" t="inlineStr">
        <is>
          <t>Hyper Potion</t>
        </is>
      </c>
      <c r="B282" s="32" t="inlineStr">
        <is>
          <t>Mart</t>
        </is>
      </c>
      <c r="C282" s="32" t="inlineStr">
        <is>
          <t>Ever Grande City - Pokemon League - 1F</t>
        </is>
      </c>
      <c r="D282" s="32" t="inlineStr">
        <is>
          <t>Elite Four &amp; Champion</t>
        </is>
      </c>
      <c r="E282" s="32" t="n"/>
      <c r="F282" s="32" t="inlineStr">
        <is>
          <t>-</t>
        </is>
      </c>
    </row>
    <row r="283">
      <c r="A283" s="76" t="inlineStr">
        <is>
          <t>Max Potion</t>
        </is>
      </c>
      <c r="B283" s="76" t="inlineStr">
        <is>
          <t>Mart</t>
        </is>
      </c>
      <c r="C283" s="76" t="inlineStr">
        <is>
          <t>Ever Grande City - Pokemon League - 1F</t>
        </is>
      </c>
      <c r="D283" s="76" t="inlineStr">
        <is>
          <t>Elite Four &amp; Champion</t>
        </is>
      </c>
      <c r="E283" s="76" t="n"/>
      <c r="F283" s="76" t="inlineStr">
        <is>
          <t>-</t>
        </is>
      </c>
    </row>
    <row r="284">
      <c r="A284" s="32" t="inlineStr">
        <is>
          <t>Max Repel</t>
        </is>
      </c>
      <c r="B284" s="32" t="inlineStr">
        <is>
          <t>Mart</t>
        </is>
      </c>
      <c r="C284" s="32" t="inlineStr">
        <is>
          <t>Ever Grande City - Pokemon League - 1F</t>
        </is>
      </c>
      <c r="D284" s="32" t="inlineStr">
        <is>
          <t>Elite Four &amp; Champion</t>
        </is>
      </c>
      <c r="E284" s="32" t="n"/>
      <c r="F284" s="32" t="inlineStr">
        <is>
          <t>-</t>
        </is>
      </c>
    </row>
    <row r="285">
      <c r="A285" s="76" t="inlineStr">
        <is>
          <t>Revive</t>
        </is>
      </c>
      <c r="B285" s="76" t="inlineStr">
        <is>
          <t>Mart</t>
        </is>
      </c>
      <c r="C285" s="76" t="inlineStr">
        <is>
          <t>Ever Grande City - Pokemon League - 1F</t>
        </is>
      </c>
      <c r="D285" s="76" t="inlineStr">
        <is>
          <t>Elite Four &amp; Champion</t>
        </is>
      </c>
      <c r="E285" s="76" t="n"/>
      <c r="F285" s="76" t="inlineStr">
        <is>
          <t>-</t>
        </is>
      </c>
    </row>
    <row r="286">
      <c r="A286" s="32" t="inlineStr">
        <is>
          <t>Ultra Ball</t>
        </is>
      </c>
      <c r="B286" s="32" t="inlineStr">
        <is>
          <t>Mart</t>
        </is>
      </c>
      <c r="C286" s="32" t="inlineStr">
        <is>
          <t>Ever Grande City - Pokemon League - 1F</t>
        </is>
      </c>
      <c r="D286" s="32" t="inlineStr">
        <is>
          <t>Elite Four &amp; Champion</t>
        </is>
      </c>
      <c r="E286" s="32" t="n"/>
      <c r="F286" s="32" t="inlineStr">
        <is>
          <t>-</t>
        </is>
      </c>
    </row>
    <row r="287">
      <c r="A287" s="76" t="inlineStr">
        <is>
          <t>Antidote</t>
        </is>
      </c>
      <c r="B287" s="76" t="inlineStr">
        <is>
          <t>Mart</t>
        </is>
      </c>
      <c r="C287" s="76" t="inlineStr">
        <is>
          <t>Fallarbor Town - Mart</t>
        </is>
      </c>
      <c r="D287" s="76" t="inlineStr">
        <is>
          <t>Split 5</t>
        </is>
      </c>
      <c r="E287" s="76" t="n"/>
      <c r="F287" s="76" t="inlineStr">
        <is>
          <t>-</t>
        </is>
      </c>
    </row>
    <row r="288">
      <c r="A288" s="32" t="inlineStr">
        <is>
          <t>Dire Hit</t>
        </is>
      </c>
      <c r="B288" s="32" t="inlineStr">
        <is>
          <t>Mart</t>
        </is>
      </c>
      <c r="C288" s="32" t="inlineStr">
        <is>
          <t>Fallarbor Town - Mart</t>
        </is>
      </c>
      <c r="D288" s="32" t="inlineStr">
        <is>
          <t>Split 5</t>
        </is>
      </c>
      <c r="E288" s="32" t="n"/>
      <c r="F288" s="32" t="inlineStr">
        <is>
          <t>-</t>
        </is>
      </c>
    </row>
    <row r="289">
      <c r="A289" s="76" t="inlineStr">
        <is>
          <t>Escape Rope</t>
        </is>
      </c>
      <c r="B289" s="76" t="inlineStr">
        <is>
          <t>Mart</t>
        </is>
      </c>
      <c r="C289" s="76" t="inlineStr">
        <is>
          <t>Fallarbor Town - Mart</t>
        </is>
      </c>
      <c r="D289" s="76" t="inlineStr">
        <is>
          <t>Split 5</t>
        </is>
      </c>
      <c r="E289" s="76" t="n"/>
      <c r="F289" s="76" t="inlineStr">
        <is>
          <t>-</t>
        </is>
      </c>
    </row>
    <row r="290">
      <c r="A290" s="32" t="inlineStr">
        <is>
          <t>Great Ball</t>
        </is>
      </c>
      <c r="B290" s="32" t="inlineStr">
        <is>
          <t>Mart</t>
        </is>
      </c>
      <c r="C290" s="32" t="inlineStr">
        <is>
          <t>Fallarbor Town - Mart</t>
        </is>
      </c>
      <c r="D290" s="32" t="inlineStr">
        <is>
          <t>Split 5</t>
        </is>
      </c>
      <c r="E290" s="32" t="n"/>
      <c r="F290" s="32" t="inlineStr">
        <is>
          <t>-</t>
        </is>
      </c>
    </row>
    <row r="291">
      <c r="A291" s="76" t="inlineStr">
        <is>
          <t>Guard Spec.</t>
        </is>
      </c>
      <c r="B291" s="76" t="inlineStr">
        <is>
          <t>Mart</t>
        </is>
      </c>
      <c r="C291" s="76" t="inlineStr">
        <is>
          <t>Fallarbor Town - Mart</t>
        </is>
      </c>
      <c r="D291" s="76" t="inlineStr">
        <is>
          <t>Split 5</t>
        </is>
      </c>
      <c r="E291" s="76" t="n"/>
      <c r="F291" s="76" t="inlineStr">
        <is>
          <t>-</t>
        </is>
      </c>
    </row>
    <row r="292">
      <c r="A292" s="32" t="inlineStr">
        <is>
          <t>Paralyze Heal</t>
        </is>
      </c>
      <c r="B292" s="32" t="inlineStr">
        <is>
          <t>Mart</t>
        </is>
      </c>
      <c r="C292" s="32" t="inlineStr">
        <is>
          <t>Fallarbor Town - Mart</t>
        </is>
      </c>
      <c r="D292" s="32" t="inlineStr">
        <is>
          <t>Split 5</t>
        </is>
      </c>
      <c r="E292" s="32" t="n"/>
      <c r="F292" s="32" t="inlineStr">
        <is>
          <t>-</t>
        </is>
      </c>
    </row>
    <row r="293">
      <c r="A293" s="76" t="inlineStr">
        <is>
          <t>Rare Candy</t>
        </is>
      </c>
      <c r="B293" s="76" t="inlineStr">
        <is>
          <t>Mart</t>
        </is>
      </c>
      <c r="C293" s="76" t="inlineStr">
        <is>
          <t>Fallarbor Town - Mart</t>
        </is>
      </c>
      <c r="D293" s="76" t="inlineStr">
        <is>
          <t>Split 5</t>
        </is>
      </c>
      <c r="E293" s="76" t="n"/>
      <c r="F293" s="76" t="inlineStr">
        <is>
          <t>-</t>
        </is>
      </c>
    </row>
    <row r="294">
      <c r="A294" s="32" t="inlineStr">
        <is>
          <t>Super Potion</t>
        </is>
      </c>
      <c r="B294" s="32" t="inlineStr">
        <is>
          <t>Mart</t>
        </is>
      </c>
      <c r="C294" s="32" t="inlineStr">
        <is>
          <t>Fallarbor Town - Mart</t>
        </is>
      </c>
      <c r="D294" s="32" t="inlineStr">
        <is>
          <t>Split 5</t>
        </is>
      </c>
      <c r="E294" s="32" t="n"/>
      <c r="F294" s="32" t="inlineStr">
        <is>
          <t>-</t>
        </is>
      </c>
    </row>
    <row r="295">
      <c r="A295" s="76" t="inlineStr">
        <is>
          <t>Super Repel</t>
        </is>
      </c>
      <c r="B295" s="76" t="inlineStr">
        <is>
          <t>Mart</t>
        </is>
      </c>
      <c r="C295" s="76" t="inlineStr">
        <is>
          <t>Fallarbor Town - Mart</t>
        </is>
      </c>
      <c r="D295" s="76" t="inlineStr">
        <is>
          <t>Split 5</t>
        </is>
      </c>
      <c r="E295" s="76" t="n"/>
      <c r="F295" s="76" t="inlineStr">
        <is>
          <t>-</t>
        </is>
      </c>
    </row>
    <row r="296">
      <c r="A296" s="32" t="inlineStr">
        <is>
          <t>X Attack</t>
        </is>
      </c>
      <c r="B296" s="32" t="inlineStr">
        <is>
          <t>Mart</t>
        </is>
      </c>
      <c r="C296" s="32" t="inlineStr">
        <is>
          <t>Fallarbor Town - Mart</t>
        </is>
      </c>
      <c r="D296" s="32" t="inlineStr">
        <is>
          <t>Split 5</t>
        </is>
      </c>
      <c r="E296" s="32" t="n"/>
      <c r="F296" s="32" t="inlineStr">
        <is>
          <t>-</t>
        </is>
      </c>
    </row>
    <row r="297">
      <c r="A297" s="76" t="inlineStr">
        <is>
          <t>X Defense</t>
        </is>
      </c>
      <c r="B297" s="76" t="inlineStr">
        <is>
          <t>Mart</t>
        </is>
      </c>
      <c r="C297" s="76" t="inlineStr">
        <is>
          <t>Fallarbor Town - Mart</t>
        </is>
      </c>
      <c r="D297" s="76" t="inlineStr">
        <is>
          <t>Split 5</t>
        </is>
      </c>
      <c r="E297" s="76" t="n"/>
      <c r="F297" s="76" t="inlineStr">
        <is>
          <t>-</t>
        </is>
      </c>
    </row>
    <row r="298">
      <c r="A298" s="32" t="inlineStr">
        <is>
          <t>X Speed</t>
        </is>
      </c>
      <c r="B298" s="32" t="inlineStr">
        <is>
          <t>Mart</t>
        </is>
      </c>
      <c r="C298" s="32" t="inlineStr">
        <is>
          <t>Fallarbor Town - Mart</t>
        </is>
      </c>
      <c r="D298" s="32" t="inlineStr">
        <is>
          <t>Split 5</t>
        </is>
      </c>
      <c r="E298" s="32" t="n"/>
      <c r="F298" s="32" t="inlineStr">
        <is>
          <t>-</t>
        </is>
      </c>
    </row>
    <row r="299">
      <c r="A299" s="76" t="inlineStr">
        <is>
          <t>X Sp. Atk</t>
        </is>
      </c>
      <c r="B299" s="76" t="inlineStr">
        <is>
          <t>Mart</t>
        </is>
      </c>
      <c r="C299" s="76" t="inlineStr">
        <is>
          <t>Fallarbor Town - Mart</t>
        </is>
      </c>
      <c r="D299" s="76" t="inlineStr">
        <is>
          <t>Split 5</t>
        </is>
      </c>
      <c r="E299" s="76" t="n"/>
      <c r="F299" s="76" t="inlineStr">
        <is>
          <t>-</t>
        </is>
      </c>
    </row>
    <row r="300">
      <c r="A300" s="32" t="inlineStr">
        <is>
          <t>Antidote</t>
        </is>
      </c>
      <c r="B300" s="32" t="inlineStr">
        <is>
          <t>Mart</t>
        </is>
      </c>
      <c r="C300" s="32" t="inlineStr">
        <is>
          <t>Fortree City - Mart</t>
        </is>
      </c>
      <c r="D300" s="32" t="inlineStr">
        <is>
          <t>Split 6</t>
        </is>
      </c>
      <c r="E300" s="32" t="n"/>
      <c r="F300" s="32" t="inlineStr">
        <is>
          <t>-</t>
        </is>
      </c>
    </row>
    <row r="301">
      <c r="A301" s="76" t="inlineStr">
        <is>
          <t>Awakening</t>
        </is>
      </c>
      <c r="B301" s="76" t="inlineStr">
        <is>
          <t>Mart</t>
        </is>
      </c>
      <c r="C301" s="76" t="inlineStr">
        <is>
          <t>Fortree City - Mart</t>
        </is>
      </c>
      <c r="D301" s="76" t="inlineStr">
        <is>
          <t>Split 6</t>
        </is>
      </c>
      <c r="E301" s="76" t="n"/>
      <c r="F301" s="76" t="inlineStr">
        <is>
          <t>-</t>
        </is>
      </c>
    </row>
    <row r="302">
      <c r="A302" s="32" t="inlineStr">
        <is>
          <t>Great Ball</t>
        </is>
      </c>
      <c r="B302" s="32" t="inlineStr">
        <is>
          <t>Mart</t>
        </is>
      </c>
      <c r="C302" s="32" t="inlineStr">
        <is>
          <t>Fortree City - Mart</t>
        </is>
      </c>
      <c r="D302" s="32" t="inlineStr">
        <is>
          <t>Split 6</t>
        </is>
      </c>
      <c r="E302" s="32" t="n"/>
      <c r="F302" s="32" t="inlineStr">
        <is>
          <t>-</t>
        </is>
      </c>
    </row>
    <row r="303">
      <c r="A303" s="76" t="inlineStr">
        <is>
          <t>Hyper Potion</t>
        </is>
      </c>
      <c r="B303" s="76" t="inlineStr">
        <is>
          <t>Mart</t>
        </is>
      </c>
      <c r="C303" s="76" t="inlineStr">
        <is>
          <t>Fortree City - Mart</t>
        </is>
      </c>
      <c r="D303" s="76" t="inlineStr">
        <is>
          <t>Split 6</t>
        </is>
      </c>
      <c r="E303" s="76" t="n"/>
      <c r="F303" s="76" t="inlineStr">
        <is>
          <t>-</t>
        </is>
      </c>
    </row>
    <row r="304">
      <c r="A304" s="32" t="inlineStr">
        <is>
          <t>Paralyze Heal</t>
        </is>
      </c>
      <c r="B304" s="32" t="inlineStr">
        <is>
          <t>Mart</t>
        </is>
      </c>
      <c r="C304" s="32" t="inlineStr">
        <is>
          <t>Fortree City - Mart</t>
        </is>
      </c>
      <c r="D304" s="32" t="inlineStr">
        <is>
          <t>Split 6</t>
        </is>
      </c>
      <c r="E304" s="32" t="n"/>
      <c r="F304" s="32" t="inlineStr">
        <is>
          <t>-</t>
        </is>
      </c>
    </row>
    <row r="305">
      <c r="A305" s="76" t="inlineStr">
        <is>
          <t>Rare Candy</t>
        </is>
      </c>
      <c r="B305" s="76" t="inlineStr">
        <is>
          <t>Mart</t>
        </is>
      </c>
      <c r="C305" s="76" t="inlineStr">
        <is>
          <t>Fortree City - Mart</t>
        </is>
      </c>
      <c r="D305" s="76" t="inlineStr">
        <is>
          <t>Split 6</t>
        </is>
      </c>
      <c r="E305" s="76" t="n"/>
      <c r="F305" s="76" t="inlineStr">
        <is>
          <t>-</t>
        </is>
      </c>
    </row>
    <row r="306">
      <c r="A306" s="32" t="inlineStr">
        <is>
          <t>Revive</t>
        </is>
      </c>
      <c r="B306" s="32" t="inlineStr">
        <is>
          <t>Mart</t>
        </is>
      </c>
      <c r="C306" s="32" t="inlineStr">
        <is>
          <t>Fortree City - Mart</t>
        </is>
      </c>
      <c r="D306" s="32" t="inlineStr">
        <is>
          <t>Split 6</t>
        </is>
      </c>
      <c r="E306" s="32" t="n"/>
      <c r="F306" s="32" t="inlineStr">
        <is>
          <t>-</t>
        </is>
      </c>
    </row>
    <row r="307">
      <c r="A307" s="76" t="inlineStr">
        <is>
          <t>Super Potion</t>
        </is>
      </c>
      <c r="B307" s="76" t="inlineStr">
        <is>
          <t>Mart</t>
        </is>
      </c>
      <c r="C307" s="76" t="inlineStr">
        <is>
          <t>Fortree City - Mart</t>
        </is>
      </c>
      <c r="D307" s="76" t="inlineStr">
        <is>
          <t>Split 6</t>
        </is>
      </c>
      <c r="E307" s="76" t="n"/>
      <c r="F307" s="76" t="inlineStr">
        <is>
          <t>-</t>
        </is>
      </c>
    </row>
    <row r="308">
      <c r="A308" s="32" t="inlineStr">
        <is>
          <t>Super Repel</t>
        </is>
      </c>
      <c r="B308" s="32" t="inlineStr">
        <is>
          <t>Mart</t>
        </is>
      </c>
      <c r="C308" s="32" t="inlineStr">
        <is>
          <t>Fortree City - Mart</t>
        </is>
      </c>
      <c r="D308" s="32" t="inlineStr">
        <is>
          <t>Split 6</t>
        </is>
      </c>
      <c r="E308" s="32" t="n"/>
      <c r="F308" s="32" t="inlineStr">
        <is>
          <t>-</t>
        </is>
      </c>
    </row>
    <row r="309">
      <c r="A309" s="76" t="inlineStr">
        <is>
          <t>Ultra Ball</t>
        </is>
      </c>
      <c r="B309" s="76" t="inlineStr">
        <is>
          <t>Mart</t>
        </is>
      </c>
      <c r="C309" s="76" t="inlineStr">
        <is>
          <t>Fortree City - Mart</t>
        </is>
      </c>
      <c r="D309" s="76" t="inlineStr">
        <is>
          <t>Split 6</t>
        </is>
      </c>
      <c r="E309" s="76" t="n"/>
      <c r="F309" s="76" t="inlineStr">
        <is>
          <t>-</t>
        </is>
      </c>
    </row>
    <row r="310">
      <c r="A310" s="32" t="inlineStr">
        <is>
          <t>Wood Mail</t>
        </is>
      </c>
      <c r="B310" s="32" t="inlineStr">
        <is>
          <t>Mart</t>
        </is>
      </c>
      <c r="C310" s="32" t="inlineStr">
        <is>
          <t>Fortree City - Mart</t>
        </is>
      </c>
      <c r="D310" s="32" t="inlineStr">
        <is>
          <t>Split 6</t>
        </is>
      </c>
      <c r="E310" s="32" t="n"/>
      <c r="F310" s="32" t="inlineStr">
        <is>
          <t>-</t>
        </is>
      </c>
    </row>
    <row r="311">
      <c r="A311" s="76" t="inlineStr">
        <is>
          <t>Energy Powder</t>
        </is>
      </c>
      <c r="B311" s="76" t="inlineStr">
        <is>
          <t>Mart</t>
        </is>
      </c>
      <c r="C311" s="76" t="inlineStr">
        <is>
          <t>Lavaridge Town - Herb Shop</t>
        </is>
      </c>
      <c r="D311" s="76" t="inlineStr">
        <is>
          <t>Split 5</t>
        </is>
      </c>
      <c r="E311" s="76" t="n"/>
      <c r="F311" s="76" t="inlineStr">
        <is>
          <t>-</t>
        </is>
      </c>
    </row>
    <row r="312">
      <c r="A312" s="32" t="inlineStr">
        <is>
          <t>Energy Root</t>
        </is>
      </c>
      <c r="B312" s="32" t="inlineStr">
        <is>
          <t>Mart</t>
        </is>
      </c>
      <c r="C312" s="32" t="inlineStr">
        <is>
          <t>Lavaridge Town - Herb Shop</t>
        </is>
      </c>
      <c r="D312" s="32" t="inlineStr">
        <is>
          <t>Split 5</t>
        </is>
      </c>
      <c r="E312" s="32" t="n"/>
      <c r="F312" s="32" t="inlineStr">
        <is>
          <t>-</t>
        </is>
      </c>
    </row>
    <row r="313">
      <c r="A313" s="76" t="inlineStr">
        <is>
          <t>Heal Powder</t>
        </is>
      </c>
      <c r="B313" s="76" t="inlineStr">
        <is>
          <t>Mart</t>
        </is>
      </c>
      <c r="C313" s="76" t="inlineStr">
        <is>
          <t>Lavaridge Town - Herb Shop</t>
        </is>
      </c>
      <c r="D313" s="76" t="inlineStr">
        <is>
          <t>Split 5</t>
        </is>
      </c>
      <c r="E313" s="76" t="n"/>
      <c r="F313" s="76" t="inlineStr">
        <is>
          <t>-</t>
        </is>
      </c>
    </row>
    <row r="314">
      <c r="A314" s="32" t="inlineStr">
        <is>
          <t>Revival Herb</t>
        </is>
      </c>
      <c r="B314" s="32" t="inlineStr">
        <is>
          <t>Mart</t>
        </is>
      </c>
      <c r="C314" s="32" t="inlineStr">
        <is>
          <t>Lavaridge Town - Herb Shop</t>
        </is>
      </c>
      <c r="D314" s="32" t="inlineStr">
        <is>
          <t>Split 5</t>
        </is>
      </c>
      <c r="E314" s="32" t="n"/>
      <c r="F314" s="32" t="inlineStr">
        <is>
          <t>-</t>
        </is>
      </c>
    </row>
    <row r="315">
      <c r="A315" s="76" t="inlineStr">
        <is>
          <t>Antidote</t>
        </is>
      </c>
      <c r="B315" s="76" t="inlineStr">
        <is>
          <t>Mart</t>
        </is>
      </c>
      <c r="C315" s="76" t="inlineStr">
        <is>
          <t>Lavaridge Town - Mart</t>
        </is>
      </c>
      <c r="D315" s="76" t="inlineStr">
        <is>
          <t>Split 5</t>
        </is>
      </c>
      <c r="E315" s="76" t="n"/>
      <c r="F315" s="76" t="inlineStr">
        <is>
          <t>-</t>
        </is>
      </c>
    </row>
    <row r="316">
      <c r="A316" s="32" t="inlineStr">
        <is>
          <t>Awakening</t>
        </is>
      </c>
      <c r="B316" s="32" t="inlineStr">
        <is>
          <t>Mart</t>
        </is>
      </c>
      <c r="C316" s="32" t="inlineStr">
        <is>
          <t>Lavaridge Town - Mart</t>
        </is>
      </c>
      <c r="D316" s="32" t="inlineStr">
        <is>
          <t>Split 5</t>
        </is>
      </c>
      <c r="E316" s="32" t="n"/>
      <c r="F316" s="32" t="inlineStr">
        <is>
          <t>-</t>
        </is>
      </c>
    </row>
    <row r="317">
      <c r="A317" s="76" t="inlineStr">
        <is>
          <t>Burn Heal</t>
        </is>
      </c>
      <c r="B317" s="76" t="inlineStr">
        <is>
          <t>Mart</t>
        </is>
      </c>
      <c r="C317" s="76" t="inlineStr">
        <is>
          <t>Lavaridge Town - Mart</t>
        </is>
      </c>
      <c r="D317" s="76" t="inlineStr">
        <is>
          <t>Split 5</t>
        </is>
      </c>
      <c r="E317" s="76" t="n"/>
      <c r="F317" s="76" t="inlineStr">
        <is>
          <t>-</t>
        </is>
      </c>
    </row>
    <row r="318">
      <c r="A318" s="32" t="inlineStr">
        <is>
          <t>Great Ball</t>
        </is>
      </c>
      <c r="B318" s="32" t="inlineStr">
        <is>
          <t>Mart</t>
        </is>
      </c>
      <c r="C318" s="32" t="inlineStr">
        <is>
          <t>Lavaridge Town - Mart</t>
        </is>
      </c>
      <c r="D318" s="32" t="inlineStr">
        <is>
          <t>Split 5</t>
        </is>
      </c>
      <c r="E318" s="32" t="n"/>
      <c r="F318" s="32" t="inlineStr">
        <is>
          <t>-</t>
        </is>
      </c>
    </row>
    <row r="319">
      <c r="A319" s="76" t="inlineStr">
        <is>
          <t>Paralyze Heal</t>
        </is>
      </c>
      <c r="B319" s="76" t="inlineStr">
        <is>
          <t>Mart</t>
        </is>
      </c>
      <c r="C319" s="76" t="inlineStr">
        <is>
          <t>Lavaridge Town - Mart</t>
        </is>
      </c>
      <c r="D319" s="76" t="inlineStr">
        <is>
          <t>Split 5</t>
        </is>
      </c>
      <c r="E319" s="76" t="n"/>
      <c r="F319" s="76" t="inlineStr">
        <is>
          <t>-</t>
        </is>
      </c>
    </row>
    <row r="320">
      <c r="A320" s="32" t="inlineStr">
        <is>
          <t>Rare Candy</t>
        </is>
      </c>
      <c r="B320" s="32" t="inlineStr">
        <is>
          <t>Mart</t>
        </is>
      </c>
      <c r="C320" s="32" t="inlineStr">
        <is>
          <t>Lavaridge Town - Mart</t>
        </is>
      </c>
      <c r="D320" s="32" t="inlineStr">
        <is>
          <t>Split 5</t>
        </is>
      </c>
      <c r="E320" s="32" t="n"/>
      <c r="F320" s="32" t="inlineStr">
        <is>
          <t>-</t>
        </is>
      </c>
    </row>
    <row r="321">
      <c r="A321" s="76" t="inlineStr">
        <is>
          <t>Revive</t>
        </is>
      </c>
      <c r="B321" s="76" t="inlineStr">
        <is>
          <t>Mart</t>
        </is>
      </c>
      <c r="C321" s="76" t="inlineStr">
        <is>
          <t>Lavaridge Town - Mart</t>
        </is>
      </c>
      <c r="D321" s="76" t="inlineStr">
        <is>
          <t>Split 5</t>
        </is>
      </c>
      <c r="E321" s="76" t="n"/>
      <c r="F321" s="76" t="inlineStr">
        <is>
          <t>-</t>
        </is>
      </c>
    </row>
    <row r="322">
      <c r="A322" s="32" t="inlineStr">
        <is>
          <t>Super Potion</t>
        </is>
      </c>
      <c r="B322" s="32" t="inlineStr">
        <is>
          <t>Mart</t>
        </is>
      </c>
      <c r="C322" s="32" t="inlineStr">
        <is>
          <t>Lavaridge Town - Mart</t>
        </is>
      </c>
      <c r="D322" s="32" t="inlineStr">
        <is>
          <t>Split 5</t>
        </is>
      </c>
      <c r="E322" s="32" t="n"/>
      <c r="F322" s="32" t="inlineStr">
        <is>
          <t>-</t>
        </is>
      </c>
    </row>
    <row r="323">
      <c r="A323" s="76" t="inlineStr">
        <is>
          <t>Super Repel</t>
        </is>
      </c>
      <c r="B323" s="76" t="inlineStr">
        <is>
          <t>Mart</t>
        </is>
      </c>
      <c r="C323" s="76" t="inlineStr">
        <is>
          <t>Lavaridge Town - Mart</t>
        </is>
      </c>
      <c r="D323" s="76" t="inlineStr">
        <is>
          <t>Split 5</t>
        </is>
      </c>
      <c r="E323" s="76" t="n"/>
      <c r="F323" s="76" t="inlineStr">
        <is>
          <t>-</t>
        </is>
      </c>
    </row>
    <row r="324">
      <c r="A324" s="32" t="inlineStr">
        <is>
          <t>X Speed</t>
        </is>
      </c>
      <c r="B324" s="32" t="inlineStr">
        <is>
          <t>Mart</t>
        </is>
      </c>
      <c r="C324" s="32" t="inlineStr">
        <is>
          <t>Lavaridge Town - Mart</t>
        </is>
      </c>
      <c r="D324" s="32" t="inlineStr">
        <is>
          <t>Split 5</t>
        </is>
      </c>
      <c r="E324" s="32" t="n"/>
      <c r="F324" s="32" t="inlineStr">
        <is>
          <t>-</t>
        </is>
      </c>
    </row>
    <row r="325">
      <c r="A325" s="76" t="inlineStr">
        <is>
          <t>Antidote</t>
        </is>
      </c>
      <c r="B325" s="76" t="inlineStr">
        <is>
          <t>Mart</t>
        </is>
      </c>
      <c r="C325" s="76" t="inlineStr">
        <is>
          <t>Lilycove City - Department Store - 2F</t>
        </is>
      </c>
      <c r="D325" s="76" t="inlineStr">
        <is>
          <t>Split 7</t>
        </is>
      </c>
      <c r="E325" s="76" t="n"/>
      <c r="F325" s="76" t="inlineStr">
        <is>
          <t>-</t>
        </is>
      </c>
    </row>
    <row r="326">
      <c r="A326" s="32" t="inlineStr">
        <is>
          <t>Awakening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6" t="inlineStr">
        <is>
          <t>Burn Heal</t>
        </is>
      </c>
      <c r="B327" s="76" t="inlineStr">
        <is>
          <t>Mart</t>
        </is>
      </c>
      <c r="C327" s="76" t="inlineStr">
        <is>
          <t>Lilycove City - Department Store - 2F</t>
        </is>
      </c>
      <c r="D327" s="76" t="inlineStr">
        <is>
          <t>Split 7</t>
        </is>
      </c>
      <c r="E327" s="76" t="n"/>
      <c r="F327" s="76" t="inlineStr">
        <is>
          <t>-</t>
        </is>
      </c>
    </row>
    <row r="328">
      <c r="A328" s="32" t="inlineStr">
        <is>
          <t>Escape Rope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6" t="inlineStr">
        <is>
          <t>Fluffy Tail</t>
        </is>
      </c>
      <c r="B329" s="76" t="inlineStr">
        <is>
          <t>Mart</t>
        </is>
      </c>
      <c r="C329" s="76" t="inlineStr">
        <is>
          <t>Lilycove City - Department Store - 2F</t>
        </is>
      </c>
      <c r="D329" s="76" t="inlineStr">
        <is>
          <t>Split 7</t>
        </is>
      </c>
      <c r="E329" s="76" t="n"/>
      <c r="F329" s="76" t="inlineStr">
        <is>
          <t>-</t>
        </is>
      </c>
    </row>
    <row r="330">
      <c r="A330" s="32" t="inlineStr">
        <is>
          <t>Full Heal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6" t="inlineStr">
        <is>
          <t>Great Ball</t>
        </is>
      </c>
      <c r="B331" s="76" t="inlineStr">
        <is>
          <t>Mart</t>
        </is>
      </c>
      <c r="C331" s="76" t="inlineStr">
        <is>
          <t>Lilycove City - Department Store - 2F</t>
        </is>
      </c>
      <c r="D331" s="76" t="inlineStr">
        <is>
          <t>Split 7</t>
        </is>
      </c>
      <c r="E331" s="76" t="n"/>
      <c r="F331" s="76" t="inlineStr">
        <is>
          <t>-</t>
        </is>
      </c>
    </row>
    <row r="332">
      <c r="A332" s="32" t="inlineStr">
        <is>
          <t>Hyper Potion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6" t="inlineStr">
        <is>
          <t>Ice Heal</t>
        </is>
      </c>
      <c r="B333" s="76" t="inlineStr">
        <is>
          <t>Mart</t>
        </is>
      </c>
      <c r="C333" s="76" t="inlineStr">
        <is>
          <t>Lilycove City - Department Store - 2F</t>
        </is>
      </c>
      <c r="D333" s="76" t="inlineStr">
        <is>
          <t>Split 7</t>
        </is>
      </c>
      <c r="E333" s="76" t="n"/>
      <c r="F333" s="76" t="inlineStr">
        <is>
          <t>-</t>
        </is>
      </c>
    </row>
    <row r="334">
      <c r="A334" s="32" t="inlineStr">
        <is>
          <t>Max Potion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6" t="inlineStr">
        <is>
          <t>Max Repel</t>
        </is>
      </c>
      <c r="B335" s="76" t="inlineStr">
        <is>
          <t>Mart</t>
        </is>
      </c>
      <c r="C335" s="76" t="inlineStr">
        <is>
          <t>Lilycove City - Department Store - 2F</t>
        </is>
      </c>
      <c r="D335" s="76" t="inlineStr">
        <is>
          <t>Split 7</t>
        </is>
      </c>
      <c r="E335" s="76" t="n"/>
      <c r="F335" s="76" t="inlineStr">
        <is>
          <t>-</t>
        </is>
      </c>
    </row>
    <row r="336">
      <c r="A336" s="32" t="inlineStr">
        <is>
          <t>Mech Mail</t>
        </is>
      </c>
      <c r="B336" s="32" t="inlineStr">
        <is>
          <t>Mart</t>
        </is>
      </c>
      <c r="C336" s="32" t="inlineStr">
        <is>
          <t>Lilycove City - Department Store - 2F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6" t="inlineStr">
        <is>
          <t>Paralyze Heal</t>
        </is>
      </c>
      <c r="B337" s="76" t="inlineStr">
        <is>
          <t>Mart</t>
        </is>
      </c>
      <c r="C337" s="76" t="inlineStr">
        <is>
          <t>Lilycove City - Department Store - 2F</t>
        </is>
      </c>
      <c r="D337" s="76" t="inlineStr">
        <is>
          <t>Split 7</t>
        </is>
      </c>
      <c r="E337" s="76" t="n"/>
      <c r="F337" s="76" t="inlineStr">
        <is>
          <t>-</t>
        </is>
      </c>
    </row>
    <row r="338">
      <c r="A338" s="32" t="inlineStr">
        <is>
          <t>Poké Ball</t>
        </is>
      </c>
      <c r="B338" s="32" t="inlineStr">
        <is>
          <t>Mart</t>
        </is>
      </c>
      <c r="C338" s="32" t="inlineStr">
        <is>
          <t>Lilycove City - Department Store - 2F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6" t="inlineStr">
        <is>
          <t>Potion</t>
        </is>
      </c>
      <c r="B339" s="76" t="inlineStr">
        <is>
          <t>Mart</t>
        </is>
      </c>
      <c r="C339" s="76" t="inlineStr">
        <is>
          <t>Lilycove City - Department Store - 2F</t>
        </is>
      </c>
      <c r="D339" s="76" t="inlineStr">
        <is>
          <t>Split 7</t>
        </is>
      </c>
      <c r="E339" s="76" t="n"/>
      <c r="F339" s="76" t="inlineStr">
        <is>
          <t>-</t>
        </is>
      </c>
    </row>
    <row r="340">
      <c r="A340" s="32" t="inlineStr">
        <is>
          <t>Repel</t>
        </is>
      </c>
      <c r="B340" s="32" t="inlineStr">
        <is>
          <t>Mart</t>
        </is>
      </c>
      <c r="C340" s="32" t="inlineStr">
        <is>
          <t>Lilycove City - Department Store - 2F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6" t="inlineStr">
        <is>
          <t>Revive</t>
        </is>
      </c>
      <c r="B341" s="76" t="inlineStr">
        <is>
          <t>Mart</t>
        </is>
      </c>
      <c r="C341" s="76" t="inlineStr">
        <is>
          <t>Lilycove City - Department Store - 2F</t>
        </is>
      </c>
      <c r="D341" s="76" t="inlineStr">
        <is>
          <t>Split 7</t>
        </is>
      </c>
      <c r="E341" s="76" t="n"/>
      <c r="F341" s="76" t="inlineStr">
        <is>
          <t>-</t>
        </is>
      </c>
    </row>
    <row r="342">
      <c r="A342" s="32" t="inlineStr">
        <is>
          <t>Super Potion</t>
        </is>
      </c>
      <c r="B342" s="32" t="inlineStr">
        <is>
          <t>Mart</t>
        </is>
      </c>
      <c r="C342" s="32" t="inlineStr">
        <is>
          <t>Lilycove City - Department Store - 2F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6" t="inlineStr">
        <is>
          <t>Super Repel</t>
        </is>
      </c>
      <c r="B343" s="76" t="inlineStr">
        <is>
          <t>Mart</t>
        </is>
      </c>
      <c r="C343" s="76" t="inlineStr">
        <is>
          <t>Lilycove City - Department Store - 2F</t>
        </is>
      </c>
      <c r="D343" s="76" t="inlineStr">
        <is>
          <t>Split 7</t>
        </is>
      </c>
      <c r="E343" s="76" t="n"/>
      <c r="F343" s="76" t="inlineStr">
        <is>
          <t>-</t>
        </is>
      </c>
    </row>
    <row r="344">
      <c r="A344" s="32" t="inlineStr">
        <is>
          <t>Ultra Ball</t>
        </is>
      </c>
      <c r="B344" s="32" t="inlineStr">
        <is>
          <t>Mart</t>
        </is>
      </c>
      <c r="C344" s="32" t="inlineStr">
        <is>
          <t>Lilycove City - Department Store - 2F</t>
        </is>
      </c>
      <c r="D344" s="32" t="inlineStr">
        <is>
          <t>Split 7</t>
        </is>
      </c>
      <c r="E344" s="32" t="n"/>
      <c r="F344" s="32" t="inlineStr">
        <is>
          <t>-</t>
        </is>
      </c>
    </row>
    <row r="345">
      <c r="A345" s="76" t="inlineStr">
        <is>
          <t>Wave Mail</t>
        </is>
      </c>
      <c r="B345" s="76" t="inlineStr">
        <is>
          <t>Mart</t>
        </is>
      </c>
      <c r="C345" s="76" t="inlineStr">
        <is>
          <t>Lilycove City - Department Store - 2F</t>
        </is>
      </c>
      <c r="D345" s="76" t="inlineStr">
        <is>
          <t>Split 7</t>
        </is>
      </c>
      <c r="E345" s="76" t="n"/>
      <c r="F345" s="76" t="inlineStr">
        <is>
          <t>-</t>
        </is>
      </c>
    </row>
    <row r="346">
      <c r="A346" s="32" t="inlineStr">
        <is>
          <t>Calcium</t>
        </is>
      </c>
      <c r="B346" s="32" t="inlineStr">
        <is>
          <t>Mart</t>
        </is>
      </c>
      <c r="C346" s="32" t="inlineStr">
        <is>
          <t>Lilycove City - Department Store - 3F</t>
        </is>
      </c>
      <c r="D346" s="32" t="inlineStr">
        <is>
          <t>Split 7</t>
        </is>
      </c>
      <c r="E346" s="32" t="n"/>
      <c r="F346" s="32" t="inlineStr">
        <is>
          <t>-</t>
        </is>
      </c>
    </row>
    <row r="347">
      <c r="A347" s="76" t="inlineStr">
        <is>
          <t>Carbos</t>
        </is>
      </c>
      <c r="B347" s="76" t="inlineStr">
        <is>
          <t>Mart</t>
        </is>
      </c>
      <c r="C347" s="76" t="inlineStr">
        <is>
          <t>Lilycove City - Department Store - 3F</t>
        </is>
      </c>
      <c r="D347" s="76" t="inlineStr">
        <is>
          <t>Split 7</t>
        </is>
      </c>
      <c r="E347" s="76" t="n"/>
      <c r="F347" s="76" t="inlineStr">
        <is>
          <t>-</t>
        </is>
      </c>
    </row>
    <row r="348">
      <c r="A348" s="32" t="inlineStr">
        <is>
          <t>Dire Hit</t>
        </is>
      </c>
      <c r="B348" s="32" t="inlineStr">
        <is>
          <t>Mart</t>
        </is>
      </c>
      <c r="C348" s="32" t="inlineStr">
        <is>
          <t>Lilycove City - Department Store - 3F</t>
        </is>
      </c>
      <c r="D348" s="32" t="inlineStr">
        <is>
          <t>Split 7</t>
        </is>
      </c>
      <c r="E348" s="32" t="n"/>
      <c r="F348" s="32" t="inlineStr">
        <is>
          <t>-</t>
        </is>
      </c>
    </row>
    <row r="349">
      <c r="A349" s="76" t="inlineStr">
        <is>
          <t>Guard Spec.</t>
        </is>
      </c>
      <c r="B349" s="76" t="inlineStr">
        <is>
          <t>Mart</t>
        </is>
      </c>
      <c r="C349" s="76" t="inlineStr">
        <is>
          <t>Lilycove City - Department Store - 3F</t>
        </is>
      </c>
      <c r="D349" s="76" t="inlineStr">
        <is>
          <t>Split 7</t>
        </is>
      </c>
      <c r="E349" s="76" t="n"/>
      <c r="F349" s="76" t="inlineStr">
        <is>
          <t>-</t>
        </is>
      </c>
    </row>
    <row r="350">
      <c r="A350" s="32" t="inlineStr">
        <is>
          <t>HP Up</t>
        </is>
      </c>
      <c r="B350" s="32" t="inlineStr">
        <is>
          <t>Mart</t>
        </is>
      </c>
      <c r="C350" s="32" t="inlineStr">
        <is>
          <t>Lilycove City - Department Store - 3F</t>
        </is>
      </c>
      <c r="D350" s="32" t="inlineStr">
        <is>
          <t>Split 7</t>
        </is>
      </c>
      <c r="E350" s="32" t="n"/>
      <c r="F350" s="32" t="inlineStr">
        <is>
          <t>-</t>
        </is>
      </c>
    </row>
    <row r="351">
      <c r="A351" s="76" t="inlineStr">
        <is>
          <t>Iron</t>
        </is>
      </c>
      <c r="B351" s="76" t="inlineStr">
        <is>
          <t>Mart</t>
        </is>
      </c>
      <c r="C351" s="76" t="inlineStr">
        <is>
          <t>Lilycove City - Department Store - 3F</t>
        </is>
      </c>
      <c r="D351" s="76" t="inlineStr">
        <is>
          <t>Split 7</t>
        </is>
      </c>
      <c r="E351" s="76" t="n"/>
      <c r="F351" s="76" t="inlineStr">
        <is>
          <t>-</t>
        </is>
      </c>
    </row>
    <row r="352">
      <c r="A352" s="32" t="inlineStr">
        <is>
          <t>Protein</t>
        </is>
      </c>
      <c r="B352" s="32" t="inlineStr">
        <is>
          <t>Mart</t>
        </is>
      </c>
      <c r="C352" s="32" t="inlineStr">
        <is>
          <t>Lilycove City - Department Store - 3F</t>
        </is>
      </c>
      <c r="D352" s="32" t="inlineStr">
        <is>
          <t>Split 7</t>
        </is>
      </c>
      <c r="E352" s="32" t="n"/>
      <c r="F352" s="32" t="inlineStr">
        <is>
          <t>-</t>
        </is>
      </c>
    </row>
    <row r="353">
      <c r="A353" s="76" t="inlineStr">
        <is>
          <t>X Accuracy</t>
        </is>
      </c>
      <c r="B353" s="76" t="inlineStr">
        <is>
          <t>Mart</t>
        </is>
      </c>
      <c r="C353" s="76" t="inlineStr">
        <is>
          <t>Lilycove City - Department Store - 3F</t>
        </is>
      </c>
      <c r="D353" s="76" t="inlineStr">
        <is>
          <t>Split 7</t>
        </is>
      </c>
      <c r="E353" s="76" t="n"/>
      <c r="F353" s="76" t="inlineStr">
        <is>
          <t>-</t>
        </is>
      </c>
    </row>
    <row r="354">
      <c r="A354" s="32" t="inlineStr">
        <is>
          <t>X Attack</t>
        </is>
      </c>
      <c r="B354" s="32" t="inlineStr">
        <is>
          <t>Mart</t>
        </is>
      </c>
      <c r="C354" s="32" t="inlineStr">
        <is>
          <t>Lilycove City - Department Store - 3F</t>
        </is>
      </c>
      <c r="D354" s="32" t="inlineStr">
        <is>
          <t>Split 7</t>
        </is>
      </c>
      <c r="E354" s="32" t="n"/>
      <c r="F354" s="32" t="inlineStr">
        <is>
          <t>-</t>
        </is>
      </c>
    </row>
    <row r="355">
      <c r="A355" s="76" t="inlineStr">
        <is>
          <t>X Defense</t>
        </is>
      </c>
      <c r="B355" s="76" t="inlineStr">
        <is>
          <t>Mart</t>
        </is>
      </c>
      <c r="C355" s="76" t="inlineStr">
        <is>
          <t>Lilycove City - Department Store - 3F</t>
        </is>
      </c>
      <c r="D355" s="76" t="inlineStr">
        <is>
          <t>Split 7</t>
        </is>
      </c>
      <c r="E355" s="76" t="n"/>
      <c r="F355" s="76" t="inlineStr">
        <is>
          <t>-</t>
        </is>
      </c>
    </row>
    <row r="356">
      <c r="A356" s="32" t="inlineStr">
        <is>
          <t>X Speed</t>
        </is>
      </c>
      <c r="B356" s="32" t="inlineStr">
        <is>
          <t>Mart</t>
        </is>
      </c>
      <c r="C356" s="32" t="inlineStr">
        <is>
          <t>Lilycove City - Department Store - 3F</t>
        </is>
      </c>
      <c r="D356" s="32" t="inlineStr">
        <is>
          <t>Split 7</t>
        </is>
      </c>
      <c r="E356" s="32" t="n"/>
      <c r="F356" s="32" t="inlineStr">
        <is>
          <t>-</t>
        </is>
      </c>
    </row>
    <row r="357">
      <c r="A357" s="76" t="inlineStr">
        <is>
          <t>X Sp. Atk</t>
        </is>
      </c>
      <c r="B357" s="76" t="inlineStr">
        <is>
          <t>Mart</t>
        </is>
      </c>
      <c r="C357" s="76" t="inlineStr">
        <is>
          <t>Lilycove City - Department Store - 3F</t>
        </is>
      </c>
      <c r="D357" s="76" t="inlineStr">
        <is>
          <t>Split 7</t>
        </is>
      </c>
      <c r="E357" s="76" t="n"/>
      <c r="F357" s="76" t="inlineStr">
        <is>
          <t>-</t>
        </is>
      </c>
    </row>
    <row r="358">
      <c r="A358" s="32" t="inlineStr">
        <is>
          <t>Zinc</t>
        </is>
      </c>
      <c r="B358" s="32" t="inlineStr">
        <is>
          <t>Mart</t>
        </is>
      </c>
      <c r="C358" s="32" t="inlineStr">
        <is>
          <t>Lilycove City - Department Store - 3F</t>
        </is>
      </c>
      <c r="D358" s="32" t="inlineStr">
        <is>
          <t>Split 7</t>
        </is>
      </c>
      <c r="E358" s="32" t="n"/>
      <c r="F358" s="32" t="inlineStr">
        <is>
          <t>-</t>
        </is>
      </c>
    </row>
    <row r="359">
      <c r="A359" s="76" t="inlineStr">
        <is>
          <t>Antidote</t>
        </is>
      </c>
      <c r="B359" s="76" t="inlineStr">
        <is>
          <t>Mart</t>
        </is>
      </c>
      <c r="C359" s="76" t="inlineStr">
        <is>
          <t>Mauville City - Mart</t>
        </is>
      </c>
      <c r="D359" s="76" t="inlineStr">
        <is>
          <t>Split 4</t>
        </is>
      </c>
      <c r="E359" s="76" t="n"/>
      <c r="F359" s="76" t="inlineStr">
        <is>
          <t>-</t>
        </is>
      </c>
    </row>
    <row r="360">
      <c r="A360" s="32" t="inlineStr">
        <is>
          <t>Awakening</t>
        </is>
      </c>
      <c r="B360" s="32" t="inlineStr">
        <is>
          <t>Mart</t>
        </is>
      </c>
      <c r="C360" s="32" t="inlineStr">
        <is>
          <t>Mauville City - Mart</t>
        </is>
      </c>
      <c r="D360" s="32" t="inlineStr">
        <is>
          <t>Split 4</t>
        </is>
      </c>
      <c r="E360" s="32" t="n"/>
      <c r="F360" s="32" t="inlineStr">
        <is>
          <t>-</t>
        </is>
      </c>
    </row>
    <row r="361">
      <c r="A361" s="76" t="inlineStr">
        <is>
          <t>Dire Hit</t>
        </is>
      </c>
      <c r="B361" s="76" t="inlineStr">
        <is>
          <t>Mart</t>
        </is>
      </c>
      <c r="C361" s="76" t="inlineStr">
        <is>
          <t>Mauville City - Mart</t>
        </is>
      </c>
      <c r="D361" s="76" t="inlineStr">
        <is>
          <t>Split 4</t>
        </is>
      </c>
      <c r="E361" s="76" t="n"/>
      <c r="F361" s="76" t="inlineStr">
        <is>
          <t>-</t>
        </is>
      </c>
    </row>
    <row r="362">
      <c r="A362" s="32" t="inlineStr">
        <is>
          <t>Great Ball</t>
        </is>
      </c>
      <c r="B362" s="32" t="inlineStr">
        <is>
          <t>Mart</t>
        </is>
      </c>
      <c r="C362" s="32" t="inlineStr">
        <is>
          <t>Mauville City - Mart</t>
        </is>
      </c>
      <c r="D362" s="32" t="inlineStr">
        <is>
          <t>Split 4</t>
        </is>
      </c>
      <c r="E362" s="32" t="n"/>
      <c r="F362" s="32" t="inlineStr">
        <is>
          <t>-</t>
        </is>
      </c>
    </row>
    <row r="363">
      <c r="A363" s="76" t="inlineStr">
        <is>
          <t>Guard Spec.</t>
        </is>
      </c>
      <c r="B363" s="76" t="inlineStr">
        <is>
          <t>Mart</t>
        </is>
      </c>
      <c r="C363" s="76" t="inlineStr">
        <is>
          <t>Mauville City - Mart</t>
        </is>
      </c>
      <c r="D363" s="76" t="inlineStr">
        <is>
          <t>Split 4</t>
        </is>
      </c>
      <c r="E363" s="76" t="n"/>
      <c r="F363" s="76" t="inlineStr">
        <is>
          <t>-</t>
        </is>
      </c>
    </row>
    <row r="364">
      <c r="A364" s="32" t="inlineStr">
        <is>
          <t>Paralyze Heal</t>
        </is>
      </c>
      <c r="B364" s="32" t="inlineStr">
        <is>
          <t>Mart</t>
        </is>
      </c>
      <c r="C364" s="32" t="inlineStr">
        <is>
          <t>Mauville City - Mart</t>
        </is>
      </c>
      <c r="D364" s="32" t="inlineStr">
        <is>
          <t>Split 4</t>
        </is>
      </c>
      <c r="E364" s="32" t="n"/>
      <c r="F364" s="32" t="inlineStr">
        <is>
          <t>-</t>
        </is>
      </c>
    </row>
    <row r="365">
      <c r="A365" s="76" t="inlineStr">
        <is>
          <t>Poké Ball</t>
        </is>
      </c>
      <c r="B365" s="76" t="inlineStr">
        <is>
          <t>Mart</t>
        </is>
      </c>
      <c r="C365" s="76" t="inlineStr">
        <is>
          <t>Mauville City - Mart</t>
        </is>
      </c>
      <c r="D365" s="76" t="inlineStr">
        <is>
          <t>Split 4</t>
        </is>
      </c>
      <c r="E365" s="76" t="n"/>
      <c r="F365" s="76" t="inlineStr">
        <is>
          <t>-</t>
        </is>
      </c>
    </row>
    <row r="366">
      <c r="A366" s="32" t="inlineStr">
        <is>
          <t>Rare Candy</t>
        </is>
      </c>
      <c r="B366" s="32" t="inlineStr">
        <is>
          <t>Mart</t>
        </is>
      </c>
      <c r="C366" s="32" t="inlineStr">
        <is>
          <t>Mauville City - Mart</t>
        </is>
      </c>
      <c r="D366" s="32" t="inlineStr">
        <is>
          <t>Split 4</t>
        </is>
      </c>
      <c r="E366" s="32" t="n"/>
      <c r="F366" s="32" t="inlineStr">
        <is>
          <t>-</t>
        </is>
      </c>
    </row>
    <row r="367">
      <c r="A367" s="76" t="inlineStr">
        <is>
          <t>Super Potion</t>
        </is>
      </c>
      <c r="B367" s="76" t="inlineStr">
        <is>
          <t>Mart</t>
        </is>
      </c>
      <c r="C367" s="76" t="inlineStr">
        <is>
          <t>Mauville City - Mart</t>
        </is>
      </c>
      <c r="D367" s="76" t="inlineStr">
        <is>
          <t>Split 4</t>
        </is>
      </c>
      <c r="E367" s="76" t="n"/>
      <c r="F367" s="76" t="inlineStr">
        <is>
          <t>-</t>
        </is>
      </c>
    </row>
    <row r="368">
      <c r="A368" s="32" t="inlineStr">
        <is>
          <t>X Accuracy</t>
        </is>
      </c>
      <c r="B368" s="32" t="inlineStr">
        <is>
          <t>Mart</t>
        </is>
      </c>
      <c r="C368" s="32" t="inlineStr">
        <is>
          <t>Mauville City - Mart</t>
        </is>
      </c>
      <c r="D368" s="32" t="inlineStr">
        <is>
          <t>Split 4</t>
        </is>
      </c>
      <c r="E368" s="32" t="n"/>
      <c r="F368" s="32" t="inlineStr">
        <is>
          <t>-</t>
        </is>
      </c>
    </row>
    <row r="369">
      <c r="A369" s="76" t="inlineStr">
        <is>
          <t>X Attack</t>
        </is>
      </c>
      <c r="B369" s="76" t="inlineStr">
        <is>
          <t>Mart</t>
        </is>
      </c>
      <c r="C369" s="76" t="inlineStr">
        <is>
          <t>Mauville City - Mart</t>
        </is>
      </c>
      <c r="D369" s="76" t="inlineStr">
        <is>
          <t>Split 4</t>
        </is>
      </c>
      <c r="E369" s="76" t="n"/>
      <c r="F369" s="76" t="inlineStr">
        <is>
          <t>-</t>
        </is>
      </c>
    </row>
    <row r="370">
      <c r="A370" s="32" t="inlineStr">
        <is>
          <t>X Defense</t>
        </is>
      </c>
      <c r="B370" s="32" t="inlineStr">
        <is>
          <t>Mart</t>
        </is>
      </c>
      <c r="C370" s="32" t="inlineStr">
        <is>
          <t>Mauville City - Mart</t>
        </is>
      </c>
      <c r="D370" s="32" t="inlineStr">
        <is>
          <t>Split 4</t>
        </is>
      </c>
      <c r="E370" s="32" t="n"/>
      <c r="F370" s="32" t="inlineStr">
        <is>
          <t>-</t>
        </is>
      </c>
    </row>
    <row r="371">
      <c r="A371" s="76" t="inlineStr">
        <is>
          <t>X Speed</t>
        </is>
      </c>
      <c r="B371" s="76" t="inlineStr">
        <is>
          <t>Mart</t>
        </is>
      </c>
      <c r="C371" s="76" t="inlineStr">
        <is>
          <t>Mauville City - Mart</t>
        </is>
      </c>
      <c r="D371" s="76" t="inlineStr">
        <is>
          <t>Split 4</t>
        </is>
      </c>
      <c r="E371" s="76" t="n"/>
      <c r="F371" s="76" t="inlineStr">
        <is>
          <t>-</t>
        </is>
      </c>
    </row>
    <row r="372">
      <c r="A372" s="32" t="inlineStr">
        <is>
          <t>Dive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6" t="inlineStr">
        <is>
          <t>Full Heal</t>
        </is>
      </c>
      <c r="B373" s="76" t="inlineStr">
        <is>
          <t>Mart</t>
        </is>
      </c>
      <c r="C373" s="76" t="inlineStr">
        <is>
          <t>Mossdeep City - Mart</t>
        </is>
      </c>
      <c r="D373" s="76" t="inlineStr">
        <is>
          <t>Split 7</t>
        </is>
      </c>
      <c r="E373" s="76" t="n"/>
      <c r="F373" s="76" t="inlineStr">
        <is>
          <t>-</t>
        </is>
      </c>
    </row>
    <row r="374">
      <c r="A374" s="32" t="inlineStr">
        <is>
          <t>Hyper Potion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6" t="inlineStr">
        <is>
          <t>Max Repel</t>
        </is>
      </c>
      <c r="B375" s="76" t="inlineStr">
        <is>
          <t>Mart</t>
        </is>
      </c>
      <c r="C375" s="76" t="inlineStr">
        <is>
          <t>Mossdeep City - Mart</t>
        </is>
      </c>
      <c r="D375" s="76" t="inlineStr">
        <is>
          <t>Split 7</t>
        </is>
      </c>
      <c r="E375" s="76" t="n"/>
      <c r="F375" s="76" t="inlineStr">
        <is>
          <t>-</t>
        </is>
      </c>
    </row>
    <row r="376">
      <c r="A376" s="32" t="inlineStr">
        <is>
          <t>Net Ball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6" t="inlineStr">
        <is>
          <t>Rare Candy</t>
        </is>
      </c>
      <c r="B377" s="76" t="inlineStr">
        <is>
          <t>Mart</t>
        </is>
      </c>
      <c r="C377" s="76" t="inlineStr">
        <is>
          <t>Mossdeep City - Mart</t>
        </is>
      </c>
      <c r="D377" s="76" t="inlineStr">
        <is>
          <t>Split 7</t>
        </is>
      </c>
      <c r="E377" s="76" t="n"/>
      <c r="F377" s="76" t="inlineStr">
        <is>
          <t>-</t>
        </is>
      </c>
    </row>
    <row r="378">
      <c r="A378" s="32" t="inlineStr">
        <is>
          <t>Revive</t>
        </is>
      </c>
      <c r="B378" s="32" t="inlineStr">
        <is>
          <t>Mart</t>
        </is>
      </c>
      <c r="C378" s="32" t="inlineStr">
        <is>
          <t>Mossdeep City - Mart</t>
        </is>
      </c>
      <c r="D378" s="32" t="inlineStr">
        <is>
          <t>Split 7</t>
        </is>
      </c>
      <c r="E378" s="32" t="n"/>
      <c r="F378" s="32" t="inlineStr">
        <is>
          <t>-</t>
        </is>
      </c>
    </row>
    <row r="379">
      <c r="A379" s="76" t="inlineStr">
        <is>
          <t>Ultra Ball</t>
        </is>
      </c>
      <c r="B379" s="76" t="inlineStr">
        <is>
          <t>Mart</t>
        </is>
      </c>
      <c r="C379" s="76" t="inlineStr">
        <is>
          <t>Mossdeep City - Mart</t>
        </is>
      </c>
      <c r="D379" s="76" t="inlineStr">
        <is>
          <t>Split 7</t>
        </is>
      </c>
      <c r="E379" s="76" t="n"/>
      <c r="F379" s="76" t="inlineStr">
        <is>
          <t>-</t>
        </is>
      </c>
    </row>
    <row r="380">
      <c r="A380" s="32" t="inlineStr">
        <is>
          <t>X Attack</t>
        </is>
      </c>
      <c r="B380" s="32" t="inlineStr">
        <is>
          <t>Mart</t>
        </is>
      </c>
      <c r="C380" s="32" t="inlineStr">
        <is>
          <t>Mossdeep City - Mart</t>
        </is>
      </c>
      <c r="D380" s="32" t="inlineStr">
        <is>
          <t>Split 7</t>
        </is>
      </c>
      <c r="E380" s="32" t="n"/>
      <c r="F380" s="32" t="inlineStr">
        <is>
          <t>-</t>
        </is>
      </c>
    </row>
    <row r="381">
      <c r="A381" s="76" t="inlineStr">
        <is>
          <t>X Defense</t>
        </is>
      </c>
      <c r="B381" s="76" t="inlineStr">
        <is>
          <t>Mart</t>
        </is>
      </c>
      <c r="C381" s="76" t="inlineStr">
        <is>
          <t>Mossdeep City - Mart</t>
        </is>
      </c>
      <c r="D381" s="76" t="inlineStr">
        <is>
          <t>Split 7</t>
        </is>
      </c>
      <c r="E381" s="76" t="n"/>
      <c r="F381" s="76" t="inlineStr">
        <is>
          <t>-</t>
        </is>
      </c>
    </row>
    <row r="382">
      <c r="A382" s="32" t="inlineStr">
        <is>
          <t>Antidote</t>
        </is>
      </c>
      <c r="B382" s="32" t="inlineStr">
        <is>
          <t>Mart</t>
        </is>
      </c>
      <c r="C382" s="32" t="inlineStr">
        <is>
          <t>Oldale Town - Mart</t>
        </is>
      </c>
      <c r="D382" s="32" t="inlineStr">
        <is>
          <t>Split 1</t>
        </is>
      </c>
      <c r="E382" s="32" t="n"/>
      <c r="F382" s="32" t="inlineStr">
        <is>
          <t>-</t>
        </is>
      </c>
    </row>
    <row r="383">
      <c r="A383" s="76" t="inlineStr">
        <is>
          <t>Awakening</t>
        </is>
      </c>
      <c r="B383" s="76" t="inlineStr">
        <is>
          <t>Mart</t>
        </is>
      </c>
      <c r="C383" s="76" t="inlineStr">
        <is>
          <t>Oldale Town - Mart</t>
        </is>
      </c>
      <c r="D383" s="76" t="inlineStr">
        <is>
          <t>Split 1</t>
        </is>
      </c>
      <c r="E383" s="76" t="n"/>
      <c r="F383" s="76" t="inlineStr">
        <is>
          <t>-</t>
        </is>
      </c>
    </row>
    <row r="384">
      <c r="A384" s="32" t="inlineStr">
        <is>
          <t>Paralyze Heal</t>
        </is>
      </c>
      <c r="B384" s="32" t="inlineStr">
        <is>
          <t>Mart</t>
        </is>
      </c>
      <c r="C384" s="32" t="inlineStr">
        <is>
          <t>Oldale Town - Mart</t>
        </is>
      </c>
      <c r="D384" s="32" t="inlineStr">
        <is>
          <t>Split 1</t>
        </is>
      </c>
      <c r="E384" s="32" t="n"/>
      <c r="F384" s="32" t="inlineStr">
        <is>
          <t>-</t>
        </is>
      </c>
    </row>
    <row r="385">
      <c r="A385" s="76" t="inlineStr">
        <is>
          <t>Poké Ball</t>
        </is>
      </c>
      <c r="B385" s="76" t="inlineStr">
        <is>
          <t>Mart</t>
        </is>
      </c>
      <c r="C385" s="76" t="inlineStr">
        <is>
          <t>Oldale Town - Mart</t>
        </is>
      </c>
      <c r="D385" s="76" t="inlineStr">
        <is>
          <t>Split 1</t>
        </is>
      </c>
      <c r="E385" s="76" t="n"/>
      <c r="F385" s="76" t="inlineStr">
        <is>
          <t>-</t>
        </is>
      </c>
    </row>
    <row r="386">
      <c r="A386" s="32" t="inlineStr">
        <is>
          <t>Potion</t>
        </is>
      </c>
      <c r="B386" s="32" t="inlineStr">
        <is>
          <t>Mart</t>
        </is>
      </c>
      <c r="C386" s="32" t="inlineStr">
        <is>
          <t>Oldale Town - Mart</t>
        </is>
      </c>
      <c r="D386" s="32" t="inlineStr">
        <is>
          <t>Split 1</t>
        </is>
      </c>
      <c r="E386" s="32" t="n"/>
      <c r="F386" s="32" t="inlineStr">
        <is>
          <t>-</t>
        </is>
      </c>
    </row>
    <row r="387">
      <c r="A387" s="76" t="inlineStr">
        <is>
          <t>Rare Candy</t>
        </is>
      </c>
      <c r="B387" s="76" t="inlineStr">
        <is>
          <t>Mart</t>
        </is>
      </c>
      <c r="C387" s="76" t="inlineStr">
        <is>
          <t>Oldale Town - Mart</t>
        </is>
      </c>
      <c r="D387" s="76" t="inlineStr">
        <is>
          <t>Split 1</t>
        </is>
      </c>
      <c r="E387" s="76" t="n"/>
      <c r="F387" s="76" t="inlineStr">
        <is>
          <t>-</t>
        </is>
      </c>
    </row>
    <row r="388">
      <c r="A388" s="32" t="inlineStr">
        <is>
          <t>Antidote</t>
        </is>
      </c>
      <c r="B388" s="32" t="inlineStr">
        <is>
          <t>Mart</t>
        </is>
      </c>
      <c r="C388" s="32" t="inlineStr">
        <is>
          <t>Petalburg City - Mart</t>
        </is>
      </c>
      <c r="D388" s="32" t="inlineStr">
        <is>
          <t>Split 1</t>
        </is>
      </c>
      <c r="E388" s="32" t="n"/>
      <c r="F388" s="32" t="inlineStr">
        <is>
          <t>-</t>
        </is>
      </c>
    </row>
    <row r="389">
      <c r="A389" s="76" t="inlineStr">
        <is>
          <t>Awakening</t>
        </is>
      </c>
      <c r="B389" s="76" t="inlineStr">
        <is>
          <t>Mart</t>
        </is>
      </c>
      <c r="C389" s="76" t="inlineStr">
        <is>
          <t>Petalburg City - Mart</t>
        </is>
      </c>
      <c r="D389" s="76" t="inlineStr">
        <is>
          <t>Split 1</t>
        </is>
      </c>
      <c r="E389" s="76" t="n"/>
      <c r="F389" s="76" t="inlineStr">
        <is>
          <t>-</t>
        </is>
      </c>
    </row>
    <row r="390">
      <c r="A390" s="32" t="inlineStr">
        <is>
          <t>Escape Rope</t>
        </is>
      </c>
      <c r="B390" s="32" t="inlineStr">
        <is>
          <t>Mart</t>
        </is>
      </c>
      <c r="C390" s="32" t="inlineStr">
        <is>
          <t>Petalburg City - Mart</t>
        </is>
      </c>
      <c r="D390" s="32" t="inlineStr">
        <is>
          <t>Split 1</t>
        </is>
      </c>
      <c r="E390" s="32" t="n"/>
      <c r="F390" s="32" t="inlineStr">
        <is>
          <t>-</t>
        </is>
      </c>
    </row>
    <row r="391">
      <c r="A391" s="76" t="inlineStr">
        <is>
          <t>Great Ball</t>
        </is>
      </c>
      <c r="B391" s="76" t="inlineStr">
        <is>
          <t>Mart</t>
        </is>
      </c>
      <c r="C391" s="76" t="inlineStr">
        <is>
          <t>Petalburg City - Mart</t>
        </is>
      </c>
      <c r="D391" s="76" t="inlineStr">
        <is>
          <t>Split 1</t>
        </is>
      </c>
      <c r="E391" s="76" t="n"/>
      <c r="F391" s="76" t="inlineStr">
        <is>
          <t>-</t>
        </is>
      </c>
    </row>
    <row r="392">
      <c r="A392" s="32" t="inlineStr">
        <is>
          <t>Orange Mail</t>
        </is>
      </c>
      <c r="B392" s="32" t="inlineStr">
        <is>
          <t>Mart</t>
        </is>
      </c>
      <c r="C392" s="32" t="inlineStr">
        <is>
          <t>Petalburg City - Mart</t>
        </is>
      </c>
      <c r="D392" s="32" t="inlineStr">
        <is>
          <t>Split 1</t>
        </is>
      </c>
      <c r="E392" s="32" t="n"/>
      <c r="F392" s="32" t="inlineStr">
        <is>
          <t>-</t>
        </is>
      </c>
    </row>
    <row r="393">
      <c r="A393" s="76" t="inlineStr">
        <is>
          <t>Paralyze Heal</t>
        </is>
      </c>
      <c r="B393" s="76" t="inlineStr">
        <is>
          <t>Mart</t>
        </is>
      </c>
      <c r="C393" s="76" t="inlineStr">
        <is>
          <t>Petalburg City - Mart</t>
        </is>
      </c>
      <c r="D393" s="76" t="inlineStr">
        <is>
          <t>Split 1</t>
        </is>
      </c>
      <c r="E393" s="76" t="n"/>
      <c r="F393" s="76" t="inlineStr">
        <is>
          <t>-</t>
        </is>
      </c>
    </row>
    <row r="394">
      <c r="A394" s="32" t="inlineStr">
        <is>
          <t>Poké Ball</t>
        </is>
      </c>
      <c r="B394" s="32" t="inlineStr">
        <is>
          <t>Mart</t>
        </is>
      </c>
      <c r="C394" s="32" t="inlineStr">
        <is>
          <t>Petalburg City - Mart</t>
        </is>
      </c>
      <c r="D394" s="32" t="inlineStr">
        <is>
          <t>Split 1</t>
        </is>
      </c>
      <c r="E394" s="32" t="n"/>
      <c r="F394" s="32" t="inlineStr">
        <is>
          <t>-</t>
        </is>
      </c>
    </row>
    <row r="395">
      <c r="A395" s="76" t="inlineStr">
        <is>
          <t>Potion</t>
        </is>
      </c>
      <c r="B395" s="76" t="inlineStr">
        <is>
          <t>Mart</t>
        </is>
      </c>
      <c r="C395" s="76" t="inlineStr">
        <is>
          <t>Petalburg City - Mart</t>
        </is>
      </c>
      <c r="D395" s="76" t="inlineStr">
        <is>
          <t>Split 1</t>
        </is>
      </c>
      <c r="E395" s="76" t="n"/>
      <c r="F395" s="76" t="inlineStr">
        <is>
          <t>-</t>
        </is>
      </c>
    </row>
    <row r="396">
      <c r="A396" s="32" t="inlineStr">
        <is>
          <t>Rare Candy</t>
        </is>
      </c>
      <c r="B396" s="32" t="inlineStr">
        <is>
          <t>Mart</t>
        </is>
      </c>
      <c r="C396" s="32" t="inlineStr">
        <is>
          <t>Petalburg City - Mart</t>
        </is>
      </c>
      <c r="D396" s="32" t="inlineStr">
        <is>
          <t>Split 1</t>
        </is>
      </c>
      <c r="E396" s="32" t="n"/>
      <c r="F396" s="32" t="inlineStr">
        <is>
          <t>-</t>
        </is>
      </c>
    </row>
    <row r="397">
      <c r="A397" s="76" t="inlineStr">
        <is>
          <t>Repel</t>
        </is>
      </c>
      <c r="B397" s="76" t="inlineStr">
        <is>
          <t>Mart</t>
        </is>
      </c>
      <c r="C397" s="76" t="inlineStr">
        <is>
          <t>Petalburg City - Mart</t>
        </is>
      </c>
      <c r="D397" s="76" t="inlineStr">
        <is>
          <t>Split 1</t>
        </is>
      </c>
      <c r="E397" s="76" t="n"/>
      <c r="F397" s="76" t="inlineStr">
        <is>
          <t>-</t>
        </is>
      </c>
    </row>
    <row r="398">
      <c r="A398" s="32" t="inlineStr">
        <is>
          <t>Super Potion</t>
        </is>
      </c>
      <c r="B398" s="32" t="inlineStr">
        <is>
          <t>Mart</t>
        </is>
      </c>
      <c r="C398" s="32" t="inlineStr">
        <is>
          <t>Petalburg City - Mart</t>
        </is>
      </c>
      <c r="D398" s="32" t="inlineStr">
        <is>
          <t>Split 1</t>
        </is>
      </c>
      <c r="E398" s="32" t="n"/>
      <c r="F398" s="32" t="inlineStr">
        <is>
          <t>-</t>
        </is>
      </c>
    </row>
    <row r="399">
      <c r="A399" s="76" t="inlineStr">
        <is>
          <t>X Attack</t>
        </is>
      </c>
      <c r="B399" s="76" t="inlineStr">
        <is>
          <t>Mart</t>
        </is>
      </c>
      <c r="C399" s="76" t="inlineStr">
        <is>
          <t>Petalburg City - Mart</t>
        </is>
      </c>
      <c r="D399" s="76" t="inlineStr">
        <is>
          <t>Split 1</t>
        </is>
      </c>
      <c r="E399" s="76" t="n"/>
      <c r="F399" s="76" t="inlineStr">
        <is>
          <t>-</t>
        </is>
      </c>
    </row>
    <row r="400">
      <c r="A400" s="32" t="inlineStr">
        <is>
          <t>X Defense</t>
        </is>
      </c>
      <c r="B400" s="32" t="inlineStr">
        <is>
          <t>Mart</t>
        </is>
      </c>
      <c r="C400" s="32" t="inlineStr">
        <is>
          <t>Petalburg City - Mart</t>
        </is>
      </c>
      <c r="D400" s="32" t="inlineStr">
        <is>
          <t>Split 1</t>
        </is>
      </c>
      <c r="E400" s="32" t="n"/>
      <c r="F400" s="32" t="inlineStr">
        <is>
          <t>-</t>
        </is>
      </c>
    </row>
    <row r="401">
      <c r="A401" s="76" t="inlineStr">
        <is>
          <t>X Speed</t>
        </is>
      </c>
      <c r="B401" s="76" t="inlineStr">
        <is>
          <t>Mart</t>
        </is>
      </c>
      <c r="C401" s="76" t="inlineStr">
        <is>
          <t>Petalburg City - Mart</t>
        </is>
      </c>
      <c r="D401" s="76" t="inlineStr">
        <is>
          <t>Split 1</t>
        </is>
      </c>
      <c r="E401" s="76" t="n"/>
      <c r="F401" s="76" t="inlineStr">
        <is>
          <t>-</t>
        </is>
      </c>
    </row>
    <row r="402">
      <c r="A402" s="32" t="inlineStr">
        <is>
          <t>Antidote</t>
        </is>
      </c>
      <c r="B402" s="32" t="inlineStr">
        <is>
          <t>Mart</t>
        </is>
      </c>
      <c r="C402" s="32" t="inlineStr">
        <is>
          <t>Rustboro City - Mart</t>
        </is>
      </c>
      <c r="D402" s="32" t="inlineStr">
        <is>
          <t>Split 2</t>
        </is>
      </c>
      <c r="E402" s="32" t="n"/>
      <c r="F402" s="32" t="inlineStr">
        <is>
          <t>-</t>
        </is>
      </c>
    </row>
    <row r="403">
      <c r="A403" s="76" t="inlineStr">
        <is>
          <t>Escape Rope</t>
        </is>
      </c>
      <c r="B403" s="76" t="inlineStr">
        <is>
          <t>Mart</t>
        </is>
      </c>
      <c r="C403" s="76" t="inlineStr">
        <is>
          <t>Rustboro City - Mart</t>
        </is>
      </c>
      <c r="D403" s="76" t="inlineStr">
        <is>
          <t>Split 2</t>
        </is>
      </c>
      <c r="E403" s="76" t="n"/>
      <c r="F403" s="76" t="inlineStr">
        <is>
          <t>-</t>
        </is>
      </c>
    </row>
    <row r="404">
      <c r="A404" s="32" t="inlineStr">
        <is>
          <t>Paralyze Heal</t>
        </is>
      </c>
      <c r="B404" s="32" t="inlineStr">
        <is>
          <t>Mart</t>
        </is>
      </c>
      <c r="C404" s="32" t="inlineStr">
        <is>
          <t>Rustboro City - Mart</t>
        </is>
      </c>
      <c r="D404" s="32" t="inlineStr">
        <is>
          <t>Split 2</t>
        </is>
      </c>
      <c r="E404" s="32" t="n"/>
      <c r="F404" s="32" t="inlineStr">
        <is>
          <t>-</t>
        </is>
      </c>
    </row>
    <row r="405">
      <c r="A405" s="76" t="inlineStr">
        <is>
          <t>Poké Ball</t>
        </is>
      </c>
      <c r="B405" s="76" t="inlineStr">
        <is>
          <t>Mart</t>
        </is>
      </c>
      <c r="C405" s="76" t="inlineStr">
        <is>
          <t>Rustboro City - Mart</t>
        </is>
      </c>
      <c r="D405" s="76" t="inlineStr">
        <is>
          <t>Split 2</t>
        </is>
      </c>
      <c r="E405" s="76" t="n"/>
      <c r="F405" s="76" t="inlineStr">
        <is>
          <t>-</t>
        </is>
      </c>
    </row>
    <row r="406">
      <c r="A406" s="32" t="inlineStr">
        <is>
          <t>Potion</t>
        </is>
      </c>
      <c r="B406" s="32" t="inlineStr">
        <is>
          <t>Mart</t>
        </is>
      </c>
      <c r="C406" s="32" t="inlineStr">
        <is>
          <t>Rustboro City - Mart</t>
        </is>
      </c>
      <c r="D406" s="32" t="inlineStr">
        <is>
          <t>Split 2</t>
        </is>
      </c>
      <c r="E406" s="32" t="n"/>
      <c r="F406" s="32" t="inlineStr">
        <is>
          <t>-</t>
        </is>
      </c>
    </row>
    <row r="407">
      <c r="A407" s="76" t="inlineStr">
        <is>
          <t>Rare Candy</t>
        </is>
      </c>
      <c r="B407" s="76" t="inlineStr">
        <is>
          <t>Mart</t>
        </is>
      </c>
      <c r="C407" s="76" t="inlineStr">
        <is>
          <t>Rustboro City - Mart</t>
        </is>
      </c>
      <c r="D407" s="76" t="inlineStr">
        <is>
          <t>Split 2</t>
        </is>
      </c>
      <c r="E407" s="76" t="n"/>
      <c r="F407" s="76" t="inlineStr">
        <is>
          <t>-</t>
        </is>
      </c>
    </row>
    <row r="408">
      <c r="A408" s="32" t="inlineStr">
        <is>
          <t>Repeat Ball</t>
        </is>
      </c>
      <c r="B408" s="32" t="inlineStr">
        <is>
          <t>Mart</t>
        </is>
      </c>
      <c r="C408" s="32" t="inlineStr">
        <is>
          <t>Rustboro City - Mart</t>
        </is>
      </c>
      <c r="D408" s="32" t="inlineStr">
        <is>
          <t>Split 2</t>
        </is>
      </c>
      <c r="E408" s="32" t="n"/>
      <c r="F408" s="32" t="inlineStr">
        <is>
          <t>-</t>
        </is>
      </c>
    </row>
    <row r="409">
      <c r="A409" s="76" t="inlineStr">
        <is>
          <t>Repel</t>
        </is>
      </c>
      <c r="B409" s="76" t="inlineStr">
        <is>
          <t>Mart</t>
        </is>
      </c>
      <c r="C409" s="76" t="inlineStr">
        <is>
          <t>Rustboro City - Mart</t>
        </is>
      </c>
      <c r="D409" s="76" t="inlineStr">
        <is>
          <t>Split 2</t>
        </is>
      </c>
      <c r="E409" s="76" t="n"/>
      <c r="F409" s="76" t="inlineStr">
        <is>
          <t>-</t>
        </is>
      </c>
    </row>
    <row r="410">
      <c r="A410" s="32" t="inlineStr">
        <is>
          <t>Super Potion</t>
        </is>
      </c>
      <c r="B410" s="32" t="inlineStr">
        <is>
          <t>Mart</t>
        </is>
      </c>
      <c r="C410" s="32" t="inlineStr">
        <is>
          <t>Rustboro City - Mart</t>
        </is>
      </c>
      <c r="D410" s="32" t="inlineStr">
        <is>
          <t>Split 2</t>
        </is>
      </c>
      <c r="E410" s="32" t="n"/>
      <c r="F410" s="32" t="inlineStr">
        <is>
          <t>-</t>
        </is>
      </c>
    </row>
    <row r="411">
      <c r="A411" s="76" t="inlineStr">
        <is>
          <t>Timer Ball</t>
        </is>
      </c>
      <c r="B411" s="76" t="inlineStr">
        <is>
          <t>Mart</t>
        </is>
      </c>
      <c r="C411" s="76" t="inlineStr">
        <is>
          <t>Rustboro City - Mart</t>
        </is>
      </c>
      <c r="D411" s="76" t="inlineStr">
        <is>
          <t>Split 2</t>
        </is>
      </c>
      <c r="E411" s="76" t="n"/>
      <c r="F411" s="76" t="inlineStr">
        <is>
          <t>-</t>
        </is>
      </c>
    </row>
    <row r="412">
      <c r="A412" s="32" t="inlineStr">
        <is>
          <t>X Attack</t>
        </is>
      </c>
      <c r="B412" s="32" t="inlineStr">
        <is>
          <t>Mart</t>
        </is>
      </c>
      <c r="C412" s="32" t="inlineStr">
        <is>
          <t>Rustboro City - Mart</t>
        </is>
      </c>
      <c r="D412" s="32" t="inlineStr">
        <is>
          <t>Split 2</t>
        </is>
      </c>
      <c r="E412" s="32" t="n"/>
      <c r="F412" s="32" t="inlineStr">
        <is>
          <t>-</t>
        </is>
      </c>
    </row>
    <row r="413">
      <c r="A413" s="76" t="inlineStr">
        <is>
          <t>X Defense</t>
        </is>
      </c>
      <c r="B413" s="76" t="inlineStr">
        <is>
          <t>Mart</t>
        </is>
      </c>
      <c r="C413" s="76" t="inlineStr">
        <is>
          <t>Rustboro City - Mart</t>
        </is>
      </c>
      <c r="D413" s="76" t="inlineStr">
        <is>
          <t>Split 2</t>
        </is>
      </c>
      <c r="E413" s="76" t="n"/>
      <c r="F413" s="76" t="inlineStr">
        <is>
          <t>-</t>
        </is>
      </c>
    </row>
    <row r="414">
      <c r="A414" s="32" t="inlineStr">
        <is>
          <t>X Speed</t>
        </is>
      </c>
      <c r="B414" s="32" t="inlineStr">
        <is>
          <t>Mart</t>
        </is>
      </c>
      <c r="C414" s="32" t="inlineStr">
        <is>
          <t>Rustboro City - Mart</t>
        </is>
      </c>
      <c r="D414" s="32" t="inlineStr">
        <is>
          <t>Split 2</t>
        </is>
      </c>
      <c r="E414" s="32" t="n"/>
      <c r="F414" s="32" t="inlineStr">
        <is>
          <t>-</t>
        </is>
      </c>
    </row>
    <row r="415">
      <c r="A415" s="76" t="inlineStr">
        <is>
          <t>Calcium</t>
        </is>
      </c>
      <c r="B415" s="76" t="inlineStr">
        <is>
          <t>Mart</t>
        </is>
      </c>
      <c r="C415" s="76" t="inlineStr">
        <is>
          <t>Slateport City</t>
        </is>
      </c>
      <c r="D415" s="76" t="inlineStr">
        <is>
          <t>Split 4</t>
        </is>
      </c>
      <c r="E415" s="76" t="n"/>
      <c r="F415" s="76" t="inlineStr">
        <is>
          <t>-</t>
        </is>
      </c>
    </row>
    <row r="416">
      <c r="A416" s="32" t="inlineStr">
        <is>
          <t>Carbos</t>
        </is>
      </c>
      <c r="B416" s="32" t="inlineStr">
        <is>
          <t>Mart</t>
        </is>
      </c>
      <c r="C416" s="32" t="inlineStr">
        <is>
          <t>Slateport City</t>
        </is>
      </c>
      <c r="D416" s="32" t="inlineStr">
        <is>
          <t>Split 4</t>
        </is>
      </c>
      <c r="E416" s="32" t="n"/>
      <c r="F416" s="32" t="inlineStr">
        <is>
          <t>-</t>
        </is>
      </c>
    </row>
    <row r="417">
      <c r="A417" s="76" t="inlineStr">
        <is>
          <t>HP Up</t>
        </is>
      </c>
      <c r="B417" s="76" t="inlineStr">
        <is>
          <t>Mart</t>
        </is>
      </c>
      <c r="C417" s="76" t="inlineStr">
        <is>
          <t>Slateport City</t>
        </is>
      </c>
      <c r="D417" s="76" t="inlineStr">
        <is>
          <t>Split 4</t>
        </is>
      </c>
      <c r="E417" s="76" t="n"/>
      <c r="F417" s="76" t="inlineStr">
        <is>
          <t>-</t>
        </is>
      </c>
    </row>
    <row r="418">
      <c r="A418" s="32" t="inlineStr">
        <is>
          <t>Iron</t>
        </is>
      </c>
      <c r="B418" s="32" t="inlineStr">
        <is>
          <t>Mart</t>
        </is>
      </c>
      <c r="C418" s="32" t="inlineStr">
        <is>
          <t>Slateport City</t>
        </is>
      </c>
      <c r="D418" s="32" t="inlineStr">
        <is>
          <t>Split 4</t>
        </is>
      </c>
      <c r="E418" s="32" t="n"/>
      <c r="F418" s="32" t="inlineStr">
        <is>
          <t>-</t>
        </is>
      </c>
    </row>
    <row r="419">
      <c r="A419" s="76" t="inlineStr">
        <is>
          <t>Protein</t>
        </is>
      </c>
      <c r="B419" s="76" t="inlineStr">
        <is>
          <t>Mart</t>
        </is>
      </c>
      <c r="C419" s="76" t="inlineStr">
        <is>
          <t>Slateport City</t>
        </is>
      </c>
      <c r="D419" s="76" t="inlineStr">
        <is>
          <t>Split 4</t>
        </is>
      </c>
      <c r="E419" s="76" t="n"/>
      <c r="F419" s="76" t="inlineStr">
        <is>
          <t>-</t>
        </is>
      </c>
    </row>
    <row r="420">
      <c r="A420" s="32" t="inlineStr">
        <is>
          <t>Zinc</t>
        </is>
      </c>
      <c r="B420" s="32" t="inlineStr">
        <is>
          <t>Mart</t>
        </is>
      </c>
      <c r="C420" s="32" t="inlineStr">
        <is>
          <t>Slateport City</t>
        </is>
      </c>
      <c r="D420" s="32" t="inlineStr">
        <is>
          <t>Split 4</t>
        </is>
      </c>
      <c r="E420" s="32" t="n"/>
      <c r="F420" s="32" t="inlineStr">
        <is>
          <t>-</t>
        </is>
      </c>
    </row>
    <row r="421">
      <c r="A421" s="76" t="inlineStr">
        <is>
          <t>Antidote</t>
        </is>
      </c>
      <c r="B421" s="76" t="inlineStr">
        <is>
          <t>Mart</t>
        </is>
      </c>
      <c r="C421" s="76" t="inlineStr">
        <is>
          <t>Slateport City - Mart</t>
        </is>
      </c>
      <c r="D421" s="76" t="inlineStr">
        <is>
          <t>Split 4</t>
        </is>
      </c>
      <c r="E421" s="76" t="n"/>
      <c r="F421" s="76" t="inlineStr">
        <is>
          <t>-</t>
        </is>
      </c>
    </row>
    <row r="422">
      <c r="A422" s="32" t="inlineStr">
        <is>
          <t>Escape Rope</t>
        </is>
      </c>
      <c r="B422" s="32" t="inlineStr">
        <is>
          <t>Mart</t>
        </is>
      </c>
      <c r="C422" s="32" t="inlineStr">
        <is>
          <t>Slateport City - Mart</t>
        </is>
      </c>
      <c r="D422" s="32" t="inlineStr">
        <is>
          <t>Split 4</t>
        </is>
      </c>
      <c r="E422" s="32" t="n"/>
      <c r="F422" s="32" t="inlineStr">
        <is>
          <t>-</t>
        </is>
      </c>
    </row>
    <row r="423">
      <c r="A423" s="76" t="inlineStr">
        <is>
          <t>Great Ball</t>
        </is>
      </c>
      <c r="B423" s="76" t="inlineStr">
        <is>
          <t>Mart</t>
        </is>
      </c>
      <c r="C423" s="76" t="inlineStr">
        <is>
          <t>Slateport City - Mart</t>
        </is>
      </c>
      <c r="D423" s="76" t="inlineStr">
        <is>
          <t>Split 4</t>
        </is>
      </c>
      <c r="E423" s="76" t="n"/>
      <c r="F423" s="76" t="inlineStr">
        <is>
          <t>-</t>
        </is>
      </c>
    </row>
    <row r="424">
      <c r="A424" s="32" t="inlineStr">
        <is>
          <t>Harbor Mail</t>
        </is>
      </c>
      <c r="B424" s="32" t="inlineStr">
        <is>
          <t>Mart</t>
        </is>
      </c>
      <c r="C424" s="32" t="inlineStr">
        <is>
          <t>Slateport City - Mart</t>
        </is>
      </c>
      <c r="D424" s="32" t="inlineStr">
        <is>
          <t>Split 4</t>
        </is>
      </c>
      <c r="E424" s="32" t="n"/>
      <c r="F424" s="32" t="inlineStr">
        <is>
          <t>-</t>
        </is>
      </c>
    </row>
    <row r="425">
      <c r="A425" s="76" t="inlineStr">
        <is>
          <t>Paralyze Heal</t>
        </is>
      </c>
      <c r="B425" s="76" t="inlineStr">
        <is>
          <t>Mart</t>
        </is>
      </c>
      <c r="C425" s="76" t="inlineStr">
        <is>
          <t>Slateport City - Mart</t>
        </is>
      </c>
      <c r="D425" s="76" t="inlineStr">
        <is>
          <t>Split 4</t>
        </is>
      </c>
      <c r="E425" s="76" t="n"/>
      <c r="F425" s="76" t="inlineStr">
        <is>
          <t>-</t>
        </is>
      </c>
    </row>
    <row r="426">
      <c r="A426" s="32" t="inlineStr">
        <is>
          <t>Poké Ball</t>
        </is>
      </c>
      <c r="B426" s="32" t="inlineStr">
        <is>
          <t>Mart</t>
        </is>
      </c>
      <c r="C426" s="32" t="inlineStr">
        <is>
          <t>Slateport City - Mart</t>
        </is>
      </c>
      <c r="D426" s="32" t="inlineStr">
        <is>
          <t>Split 4</t>
        </is>
      </c>
      <c r="E426" s="32" t="n"/>
      <c r="F426" s="32" t="inlineStr">
        <is>
          <t>-</t>
        </is>
      </c>
    </row>
    <row r="427">
      <c r="A427" s="76" t="inlineStr">
        <is>
          <t>Potion</t>
        </is>
      </c>
      <c r="B427" s="76" t="inlineStr">
        <is>
          <t>Mart</t>
        </is>
      </c>
      <c r="C427" s="76" t="inlineStr">
        <is>
          <t>Slateport City - Mart</t>
        </is>
      </c>
      <c r="D427" s="76" t="inlineStr">
        <is>
          <t>Split 4</t>
        </is>
      </c>
      <c r="E427" s="76" t="n"/>
      <c r="F427" s="76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Slateport City - Mart</t>
        </is>
      </c>
      <c r="D428" s="32" t="inlineStr">
        <is>
          <t>Split 4</t>
        </is>
      </c>
      <c r="E428" s="32" t="n"/>
      <c r="F428" s="32" t="inlineStr">
        <is>
          <t>-</t>
        </is>
      </c>
    </row>
    <row r="429">
      <c r="A429" s="76" t="inlineStr">
        <is>
          <t>Repel</t>
        </is>
      </c>
      <c r="B429" s="76" t="inlineStr">
        <is>
          <t>Mart</t>
        </is>
      </c>
      <c r="C429" s="76" t="inlineStr">
        <is>
          <t>Slateport City - Mart</t>
        </is>
      </c>
      <c r="D429" s="76" t="inlineStr">
        <is>
          <t>Split 4</t>
        </is>
      </c>
      <c r="E429" s="76" t="n"/>
      <c r="F429" s="76" t="inlineStr">
        <is>
          <t>-</t>
        </is>
      </c>
    </row>
    <row r="430">
      <c r="A430" s="32" t="inlineStr">
        <is>
          <t>Super Potion</t>
        </is>
      </c>
      <c r="B430" s="32" t="inlineStr">
        <is>
          <t>Mart</t>
        </is>
      </c>
      <c r="C430" s="32" t="inlineStr">
        <is>
          <t>Slateport City - Mart</t>
        </is>
      </c>
      <c r="D430" s="32" t="inlineStr">
        <is>
          <t>Split 4</t>
        </is>
      </c>
      <c r="E430" s="32" t="n"/>
      <c r="F430" s="32" t="inlineStr">
        <is>
          <t>-</t>
        </is>
      </c>
    </row>
    <row r="431">
      <c r="A431" s="76" t="inlineStr">
        <is>
          <t>Full Heal</t>
        </is>
      </c>
      <c r="B431" s="76" t="inlineStr">
        <is>
          <t>Mart</t>
        </is>
      </c>
      <c r="C431" s="76" t="inlineStr">
        <is>
          <t>Sootopolis City - Mart</t>
        </is>
      </c>
      <c r="D431" s="76" t="inlineStr">
        <is>
          <t>Split 8</t>
        </is>
      </c>
      <c r="E431" s="76" t="n"/>
      <c r="F431" s="76" t="inlineStr">
        <is>
          <t>-</t>
        </is>
      </c>
    </row>
    <row r="432">
      <c r="A432" s="32" t="inlineStr">
        <is>
          <t>Hyper Potion</t>
        </is>
      </c>
      <c r="B432" s="32" t="inlineStr">
        <is>
          <t>Mart</t>
        </is>
      </c>
      <c r="C432" s="32" t="inlineStr">
        <is>
          <t>Sootopolis City - Mart</t>
        </is>
      </c>
      <c r="D432" s="32" t="inlineStr">
        <is>
          <t>Split 8</t>
        </is>
      </c>
      <c r="E432" s="32" t="n"/>
      <c r="F432" s="32" t="inlineStr">
        <is>
          <t>-</t>
        </is>
      </c>
    </row>
    <row r="433">
      <c r="A433" s="76" t="inlineStr">
        <is>
          <t>Max Potion</t>
        </is>
      </c>
      <c r="B433" s="76" t="inlineStr">
        <is>
          <t>Mart</t>
        </is>
      </c>
      <c r="C433" s="76" t="inlineStr">
        <is>
          <t>Sootopolis City - Mart</t>
        </is>
      </c>
      <c r="D433" s="76" t="inlineStr">
        <is>
          <t>Split 8</t>
        </is>
      </c>
      <c r="E433" s="76" t="n"/>
      <c r="F433" s="76" t="inlineStr">
        <is>
          <t>-</t>
        </is>
      </c>
    </row>
    <row r="434">
      <c r="A434" s="32" t="inlineStr">
        <is>
          <t>Max Repel</t>
        </is>
      </c>
      <c r="B434" s="32" t="inlineStr">
        <is>
          <t>Mart</t>
        </is>
      </c>
      <c r="C434" s="32" t="inlineStr">
        <is>
          <t>Sootopolis City - Mart</t>
        </is>
      </c>
      <c r="D434" s="32" t="inlineStr">
        <is>
          <t>Split 8</t>
        </is>
      </c>
      <c r="E434" s="32" t="n"/>
      <c r="F434" s="32" t="inlineStr">
        <is>
          <t>-</t>
        </is>
      </c>
    </row>
    <row r="435">
      <c r="A435" s="76" t="inlineStr">
        <is>
          <t>Rare Candy</t>
        </is>
      </c>
      <c r="B435" s="76" t="inlineStr">
        <is>
          <t>Mart</t>
        </is>
      </c>
      <c r="C435" s="76" t="inlineStr">
        <is>
          <t>Sootopolis City - Mart</t>
        </is>
      </c>
      <c r="D435" s="76" t="inlineStr">
        <is>
          <t>Split 8</t>
        </is>
      </c>
      <c r="E435" s="76" t="n"/>
      <c r="F435" s="76" t="inlineStr">
        <is>
          <t>-</t>
        </is>
      </c>
    </row>
    <row r="436">
      <c r="A436" s="32" t="inlineStr">
        <is>
          <t>Revive</t>
        </is>
      </c>
      <c r="B436" s="32" t="inlineStr">
        <is>
          <t>Mart</t>
        </is>
      </c>
      <c r="C436" s="32" t="inlineStr">
        <is>
          <t>Sootopolis City - Mart</t>
        </is>
      </c>
      <c r="D436" s="32" t="inlineStr">
        <is>
          <t>Split 8</t>
        </is>
      </c>
      <c r="E436" s="32" t="n"/>
      <c r="F436" s="32" t="inlineStr">
        <is>
          <t>-</t>
        </is>
      </c>
    </row>
    <row r="437">
      <c r="A437" s="76" t="inlineStr">
        <is>
          <t>Shadow Mail</t>
        </is>
      </c>
      <c r="B437" s="76" t="inlineStr">
        <is>
          <t>Mart</t>
        </is>
      </c>
      <c r="C437" s="76" t="inlineStr">
        <is>
          <t>Sootopolis City - Mart</t>
        </is>
      </c>
      <c r="D437" s="76" t="inlineStr">
        <is>
          <t>Split 8</t>
        </is>
      </c>
      <c r="E437" s="76" t="n"/>
      <c r="F437" s="76" t="inlineStr">
        <is>
          <t>-</t>
        </is>
      </c>
    </row>
    <row r="438">
      <c r="A438" s="32" t="inlineStr">
        <is>
          <t>Ultra Ball</t>
        </is>
      </c>
      <c r="B438" s="32" t="inlineStr">
        <is>
          <t>Mart</t>
        </is>
      </c>
      <c r="C438" s="32" t="inlineStr">
        <is>
          <t>Sootopolis City - Mart</t>
        </is>
      </c>
      <c r="D438" s="32" t="inlineStr">
        <is>
          <t>Split 8</t>
        </is>
      </c>
      <c r="E438" s="32" t="n"/>
      <c r="F438" s="32" t="inlineStr">
        <is>
          <t>-</t>
        </is>
      </c>
    </row>
    <row r="439">
      <c r="A439" s="76" t="inlineStr">
        <is>
          <t>X Attack</t>
        </is>
      </c>
      <c r="B439" s="76" t="inlineStr">
        <is>
          <t>Mart</t>
        </is>
      </c>
      <c r="C439" s="76" t="inlineStr">
        <is>
          <t>Sootopolis City - Mart</t>
        </is>
      </c>
      <c r="D439" s="76" t="inlineStr">
        <is>
          <t>Split 8</t>
        </is>
      </c>
      <c r="E439" s="76" t="n"/>
      <c r="F439" s="76" t="inlineStr">
        <is>
          <t>-</t>
        </is>
      </c>
    </row>
    <row r="440">
      <c r="A440" s="32" t="inlineStr">
        <is>
          <t>X Defense</t>
        </is>
      </c>
      <c r="B440" s="32" t="inlineStr">
        <is>
          <t>Mart</t>
        </is>
      </c>
      <c r="C440" s="32" t="inlineStr">
        <is>
          <t>Sootopolis City - Mart</t>
        </is>
      </c>
      <c r="D440" s="32" t="inlineStr">
        <is>
          <t>Split 8</t>
        </is>
      </c>
      <c r="E440" s="32" t="n"/>
      <c r="F440" s="32" t="inlineStr">
        <is>
          <t>-</t>
        </is>
      </c>
    </row>
    <row r="441">
      <c r="A441" s="76" t="inlineStr">
        <is>
          <t>Antidote</t>
        </is>
      </c>
      <c r="B441" s="76" t="inlineStr">
        <is>
          <t>Mart</t>
        </is>
      </c>
      <c r="C441" s="76" t="inlineStr">
        <is>
          <t>Trainer Hill - Entrance</t>
        </is>
      </c>
      <c r="D441" s="76" t="inlineStr">
        <is>
          <t>Postgame</t>
        </is>
      </c>
      <c r="E441" s="76" t="n"/>
      <c r="F441" s="76" t="inlineStr">
        <is>
          <t>-</t>
        </is>
      </c>
    </row>
    <row r="442">
      <c r="A442" s="32" t="inlineStr">
        <is>
          <t>Awakening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6" t="inlineStr">
        <is>
          <t>Dire Hit</t>
        </is>
      </c>
      <c r="B443" s="76" t="inlineStr">
        <is>
          <t>Mart</t>
        </is>
      </c>
      <c r="C443" s="76" t="inlineStr">
        <is>
          <t>Trainer Hill - Entrance</t>
        </is>
      </c>
      <c r="D443" s="76" t="inlineStr">
        <is>
          <t>Postgame</t>
        </is>
      </c>
      <c r="E443" s="76" t="n"/>
      <c r="F443" s="76" t="inlineStr">
        <is>
          <t>-</t>
        </is>
      </c>
    </row>
    <row r="444">
      <c r="A444" s="32" t="inlineStr">
        <is>
          <t>Full Heal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6" t="inlineStr">
        <is>
          <t>Full Restore</t>
        </is>
      </c>
      <c r="B445" s="76" t="inlineStr">
        <is>
          <t>Mart</t>
        </is>
      </c>
      <c r="C445" s="76" t="inlineStr">
        <is>
          <t>Trainer Hill - Entrance</t>
        </is>
      </c>
      <c r="D445" s="76" t="inlineStr">
        <is>
          <t>Postgame</t>
        </is>
      </c>
      <c r="E445" s="76" t="n"/>
      <c r="F445" s="76" t="inlineStr">
        <is>
          <t>-</t>
        </is>
      </c>
    </row>
    <row r="446">
      <c r="A446" s="32" t="inlineStr">
        <is>
          <t>Guard Spec.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6" t="inlineStr">
        <is>
          <t>Hyper Potion</t>
        </is>
      </c>
      <c r="B447" s="76" t="inlineStr">
        <is>
          <t>Mart</t>
        </is>
      </c>
      <c r="C447" s="76" t="inlineStr">
        <is>
          <t>Trainer Hill - Entrance</t>
        </is>
      </c>
      <c r="D447" s="76" t="inlineStr">
        <is>
          <t>Postgame</t>
        </is>
      </c>
      <c r="E447" s="76" t="n"/>
      <c r="F447" s="76" t="inlineStr">
        <is>
          <t>-</t>
        </is>
      </c>
    </row>
    <row r="448">
      <c r="A448" s="32" t="inlineStr">
        <is>
          <t>Max Potion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6" t="inlineStr">
        <is>
          <t>Paralyze Heal</t>
        </is>
      </c>
      <c r="B449" s="76" t="inlineStr">
        <is>
          <t>Mart</t>
        </is>
      </c>
      <c r="C449" s="76" t="inlineStr">
        <is>
          <t>Trainer Hill - Entrance</t>
        </is>
      </c>
      <c r="D449" s="76" t="inlineStr">
        <is>
          <t>Postgame</t>
        </is>
      </c>
      <c r="E449" s="76" t="n"/>
      <c r="F449" s="76" t="inlineStr">
        <is>
          <t>-</t>
        </is>
      </c>
    </row>
    <row r="450">
      <c r="A450" s="32" t="inlineStr">
        <is>
          <t>Revive</t>
        </is>
      </c>
      <c r="B450" s="32" t="inlineStr">
        <is>
          <t>Mart</t>
        </is>
      </c>
      <c r="C450" s="32" t="inlineStr">
        <is>
          <t>Trainer Hill - Entrance</t>
        </is>
      </c>
      <c r="D450" s="32" t="inlineStr">
        <is>
          <t>Postgame</t>
        </is>
      </c>
      <c r="E450" s="32" t="n"/>
      <c r="F450" s="32" t="inlineStr">
        <is>
          <t>-</t>
        </is>
      </c>
    </row>
    <row r="451">
      <c r="A451" s="76" t="inlineStr">
        <is>
          <t>Super Potion</t>
        </is>
      </c>
      <c r="B451" s="76" t="inlineStr">
        <is>
          <t>Mart</t>
        </is>
      </c>
      <c r="C451" s="76" t="inlineStr">
        <is>
          <t>Trainer Hill - Entrance</t>
        </is>
      </c>
      <c r="D451" s="76" t="inlineStr">
        <is>
          <t>Postgame</t>
        </is>
      </c>
      <c r="E451" s="76" t="n"/>
      <c r="F451" s="76" t="inlineStr">
        <is>
          <t>-</t>
        </is>
      </c>
    </row>
    <row r="452">
      <c r="A452" s="32" t="inlineStr">
        <is>
          <t>X Accuracy</t>
        </is>
      </c>
      <c r="B452" s="32" t="inlineStr">
        <is>
          <t>Mart</t>
        </is>
      </c>
      <c r="C452" s="32" t="inlineStr">
        <is>
          <t>Trainer Hill - Entrance</t>
        </is>
      </c>
      <c r="D452" s="32" t="inlineStr">
        <is>
          <t>Postgame</t>
        </is>
      </c>
      <c r="E452" s="32" t="n"/>
      <c r="F452" s="32" t="inlineStr">
        <is>
          <t>-</t>
        </is>
      </c>
    </row>
    <row r="453">
      <c r="A453" s="76" t="inlineStr">
        <is>
          <t>X Attack</t>
        </is>
      </c>
      <c r="B453" s="76" t="inlineStr">
        <is>
          <t>Mart</t>
        </is>
      </c>
      <c r="C453" s="76" t="inlineStr">
        <is>
          <t>Trainer Hill - Entrance</t>
        </is>
      </c>
      <c r="D453" s="76" t="inlineStr">
        <is>
          <t>Postgame</t>
        </is>
      </c>
      <c r="E453" s="76" t="n"/>
      <c r="F453" s="76" t="inlineStr">
        <is>
          <t>-</t>
        </is>
      </c>
    </row>
    <row r="454">
      <c r="A454" s="32" t="inlineStr">
        <is>
          <t>X Defense</t>
        </is>
      </c>
      <c r="B454" s="32" t="inlineStr">
        <is>
          <t>Mart</t>
        </is>
      </c>
      <c r="C454" s="32" t="inlineStr">
        <is>
          <t>Trainer Hill - Entrance</t>
        </is>
      </c>
      <c r="D454" s="32" t="inlineStr">
        <is>
          <t>Postgame</t>
        </is>
      </c>
      <c r="E454" s="32" t="n"/>
      <c r="F454" s="32" t="inlineStr">
        <is>
          <t>-</t>
        </is>
      </c>
    </row>
    <row r="455">
      <c r="A455" s="76" t="inlineStr">
        <is>
          <t>X Speed</t>
        </is>
      </c>
      <c r="B455" s="76" t="inlineStr">
        <is>
          <t>Mart</t>
        </is>
      </c>
      <c r="C455" s="76" t="inlineStr">
        <is>
          <t>Trainer Hill - Entrance</t>
        </is>
      </c>
      <c r="D455" s="76" t="inlineStr">
        <is>
          <t>Postgame</t>
        </is>
      </c>
      <c r="E455" s="76" t="n"/>
      <c r="F455" s="76" t="inlineStr">
        <is>
          <t>-</t>
        </is>
      </c>
    </row>
    <row r="456">
      <c r="A456" s="32" t="inlineStr">
        <is>
          <t>X Sp. Atk</t>
        </is>
      </c>
      <c r="B456" s="32" t="inlineStr">
        <is>
          <t>Mart</t>
        </is>
      </c>
      <c r="C456" s="32" t="inlineStr">
        <is>
          <t>Trainer Hill - Entrance</t>
        </is>
      </c>
      <c r="D456" s="32" t="inlineStr">
        <is>
          <t>Postgame</t>
        </is>
      </c>
      <c r="E456" s="32" t="n"/>
      <c r="F456" s="32" t="inlineStr">
        <is>
          <t>-</t>
        </is>
      </c>
    </row>
    <row r="457">
      <c r="A457" s="76" t="inlineStr">
        <is>
          <t>Antidote</t>
        </is>
      </c>
      <c r="B457" s="76" t="inlineStr">
        <is>
          <t>Mart</t>
        </is>
      </c>
      <c r="C457" s="76" t="inlineStr">
        <is>
          <t>Verdanturf Town - Mart</t>
        </is>
      </c>
      <c r="D457" s="76" t="inlineStr">
        <is>
          <t>Split 4</t>
        </is>
      </c>
      <c r="E457" s="76" t="n"/>
      <c r="F457" s="76" t="inlineStr">
        <is>
          <t>-</t>
        </is>
      </c>
    </row>
    <row r="458">
      <c r="A458" s="32" t="inlineStr">
        <is>
          <t>Awakening</t>
        </is>
      </c>
      <c r="B458" s="32" t="inlineStr">
        <is>
          <t>Mart</t>
        </is>
      </c>
      <c r="C458" s="32" t="inlineStr">
        <is>
          <t>Verdanturf Town - Mart</t>
        </is>
      </c>
      <c r="D458" s="32" t="inlineStr">
        <is>
          <t>Split 4</t>
        </is>
      </c>
      <c r="E458" s="32" t="n"/>
      <c r="F458" s="32" t="inlineStr">
        <is>
          <t>-</t>
        </is>
      </c>
    </row>
    <row r="459">
      <c r="A459" s="76" t="inlineStr">
        <is>
          <t>Burn Heal</t>
        </is>
      </c>
      <c r="B459" s="76" t="inlineStr">
        <is>
          <t>Mart</t>
        </is>
      </c>
      <c r="C459" s="76" t="inlineStr">
        <is>
          <t>Verdanturf Town - Mart</t>
        </is>
      </c>
      <c r="D459" s="76" t="inlineStr">
        <is>
          <t>Split 4</t>
        </is>
      </c>
      <c r="E459" s="76" t="n"/>
      <c r="F459" s="76" t="inlineStr">
        <is>
          <t>-</t>
        </is>
      </c>
    </row>
    <row r="460">
      <c r="A460" s="32" t="inlineStr">
        <is>
          <t>Fluffy Tail</t>
        </is>
      </c>
      <c r="B460" s="32" t="inlineStr">
        <is>
          <t>Mart</t>
        </is>
      </c>
      <c r="C460" s="32" t="inlineStr">
        <is>
          <t>Verdanturf Town - Mart</t>
        </is>
      </c>
      <c r="D460" s="32" t="inlineStr">
        <is>
          <t>Split 4</t>
        </is>
      </c>
      <c r="E460" s="32" t="n"/>
      <c r="F460" s="32" t="inlineStr">
        <is>
          <t>-</t>
        </is>
      </c>
    </row>
    <row r="461">
      <c r="A461" s="76" t="inlineStr">
        <is>
          <t>Great Ball</t>
        </is>
      </c>
      <c r="B461" s="76" t="inlineStr">
        <is>
          <t>Mart</t>
        </is>
      </c>
      <c r="C461" s="76" t="inlineStr">
        <is>
          <t>Verdanturf Town - Mart</t>
        </is>
      </c>
      <c r="D461" s="76" t="inlineStr">
        <is>
          <t>Split 4</t>
        </is>
      </c>
      <c r="E461" s="76" t="n"/>
      <c r="F461" s="76" t="inlineStr">
        <is>
          <t>-</t>
        </is>
      </c>
    </row>
    <row r="462">
      <c r="A462" s="32" t="inlineStr">
        <is>
          <t>Ice Heal</t>
        </is>
      </c>
      <c r="B462" s="32" t="inlineStr">
        <is>
          <t>Mart</t>
        </is>
      </c>
      <c r="C462" s="32" t="inlineStr">
        <is>
          <t>Verdanturf Town - Mart</t>
        </is>
      </c>
      <c r="D462" s="32" t="inlineStr">
        <is>
          <t>Split 4</t>
        </is>
      </c>
      <c r="E462" s="32" t="n"/>
      <c r="F462" s="32" t="inlineStr">
        <is>
          <t>-</t>
        </is>
      </c>
    </row>
    <row r="463">
      <c r="A463" s="76" t="inlineStr">
        <is>
          <t>Nest Ball</t>
        </is>
      </c>
      <c r="B463" s="76" t="inlineStr">
        <is>
          <t>Mart</t>
        </is>
      </c>
      <c r="C463" s="76" t="inlineStr">
        <is>
          <t>Verdanturf Town - Mart</t>
        </is>
      </c>
      <c r="D463" s="76" t="inlineStr">
        <is>
          <t>Split 4</t>
        </is>
      </c>
      <c r="E463" s="76" t="n"/>
      <c r="F463" s="76" t="inlineStr">
        <is>
          <t>-</t>
        </is>
      </c>
    </row>
    <row r="464">
      <c r="A464" s="32" t="inlineStr">
        <is>
          <t>Paralyze Heal</t>
        </is>
      </c>
      <c r="B464" s="32" t="inlineStr">
        <is>
          <t>Mart</t>
        </is>
      </c>
      <c r="C464" s="32" t="inlineStr">
        <is>
          <t>Verdanturf Town - Mart</t>
        </is>
      </c>
      <c r="D464" s="32" t="inlineStr">
        <is>
          <t>Split 4</t>
        </is>
      </c>
      <c r="E464" s="32" t="n"/>
      <c r="F464" s="32" t="inlineStr">
        <is>
          <t>-</t>
        </is>
      </c>
    </row>
    <row r="465">
      <c r="A465" s="76" t="inlineStr">
        <is>
          <t>Rare Candy</t>
        </is>
      </c>
      <c r="B465" s="76" t="inlineStr">
        <is>
          <t>Mart</t>
        </is>
      </c>
      <c r="C465" s="76" t="inlineStr">
        <is>
          <t>Verdanturf Town - Mart</t>
        </is>
      </c>
      <c r="D465" s="76" t="inlineStr">
        <is>
          <t>Split 4</t>
        </is>
      </c>
      <c r="E465" s="76" t="n"/>
      <c r="F465" s="76" t="inlineStr">
        <is>
          <t>-</t>
        </is>
      </c>
    </row>
    <row r="466">
      <c r="A466" s="32" t="inlineStr">
        <is>
          <t>Repel</t>
        </is>
      </c>
      <c r="B466" s="32" t="inlineStr">
        <is>
          <t>Mart</t>
        </is>
      </c>
      <c r="C466" s="32" t="inlineStr">
        <is>
          <t>Verdanturf Town - Mart</t>
        </is>
      </c>
      <c r="D466" s="32" t="inlineStr">
        <is>
          <t>Split 4</t>
        </is>
      </c>
      <c r="E466" s="32" t="n"/>
      <c r="F466" s="32" t="inlineStr">
        <is>
          <t>-</t>
        </is>
      </c>
    </row>
    <row r="467">
      <c r="A467" s="76" t="inlineStr">
        <is>
          <t>Super Potion</t>
        </is>
      </c>
      <c r="B467" s="76" t="inlineStr">
        <is>
          <t>Mart</t>
        </is>
      </c>
      <c r="C467" s="76" t="inlineStr">
        <is>
          <t>Verdanturf Town - Mart</t>
        </is>
      </c>
      <c r="D467" s="76" t="inlineStr">
        <is>
          <t>Split 4</t>
        </is>
      </c>
      <c r="E467" s="76" t="n"/>
      <c r="F467" s="76" t="inlineStr">
        <is>
          <t>-</t>
        </is>
      </c>
    </row>
    <row r="468">
      <c r="A468" s="32" t="inlineStr">
        <is>
          <t>X Sp. Atk</t>
        </is>
      </c>
      <c r="B468" s="32" t="inlineStr">
        <is>
          <t>Mart</t>
        </is>
      </c>
      <c r="C468" s="32" t="inlineStr">
        <is>
          <t>Verdanturf Town - Mart</t>
        </is>
      </c>
      <c r="D468" s="32" t="inlineStr">
        <is>
          <t>Split 4</t>
        </is>
      </c>
      <c r="E468" s="32" t="n"/>
      <c r="F468" s="32" t="inlineStr">
        <is>
          <t>-</t>
        </is>
      </c>
    </row>
  </sheetData>
  <autoFilter ref="A1:F46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6" t="inlineStr">
        <is>
          <t>AUTO-LEVELCAP</t>
        </is>
      </c>
      <c r="B3" s="76" t="inlineStr">
        <is>
          <t>No level cap is enforced (B_LEVEL_CAP_TYPE = LEVEL_CAP_NONE)</t>
        </is>
      </c>
      <c r="C3" s="76" t="inlineStr">
        <is>
          <t>Progression</t>
        </is>
      </c>
      <c r="D3" s="76" t="inlineStr">
        <is>
          <t>include/config/caps.h</t>
        </is>
      </c>
      <c r="E3" s="76" t="inlineStr">
        <is>
          <t>Whole game</t>
        </is>
      </c>
      <c r="F3" s="76" t="inlineStr">
        <is>
          <t>MEDIUM</t>
        </is>
      </c>
      <c r="G3" s="76" t="inlineStr">
        <is>
          <t>If boss-entry level limits are wanted, set B_LEVEL_CAP_TYPE to LEVEL_CAP_FLAG_LIST and populate sLevelCapFlagMap in src/caps.c.</t>
        </is>
      </c>
      <c r="H3" s="76" t="inlineStr">
        <is>
          <t>OPEN (not auto-fixed)</t>
        </is>
      </c>
      <c r="I3" s="76" t="inlineStr">
        <is>
          <t>config read</t>
        </is>
      </c>
    </row>
  </sheetData>
  <autoFilter ref="A1:I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4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6" t="inlineStr">
        <is>
          <t>2026-09-30</t>
        </is>
      </c>
      <c r="B3" s="76" t="inlineStr">
        <is>
          <t>Abilities</t>
        </is>
      </c>
      <c r="C3" s="76" t="inlineStr">
        <is>
          <t>Abomasnow abilities</t>
        </is>
      </c>
      <c r="D3" s="76" t="inlineStr">
        <is>
          <t>Snow Warning / Snow Warning / Snow Warning</t>
        </is>
      </c>
      <c r="E3" s="76" t="inlineStr">
        <is>
          <t>Sap Sipper / Sap Sipper / Sap Sipper</t>
        </is>
      </c>
      <c r="F3" s="76" t="inlineStr">
        <is>
          <t>Differs from upstream baseline</t>
        </is>
      </c>
      <c r="G3" s="76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6" t="inlineStr">
        <is>
          <t>2026-09-30</t>
        </is>
      </c>
      <c r="B5" s="76" t="inlineStr">
        <is>
          <t>Pokemon Stats</t>
        </is>
      </c>
      <c r="C5" s="76" t="inlineStr">
        <is>
          <t>Absol baseHP</t>
        </is>
      </c>
      <c r="D5" s="76" t="n">
        <v>65</v>
      </c>
      <c r="E5" s="76" t="n">
        <v>70</v>
      </c>
      <c r="F5" s="76" t="inlineStr">
        <is>
          <t>Differs from upstream baseline</t>
        </is>
      </c>
      <c r="G5" s="76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6" t="inlineStr">
        <is>
          <t>2026-09-30</t>
        </is>
      </c>
      <c r="B7" s="76" t="inlineStr">
        <is>
          <t>Pokemon Stats</t>
        </is>
      </c>
      <c r="C7" s="76" t="inlineStr">
        <is>
          <t>Absol baseSpeed</t>
        </is>
      </c>
      <c r="D7" s="76" t="n">
        <v>75</v>
      </c>
      <c r="E7" s="76" t="n">
        <v>95</v>
      </c>
      <c r="F7" s="76" t="inlineStr">
        <is>
          <t>Differs from upstream baseline</t>
        </is>
      </c>
      <c r="G7" s="76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6" t="inlineStr">
        <is>
          <t>2026-09-30</t>
        </is>
      </c>
      <c r="B9" s="76" t="inlineStr">
        <is>
          <t>Pokemon Stats</t>
        </is>
      </c>
      <c r="C9" s="76" t="inlineStr">
        <is>
          <t>Absol baseSpAttack</t>
        </is>
      </c>
      <c r="D9" s="76" t="n">
        <v>115</v>
      </c>
      <c r="E9" s="76" t="n">
        <v>155</v>
      </c>
      <c r="F9" s="76" t="inlineStr">
        <is>
          <t>Differs from upstream baseline</t>
        </is>
      </c>
      <c r="G9" s="76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6" t="inlineStr">
        <is>
          <t>2026-09-30</t>
        </is>
      </c>
      <c r="B11" s="76" t="inlineStr">
        <is>
          <t>Pokemon Stats</t>
        </is>
      </c>
      <c r="C11" s="76" t="inlineStr">
        <is>
          <t>Accelgor baseHP</t>
        </is>
      </c>
      <c r="D11" s="76" t="n">
        <v>80</v>
      </c>
      <c r="E11" s="76" t="n">
        <v>81</v>
      </c>
      <c r="F11" s="76" t="inlineStr">
        <is>
          <t>Differs from upstream baseline</t>
        </is>
      </c>
      <c r="G11" s="76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6" t="inlineStr">
        <is>
          <t>2026-09-30</t>
        </is>
      </c>
      <c r="B13" s="76" t="inlineStr">
        <is>
          <t>Pokemon Stats</t>
        </is>
      </c>
      <c r="C13" s="76" t="inlineStr">
        <is>
          <t>Accelgor baseDefense</t>
        </is>
      </c>
      <c r="D13" s="76" t="n">
        <v>40</v>
      </c>
      <c r="E13" s="76" t="n">
        <v>52</v>
      </c>
      <c r="F13" s="76" t="inlineStr">
        <is>
          <t>Differs from upstream baseline</t>
        </is>
      </c>
      <c r="G13" s="76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6" t="inlineStr">
        <is>
          <t>2026-09-30</t>
        </is>
      </c>
      <c r="B15" s="76" t="inlineStr">
        <is>
          <t>Pokemon Stats</t>
        </is>
      </c>
      <c r="C15" s="76" t="inlineStr">
        <is>
          <t>Accelgor baseSpDefense</t>
        </is>
      </c>
      <c r="D15" s="76" t="n">
        <v>60</v>
      </c>
      <c r="E15" s="76" t="n">
        <v>68</v>
      </c>
      <c r="F15" s="76" t="inlineStr">
        <is>
          <t>Differs from upstream baseline</t>
        </is>
      </c>
      <c r="G15" s="76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6" t="inlineStr">
        <is>
          <t>2026-09-30</t>
        </is>
      </c>
      <c r="B17" s="76" t="inlineStr">
        <is>
          <t>Pokemon Stats</t>
        </is>
      </c>
      <c r="C17" s="76" t="inlineStr">
        <is>
          <t>Aegislash baseAttack</t>
        </is>
      </c>
      <c r="D17" s="76" t="n">
        <v>50</v>
      </c>
      <c r="E17" s="76" t="n">
        <v>58</v>
      </c>
      <c r="F17" s="76" t="inlineStr">
        <is>
          <t>Differs from upstream baseline</t>
        </is>
      </c>
      <c r="G17" s="76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6" t="inlineStr">
        <is>
          <t>2026-09-30</t>
        </is>
      </c>
      <c r="B19" s="76" t="inlineStr">
        <is>
          <t>Pokemon Stats</t>
        </is>
      </c>
      <c r="C19" s="76" t="inlineStr">
        <is>
          <t>Aegislash baseSpeed</t>
        </is>
      </c>
      <c r="D19" s="76" t="n">
        <v>60</v>
      </c>
      <c r="E19" s="76" t="n">
        <v>64</v>
      </c>
      <c r="F19" s="76" t="inlineStr">
        <is>
          <t>Differs from upstream baseline</t>
        </is>
      </c>
      <c r="G19" s="76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6" t="inlineStr">
        <is>
          <t>2026-09-30</t>
        </is>
      </c>
      <c r="B21" s="76" t="inlineStr">
        <is>
          <t>Abilities</t>
        </is>
      </c>
      <c r="C21" s="76" t="inlineStr">
        <is>
          <t>Aggron abilities</t>
        </is>
      </c>
      <c r="D21" s="76" t="inlineStr">
        <is>
          <t>Sturdy / Rock Head / Heavy Metal</t>
        </is>
      </c>
      <c r="E21" s="76" t="inlineStr">
        <is>
          <t>Rock Head / Rock Head / Heavy Metal</t>
        </is>
      </c>
      <c r="F21" s="76" t="inlineStr">
        <is>
          <t>Differs from upstream baseline</t>
        </is>
      </c>
      <c r="G21" s="76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6" t="inlineStr">
        <is>
          <t>2026-09-30</t>
        </is>
      </c>
      <c r="B23" s="76" t="inlineStr">
        <is>
          <t>Pokemon Stats</t>
        </is>
      </c>
      <c r="C23" s="76" t="inlineStr">
        <is>
          <t>Alakazam baseSpDefense</t>
        </is>
      </c>
      <c r="D23" s="76" t="n">
        <v>95</v>
      </c>
      <c r="E23" s="76" t="n">
        <v>85</v>
      </c>
      <c r="F23" s="76" t="inlineStr">
        <is>
          <t>Differs from upstream baseline</t>
        </is>
      </c>
      <c r="G23" s="76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6" t="inlineStr">
        <is>
          <t>2026-09-30</t>
        </is>
      </c>
      <c r="B25" s="76" t="inlineStr">
        <is>
          <t>Pokemon Stats</t>
        </is>
      </c>
      <c r="C25" s="76" t="inlineStr">
        <is>
          <t>Alakazam baseSpDefense</t>
        </is>
      </c>
      <c r="D25" s="76" t="n">
        <v>10</v>
      </c>
      <c r="E25" s="76" t="n">
        <v>95</v>
      </c>
      <c r="F25" s="76" t="inlineStr">
        <is>
          <t>Differs from upstream baseline</t>
        </is>
      </c>
      <c r="G25" s="76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6" t="inlineStr">
        <is>
          <t>2026-09-30</t>
        </is>
      </c>
      <c r="B27" s="76" t="inlineStr">
        <is>
          <t>Pokemon Stats</t>
        </is>
      </c>
      <c r="C27" s="76" t="inlineStr">
        <is>
          <t>Alomomola baseDefense</t>
        </is>
      </c>
      <c r="D27" s="76" t="n">
        <v>80</v>
      </c>
      <c r="E27" s="76" t="n">
        <v>81</v>
      </c>
      <c r="F27" s="76" t="inlineStr">
        <is>
          <t>Differs from upstream baseline</t>
        </is>
      </c>
      <c r="G27" s="76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6" t="inlineStr">
        <is>
          <t>2026-09-30</t>
        </is>
      </c>
      <c r="B29" s="76" t="inlineStr">
        <is>
          <t>Pokemon Stats</t>
        </is>
      </c>
      <c r="C29" s="76" t="inlineStr">
        <is>
          <t>Alomomola baseSpeed</t>
        </is>
      </c>
      <c r="D29" s="76" t="n">
        <v>65</v>
      </c>
      <c r="E29" s="76" t="n">
        <v>78</v>
      </c>
      <c r="F29" s="76" t="inlineStr">
        <is>
          <t>Differs from upstream baseline</t>
        </is>
      </c>
      <c r="G29" s="76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6" t="inlineStr">
        <is>
          <t>2026-09-30</t>
        </is>
      </c>
      <c r="B31" s="76" t="inlineStr">
        <is>
          <t>Pokemon Stats</t>
        </is>
      </c>
      <c r="C31" s="76" t="inlineStr">
        <is>
          <t>Altaria baseSpAttack</t>
        </is>
      </c>
      <c r="D31" s="76" t="n">
        <v>70</v>
      </c>
      <c r="E31" s="76" t="n">
        <v>80</v>
      </c>
      <c r="F31" s="76" t="inlineStr">
        <is>
          <t>Differs from upstream baseline</t>
        </is>
      </c>
      <c r="G31" s="76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6" t="inlineStr">
        <is>
          <t>2026-09-30</t>
        </is>
      </c>
      <c r="B33" s="76" t="inlineStr">
        <is>
          <t>Pokemon Stats</t>
        </is>
      </c>
      <c r="C33" s="76" t="inlineStr">
        <is>
          <t>Altaria baseAttack</t>
        </is>
      </c>
      <c r="D33" s="76" t="n">
        <v>110</v>
      </c>
      <c r="E33" s="76" t="n">
        <v>120</v>
      </c>
      <c r="F33" s="76" t="inlineStr">
        <is>
          <t>Differs from upstream baseline</t>
        </is>
      </c>
      <c r="G33" s="76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6" t="inlineStr">
        <is>
          <t>2026-09-30</t>
        </is>
      </c>
      <c r="B35" s="76" t="inlineStr">
        <is>
          <t>Abilities</t>
        </is>
      </c>
      <c r="C35" s="76" t="inlineStr">
        <is>
          <t>Amaura abilities</t>
        </is>
      </c>
      <c r="D35" s="76" t="inlineStr">
        <is>
          <t>Refrigerate / Snow Warning</t>
        </is>
      </c>
      <c r="E35" s="76" t="inlineStr">
        <is>
          <t>Refrigerate / Thick Fat</t>
        </is>
      </c>
      <c r="F35" s="76" t="inlineStr">
        <is>
          <t>Differs from upstream baseline</t>
        </is>
      </c>
      <c r="G35" s="76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6" t="inlineStr">
        <is>
          <t>2026-09-30</t>
        </is>
      </c>
      <c r="B37" s="76" t="inlineStr">
        <is>
          <t>Pokemon Stats</t>
        </is>
      </c>
      <c r="C37" s="76" t="inlineStr">
        <is>
          <t>Amoonguss baseDefense</t>
        </is>
      </c>
      <c r="D37" s="76" t="n">
        <v>70</v>
      </c>
      <c r="E37" s="76" t="n">
        <v>71</v>
      </c>
      <c r="F37" s="76" t="inlineStr">
        <is>
          <t>Differs from upstream baseline</t>
        </is>
      </c>
      <c r="G37" s="76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6" t="inlineStr">
        <is>
          <t>2026-09-30</t>
        </is>
      </c>
      <c r="B39" s="76" t="inlineStr">
        <is>
          <t>Pokemon Stats</t>
        </is>
      </c>
      <c r="C39" s="76" t="inlineStr">
        <is>
          <t>Ampharos baseDefense</t>
        </is>
      </c>
      <c r="D39" s="76" t="n">
        <v>85</v>
      </c>
      <c r="E39" s="76" t="n">
        <v>75</v>
      </c>
      <c r="F39" s="76" t="inlineStr">
        <is>
          <t>Differs from upstream baseline</t>
        </is>
      </c>
      <c r="G39" s="76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6" t="inlineStr">
        <is>
          <t>2026-09-30</t>
        </is>
      </c>
      <c r="B41" s="76" t="inlineStr">
        <is>
          <t>Abilities</t>
        </is>
      </c>
      <c r="C41" s="76" t="inlineStr">
        <is>
          <t>Ampharos abilities</t>
        </is>
      </c>
      <c r="D41" s="76" t="inlineStr">
        <is>
          <t>Static / Plus</t>
        </is>
      </c>
      <c r="E41" s="76" t="inlineStr">
        <is>
          <t>No Guard / Plus</t>
        </is>
      </c>
      <c r="F41" s="76" t="inlineStr">
        <is>
          <t>Differs from upstream baseline</t>
        </is>
      </c>
      <c r="G41" s="76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6" t="inlineStr">
        <is>
          <t>2026-09-30</t>
        </is>
      </c>
      <c r="B43" s="76" t="inlineStr">
        <is>
          <t>Pokemon Stats</t>
        </is>
      </c>
      <c r="C43" s="76" t="inlineStr">
        <is>
          <t>Ampharos baseSpAttack</t>
        </is>
      </c>
      <c r="D43" s="76" t="n">
        <v>165</v>
      </c>
      <c r="E43" s="76" t="n">
        <v>175</v>
      </c>
      <c r="F43" s="76" t="inlineStr">
        <is>
          <t>Differs from upstream baseline</t>
        </is>
      </c>
      <c r="G43" s="76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6" t="inlineStr">
        <is>
          <t>2026-09-30</t>
        </is>
      </c>
      <c r="B45" s="76" t="inlineStr">
        <is>
          <t>Pokemon Stats</t>
        </is>
      </c>
      <c r="C45" s="76" t="inlineStr">
        <is>
          <t>Annihilape baseSpAttack</t>
        </is>
      </c>
      <c r="D45" s="76" t="n">
        <v>50</v>
      </c>
      <c r="E45" s="76" t="n">
        <v>30</v>
      </c>
      <c r="F45" s="76" t="inlineStr">
        <is>
          <t>Differs from upstream baseline</t>
        </is>
      </c>
      <c r="G45" s="76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6" t="inlineStr">
        <is>
          <t>2026-09-30</t>
        </is>
      </c>
      <c r="B47" s="76" t="inlineStr">
        <is>
          <t>Abilities</t>
        </is>
      </c>
      <c r="C47" s="76" t="inlineStr">
        <is>
          <t>Anorith abilities</t>
        </is>
      </c>
      <c r="D47" s="76" t="inlineStr">
        <is>
          <t>Battle Armor / Swift Swim</t>
        </is>
      </c>
      <c r="E47" s="76" t="inlineStr">
        <is>
          <t>Swift Swim / Battle Armor / Swift Swim</t>
        </is>
      </c>
      <c r="F47" s="76" t="inlineStr">
        <is>
          <t>Differs from upstream baseline</t>
        </is>
      </c>
      <c r="G47" s="76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6" t="inlineStr">
        <is>
          <t>2026-09-30</t>
        </is>
      </c>
      <c r="B49" s="76" t="inlineStr">
        <is>
          <t>Abilities</t>
        </is>
      </c>
      <c r="C49" s="76" t="inlineStr">
        <is>
          <t>Arcanine abilities</t>
        </is>
      </c>
      <c r="D49" s="76" t="inlineStr">
        <is>
          <t>Intimidate / Flash Fire / Justified</t>
        </is>
      </c>
      <c r="E49" s="76" t="inlineStr">
        <is>
          <t>Intimidate / Intimidate / Justified</t>
        </is>
      </c>
      <c r="F49" s="76" t="inlineStr">
        <is>
          <t>Differs from upstream baseline</t>
        </is>
      </c>
      <c r="G49" s="76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6" t="inlineStr">
        <is>
          <t>2026-09-30</t>
        </is>
      </c>
      <c r="B51" s="76" t="inlineStr">
        <is>
          <t>Pokemon Stats</t>
        </is>
      </c>
      <c r="C51" s="76" t="inlineStr">
        <is>
          <t>Archeops baseAttack</t>
        </is>
      </c>
      <c r="D51" s="76" t="n">
        <v>140</v>
      </c>
      <c r="E51" s="76" t="n">
        <v>130</v>
      </c>
      <c r="F51" s="76" t="inlineStr">
        <is>
          <t>Differs from upstream baseline</t>
        </is>
      </c>
      <c r="G51" s="76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6" t="inlineStr">
        <is>
          <t>2026-09-30</t>
        </is>
      </c>
      <c r="B53" s="76" t="inlineStr">
        <is>
          <t>Pokemon Stats</t>
        </is>
      </c>
      <c r="C53" s="76" t="inlineStr">
        <is>
          <t>Ariados baseAttack</t>
        </is>
      </c>
      <c r="D53" s="76" t="n">
        <v>90</v>
      </c>
      <c r="E53" s="76" t="n">
        <v>95</v>
      </c>
      <c r="F53" s="76" t="inlineStr">
        <is>
          <t>Differs from upstream baseline</t>
        </is>
      </c>
      <c r="G53" s="76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6" t="inlineStr">
        <is>
          <t>2026-09-30</t>
        </is>
      </c>
      <c r="B55" s="76" t="inlineStr">
        <is>
          <t>Pokemon Stats</t>
        </is>
      </c>
      <c r="C55" s="76" t="inlineStr">
        <is>
          <t>Ariados baseSpDefense</t>
        </is>
      </c>
      <c r="D55" s="76" t="n">
        <v>70</v>
      </c>
      <c r="E55" s="76" t="n">
        <v>80</v>
      </c>
      <c r="F55" s="76" t="inlineStr">
        <is>
          <t>Differs from upstream baseline</t>
        </is>
      </c>
      <c r="G55" s="76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6" t="inlineStr">
        <is>
          <t>2026-09-30</t>
        </is>
      </c>
      <c r="B57" s="76" t="inlineStr">
        <is>
          <t>Abilities</t>
        </is>
      </c>
      <c r="C57" s="76" t="inlineStr">
        <is>
          <t>Ariados abilities</t>
        </is>
      </c>
      <c r="D57" s="76" t="inlineStr">
        <is>
          <t>Swarm / Insomnia / Sniper</t>
        </is>
      </c>
      <c r="E57" s="76" t="inlineStr">
        <is>
          <t>Intimidate / Insomnia / Sniper</t>
        </is>
      </c>
      <c r="F57" s="76" t="inlineStr">
        <is>
          <t>Differs from upstream baseline</t>
        </is>
      </c>
      <c r="G57" s="76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6" t="inlineStr">
        <is>
          <t>2026-09-30</t>
        </is>
      </c>
      <c r="B59" s="76" t="inlineStr">
        <is>
          <t>Pokemon Stats</t>
        </is>
      </c>
      <c r="C59" s="76" t="inlineStr">
        <is>
          <t>Aromatisse baseHP</t>
        </is>
      </c>
      <c r="D59" s="76" t="n">
        <v>101</v>
      </c>
      <c r="E59" s="76" t="n">
        <v>111</v>
      </c>
      <c r="F59" s="76" t="inlineStr">
        <is>
          <t>Differs from upstream baseline</t>
        </is>
      </c>
      <c r="G59" s="76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6" t="inlineStr">
        <is>
          <t>2026-09-30</t>
        </is>
      </c>
      <c r="B61" s="76" t="inlineStr">
        <is>
          <t>Pokemon Stats</t>
        </is>
      </c>
      <c r="C61" s="76" t="inlineStr">
        <is>
          <t>Aromatisse baseSpAttack</t>
        </is>
      </c>
      <c r="D61" s="76" t="n">
        <v>99</v>
      </c>
      <c r="E61" s="76" t="n">
        <v>109</v>
      </c>
      <c r="F61" s="76" t="inlineStr">
        <is>
          <t>Differs from upstream baseline</t>
        </is>
      </c>
      <c r="G61" s="76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6" t="inlineStr">
        <is>
          <t>2026-09-30</t>
        </is>
      </c>
      <c r="B63" s="76" t="inlineStr">
        <is>
          <t>Abilities</t>
        </is>
      </c>
      <c r="C63" s="76" t="inlineStr">
        <is>
          <t>Aromatisse abilities</t>
        </is>
      </c>
      <c r="D63" s="76" t="inlineStr">
        <is>
          <t>Healer / Aroma Veil</t>
        </is>
      </c>
      <c r="E63" s="76" t="inlineStr">
        <is>
          <t>Healer / Aroma Veil / Regenerator</t>
        </is>
      </c>
      <c r="F63" s="76" t="inlineStr">
        <is>
          <t>Differs from upstream baseline</t>
        </is>
      </c>
      <c r="G63" s="76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6" t="inlineStr">
        <is>
          <t>2026-09-30</t>
        </is>
      </c>
      <c r="B65" s="76" t="inlineStr">
        <is>
          <t>Abilities</t>
        </is>
      </c>
      <c r="C65" s="76" t="inlineStr">
        <is>
          <t>Aron abilities</t>
        </is>
      </c>
      <c r="D65" s="76" t="inlineStr">
        <is>
          <t>Sturdy / Rock Head / Heavy Metal</t>
        </is>
      </c>
      <c r="E65" s="76" t="inlineStr">
        <is>
          <t>Rock Head / Rock Head / Heavy Metal</t>
        </is>
      </c>
      <c r="F65" s="76" t="inlineStr">
        <is>
          <t>Differs from upstream baseline</t>
        </is>
      </c>
      <c r="G65" s="76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6" t="inlineStr">
        <is>
          <t>2026-09-30</t>
        </is>
      </c>
      <c r="B67" s="76" t="inlineStr">
        <is>
          <t>Pokemon Stats</t>
        </is>
      </c>
      <c r="C67" s="76" t="inlineStr">
        <is>
          <t>Articuno baseSpDefense</t>
        </is>
      </c>
      <c r="D67" s="76" t="n">
        <v>125</v>
      </c>
      <c r="E67" s="76" t="n">
        <v>115</v>
      </c>
      <c r="F67" s="76" t="inlineStr">
        <is>
          <t>Differs from upstream baseline</t>
        </is>
      </c>
      <c r="G67" s="76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6" t="inlineStr">
        <is>
          <t>2026-09-30</t>
        </is>
      </c>
      <c r="B69" s="76" t="inlineStr">
        <is>
          <t>Pokemon Stats</t>
        </is>
      </c>
      <c r="C69" s="76" t="inlineStr">
        <is>
          <t>Audino baseAttack</t>
        </is>
      </c>
      <c r="D69" s="76" t="n">
        <v>60</v>
      </c>
      <c r="E69" s="76" t="n">
        <v>80</v>
      </c>
      <c r="F69" s="76" t="inlineStr">
        <is>
          <t>Differs from upstream baseline</t>
        </is>
      </c>
      <c r="G69" s="76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6" t="inlineStr">
        <is>
          <t>2026-09-30</t>
        </is>
      </c>
      <c r="B71" s="76" t="inlineStr">
        <is>
          <t>Pokemon Stats</t>
        </is>
      </c>
      <c r="C71" s="76" t="inlineStr">
        <is>
          <t>Audino baseSpAttack</t>
        </is>
      </c>
      <c r="D71" s="76" t="n">
        <v>60</v>
      </c>
      <c r="E71" s="76" t="n">
        <v>78</v>
      </c>
      <c r="F71" s="76" t="inlineStr">
        <is>
          <t>Differs from upstream baseline</t>
        </is>
      </c>
      <c r="G71" s="76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6" t="inlineStr">
        <is>
          <t>2026-09-30</t>
        </is>
      </c>
      <c r="B73" s="76" t="inlineStr">
        <is>
          <t>Abilities</t>
        </is>
      </c>
      <c r="C73" s="76" t="inlineStr">
        <is>
          <t>Audino abilities</t>
        </is>
      </c>
      <c r="D73" s="76" t="inlineStr">
        <is>
          <t>Healer / Regenerator / Klutz</t>
        </is>
      </c>
      <c r="E73" s="76" t="inlineStr">
        <is>
          <t>Regenerator / Healer / Friend Guard</t>
        </is>
      </c>
      <c r="F73" s="76" t="inlineStr">
        <is>
          <t>Differs from upstream baseline</t>
        </is>
      </c>
      <c r="G73" s="76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6" t="inlineStr">
        <is>
          <t>2026-09-30</t>
        </is>
      </c>
      <c r="B75" s="76" t="inlineStr">
        <is>
          <t>Pokemon Stats</t>
        </is>
      </c>
      <c r="C75" s="76" t="inlineStr">
        <is>
          <t>Aurorus baseDefense</t>
        </is>
      </c>
      <c r="D75" s="76" t="n">
        <v>72</v>
      </c>
      <c r="E75" s="76" t="n">
        <v>87</v>
      </c>
      <c r="F75" s="76" t="inlineStr">
        <is>
          <t>Differs from upstream baseline</t>
        </is>
      </c>
      <c r="G75" s="76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6" t="inlineStr">
        <is>
          <t>2026-09-30</t>
        </is>
      </c>
      <c r="B77" s="76" t="inlineStr">
        <is>
          <t>Pokemon Stats</t>
        </is>
      </c>
      <c r="C77" s="76" t="inlineStr">
        <is>
          <t>Avalugg baseAttack</t>
        </is>
      </c>
      <c r="D77" s="76" t="n">
        <v>117</v>
      </c>
      <c r="E77" s="76" t="n">
        <v>131</v>
      </c>
      <c r="F77" s="76" t="inlineStr">
        <is>
          <t>Differs from upstream baseline</t>
        </is>
      </c>
      <c r="G77" s="76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6" t="inlineStr">
        <is>
          <t>2026-09-30</t>
        </is>
      </c>
      <c r="B79" s="76" t="inlineStr">
        <is>
          <t>Pokemon Stats</t>
        </is>
      </c>
      <c r="C79" s="76" t="inlineStr">
        <is>
          <t>Avalugg baseSpDefense</t>
        </is>
      </c>
      <c r="D79" s="76" t="n">
        <v>46</v>
      </c>
      <c r="E79" s="76" t="n">
        <v>61</v>
      </c>
      <c r="F79" s="76" t="inlineStr">
        <is>
          <t>Differs from upstream baseline</t>
        </is>
      </c>
      <c r="G79" s="76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6" t="inlineStr">
        <is>
          <t>2026-09-30</t>
        </is>
      </c>
      <c r="B81" s="76" t="inlineStr">
        <is>
          <t>Pokemon Stats</t>
        </is>
      </c>
      <c r="C81" s="76" t="inlineStr">
        <is>
          <t>Azelf baseSpAttack</t>
        </is>
      </c>
      <c r="D81" s="76" t="n">
        <v>125</v>
      </c>
      <c r="E81" s="76" t="n">
        <v>135</v>
      </c>
      <c r="F81" s="76" t="inlineStr">
        <is>
          <t>Differs from upstream baseline</t>
        </is>
      </c>
      <c r="G81" s="76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6" t="inlineStr">
        <is>
          <t>2026-09-30</t>
        </is>
      </c>
      <c r="B83" s="76" t="inlineStr">
        <is>
          <t>Pokemon Stats</t>
        </is>
      </c>
      <c r="C83" s="76" t="inlineStr">
        <is>
          <t>Azumarill baseSpAttack</t>
        </is>
      </c>
      <c r="D83" s="76" t="n">
        <v>60</v>
      </c>
      <c r="E83" s="76" t="n">
        <v>50</v>
      </c>
      <c r="F83" s="76" t="inlineStr">
        <is>
          <t>Differs from upstream baseline</t>
        </is>
      </c>
      <c r="G83" s="76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6" t="inlineStr">
        <is>
          <t>2026-09-30</t>
        </is>
      </c>
      <c r="B85" s="76" t="inlineStr">
        <is>
          <t>Pokemon Stats</t>
        </is>
      </c>
      <c r="C85" s="76" t="inlineStr">
        <is>
          <t>Azurill baseAttack</t>
        </is>
      </c>
      <c r="D85" s="76" t="n">
        <v>20</v>
      </c>
      <c r="E85" s="76" t="n">
        <v>30</v>
      </c>
      <c r="F85" s="76" t="inlineStr">
        <is>
          <t>Differs from upstream baseline</t>
        </is>
      </c>
      <c r="G85" s="76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6" t="inlineStr">
        <is>
          <t>2026-09-30</t>
        </is>
      </c>
      <c r="B87" s="76" t="inlineStr">
        <is>
          <t>Evolutions</t>
        </is>
      </c>
      <c r="C87" s="76" t="inlineStr">
        <is>
          <t>Azurill evolution</t>
        </is>
      </c>
      <c r="D87" s="76" t="inlineStr">
        <is>
          <t>Friendship -&gt; Marill</t>
        </is>
      </c>
      <c r="E87" s="76" t="inlineStr">
        <is>
          <t>Lv 15 -&gt; Marill</t>
        </is>
      </c>
      <c r="F87" s="76" t="inlineStr">
        <is>
          <t>Differs from upstream baseline</t>
        </is>
      </c>
      <c r="G87" s="76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6" t="inlineStr">
        <is>
          <t>2026-09-30</t>
        </is>
      </c>
      <c r="B89" s="76" t="inlineStr">
        <is>
          <t>Pokemon Stats</t>
        </is>
      </c>
      <c r="C89" s="76" t="inlineStr">
        <is>
          <t>Banette baseAttack</t>
        </is>
      </c>
      <c r="D89" s="76" t="n">
        <v>115</v>
      </c>
      <c r="E89" s="76" t="n">
        <v>125</v>
      </c>
      <c r="F89" s="76" t="inlineStr">
        <is>
          <t>Differs from upstream baseline</t>
        </is>
      </c>
      <c r="G89" s="76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6" t="inlineStr">
        <is>
          <t>2026-09-30</t>
        </is>
      </c>
      <c r="B91" s="76" t="inlineStr">
        <is>
          <t>Abilities</t>
        </is>
      </c>
      <c r="C91" s="76" t="inlineStr">
        <is>
          <t>Banette abilities</t>
        </is>
      </c>
      <c r="D91" s="76" t="inlineStr">
        <is>
          <t>Insomnia / Frisk / Cursed Body</t>
        </is>
      </c>
      <c r="E91" s="76" t="inlineStr">
        <is>
          <t>Clear Body / Insomnia / Cursed Body</t>
        </is>
      </c>
      <c r="F91" s="76" t="inlineStr">
        <is>
          <t>Differs from upstream baseline</t>
        </is>
      </c>
      <c r="G91" s="76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6" t="inlineStr">
        <is>
          <t>2026-09-30</t>
        </is>
      </c>
      <c r="B93" s="76" t="inlineStr">
        <is>
          <t>Pokemon Stats</t>
        </is>
      </c>
      <c r="C93" s="76" t="inlineStr">
        <is>
          <t>Banette baseSpeed</t>
        </is>
      </c>
      <c r="D93" s="76" t="n">
        <v>75</v>
      </c>
      <c r="E93" s="76" t="n">
        <v>95</v>
      </c>
      <c r="F93" s="76" t="inlineStr">
        <is>
          <t>Differs from upstream baseline</t>
        </is>
      </c>
      <c r="G93" s="76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6" t="inlineStr">
        <is>
          <t>2026-09-30</t>
        </is>
      </c>
      <c r="B95" s="76" t="inlineStr">
        <is>
          <t>Pokemon Stats</t>
        </is>
      </c>
      <c r="C95" s="76" t="inlineStr">
        <is>
          <t>Barbaracle baseAttack</t>
        </is>
      </c>
      <c r="D95" s="76" t="n">
        <v>105</v>
      </c>
      <c r="E95" s="76" t="n">
        <v>118</v>
      </c>
      <c r="F95" s="76" t="inlineStr">
        <is>
          <t>Differs from upstream baseline</t>
        </is>
      </c>
      <c r="G95" s="76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6" t="inlineStr">
        <is>
          <t>2026-09-30</t>
        </is>
      </c>
      <c r="B97" s="76" t="inlineStr">
        <is>
          <t>Pokemon Stats</t>
        </is>
      </c>
      <c r="C97" s="76" t="inlineStr">
        <is>
          <t>Barbaracle baseSpDefense</t>
        </is>
      </c>
      <c r="D97" s="76" t="n">
        <v>86</v>
      </c>
      <c r="E97" s="76" t="n">
        <v>96</v>
      </c>
      <c r="F97" s="76" t="inlineStr">
        <is>
          <t>Differs from upstream baseline</t>
        </is>
      </c>
      <c r="G97" s="76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6" t="inlineStr">
        <is>
          <t>2026-09-30</t>
        </is>
      </c>
      <c r="B99" s="76" t="inlineStr">
        <is>
          <t>Abilities</t>
        </is>
      </c>
      <c r="C99" s="76" t="inlineStr">
        <is>
          <t>Barboach abilities</t>
        </is>
      </c>
      <c r="D99" s="76" t="inlineStr">
        <is>
          <t>Oblivious / Anticipation / Hydration</t>
        </is>
      </c>
      <c r="E99" s="76" t="inlineStr">
        <is>
          <t>Swift Swim / Swift Swim / Hydration</t>
        </is>
      </c>
      <c r="F99" s="76" t="inlineStr">
        <is>
          <t>Differs from upstream baseline</t>
        </is>
      </c>
      <c r="G99" s="76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6" t="inlineStr">
        <is>
          <t>2026-09-30</t>
        </is>
      </c>
      <c r="B101" s="76" t="inlineStr">
        <is>
          <t>Pokemon Stats</t>
        </is>
      </c>
      <c r="C101" s="76" t="inlineStr">
        <is>
          <t>Basculin baseSpDefense</t>
        </is>
      </c>
      <c r="D101" s="76" t="n">
        <v>55</v>
      </c>
      <c r="E101" s="76" t="n">
        <v>74</v>
      </c>
      <c r="F101" s="76" t="inlineStr">
        <is>
          <t>Differs from upstream baseline</t>
        </is>
      </c>
      <c r="G101" s="76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6" t="inlineStr">
        <is>
          <t>2026-09-30</t>
        </is>
      </c>
      <c r="B103" s="76" t="inlineStr">
        <is>
          <t>Pokemon Stats</t>
        </is>
      </c>
      <c r="C103" s="76" t="inlineStr">
        <is>
          <t>Basculin baseAttack</t>
        </is>
      </c>
      <c r="D103" s="76" t="n">
        <v>92</v>
      </c>
      <c r="E103" s="76" t="n">
        <v>97</v>
      </c>
      <c r="F103" s="76" t="inlineStr">
        <is>
          <t>Differs from upstream baseline</t>
        </is>
      </c>
      <c r="G103" s="76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6" t="inlineStr">
        <is>
          <t>2026-09-30</t>
        </is>
      </c>
      <c r="B105" s="76" t="inlineStr">
        <is>
          <t>Evolutions</t>
        </is>
      </c>
      <c r="C105" s="76" t="inlineStr">
        <is>
          <t>Basculin evolution</t>
        </is>
      </c>
      <c r="D105" s="76" t="inlineStr">
        <is>
          <t>Recoil Damage Male 294 -&gt; Basculegion M; Recoil Damage Female 294 -&gt; Basculegion F</t>
        </is>
      </c>
      <c r="E105" s="76" t="inlineStr">
        <is>
          <t>Level Male 40 -&gt; Basculegion M; Level Female 40 -&gt; Basculegion F</t>
        </is>
      </c>
      <c r="F105" s="76" t="inlineStr">
        <is>
          <t>Differs from upstream baseline</t>
        </is>
      </c>
      <c r="G105" s="76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6" t="inlineStr">
        <is>
          <t>2026-09-30</t>
        </is>
      </c>
      <c r="B107" s="76" t="inlineStr">
        <is>
          <t>Pokemon Stats</t>
        </is>
      </c>
      <c r="C107" s="76" t="inlineStr">
        <is>
          <t>Bastiodon baseAttack</t>
        </is>
      </c>
      <c r="D107" s="76" t="n">
        <v>52</v>
      </c>
      <c r="E107" s="76" t="n">
        <v>92</v>
      </c>
      <c r="F107" s="76" t="inlineStr">
        <is>
          <t>Differs from upstream baseline</t>
        </is>
      </c>
      <c r="G107" s="76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6" t="inlineStr">
        <is>
          <t>2026-09-30</t>
        </is>
      </c>
      <c r="B109" s="76" t="inlineStr">
        <is>
          <t>Abilities</t>
        </is>
      </c>
      <c r="C109" s="76" t="inlineStr">
        <is>
          <t>Bastiodon abilities</t>
        </is>
      </c>
      <c r="D109" s="76" t="inlineStr">
        <is>
          <t>Sturdy / Soundproof</t>
        </is>
      </c>
      <c r="E109" s="76" t="inlineStr">
        <is>
          <t>Solid Rock / Battle Armor / Soundproof</t>
        </is>
      </c>
      <c r="F109" s="76" t="inlineStr">
        <is>
          <t>Differs from upstream baseline</t>
        </is>
      </c>
      <c r="G109" s="76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6" t="inlineStr">
        <is>
          <t>2026-09-30</t>
        </is>
      </c>
      <c r="B111" s="76" t="inlineStr">
        <is>
          <t>Pokemon Stats</t>
        </is>
      </c>
      <c r="C111" s="76" t="inlineStr">
        <is>
          <t>Beartic baseSpAttack</t>
        </is>
      </c>
      <c r="D111" s="76" t="n">
        <v>70</v>
      </c>
      <c r="E111" s="76" t="n">
        <v>30</v>
      </c>
      <c r="F111" s="76" t="inlineStr">
        <is>
          <t>Differs from upstream baseline</t>
        </is>
      </c>
      <c r="G111" s="76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6" t="inlineStr">
        <is>
          <t>2026-09-30</t>
        </is>
      </c>
      <c r="B113" s="76" t="inlineStr">
        <is>
          <t>Pokemon Stats</t>
        </is>
      </c>
      <c r="C113" s="76" t="inlineStr">
        <is>
          <t>Beartic baseSpeed</t>
        </is>
      </c>
      <c r="D113" s="76" t="n">
        <v>50</v>
      </c>
      <c r="E113" s="76" t="n">
        <v>78</v>
      </c>
      <c r="F113" s="76" t="inlineStr">
        <is>
          <t>Differs from upstream baseline</t>
        </is>
      </c>
      <c r="G113" s="76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6" t="inlineStr">
        <is>
          <t>2026-09-30</t>
        </is>
      </c>
      <c r="B115" s="76" t="inlineStr">
        <is>
          <t>Pokemon Stats</t>
        </is>
      </c>
      <c r="C115" s="76" t="inlineStr">
        <is>
          <t>Beheeyem baseHP</t>
        </is>
      </c>
      <c r="D115" s="76" t="n">
        <v>75</v>
      </c>
      <c r="E115" s="76" t="n">
        <v>90</v>
      </c>
      <c r="F115" s="76" t="inlineStr">
        <is>
          <t>Differs from upstream baseline</t>
        </is>
      </c>
      <c r="G115" s="76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6" t="inlineStr">
        <is>
          <t>2026-09-30</t>
        </is>
      </c>
      <c r="B117" s="76" t="inlineStr">
        <is>
          <t>Pokemon Stats</t>
        </is>
      </c>
      <c r="C117" s="76" t="inlineStr">
        <is>
          <t>Beheeyem baseDefense</t>
        </is>
      </c>
      <c r="D117" s="76" t="n">
        <v>75</v>
      </c>
      <c r="E117" s="76" t="n">
        <v>85</v>
      </c>
      <c r="F117" s="76" t="inlineStr">
        <is>
          <t>Differs from upstream baseline</t>
        </is>
      </c>
      <c r="G117" s="76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6" t="inlineStr">
        <is>
          <t>2026-09-30</t>
        </is>
      </c>
      <c r="B119" s="76" t="inlineStr">
        <is>
          <t>Pokemon Stats</t>
        </is>
      </c>
      <c r="C119" s="76" t="inlineStr">
        <is>
          <t>Beheeyem baseSpDefense</t>
        </is>
      </c>
      <c r="D119" s="76" t="n">
        <v>95</v>
      </c>
      <c r="E119" s="76" t="n">
        <v>105</v>
      </c>
      <c r="F119" s="76" t="inlineStr">
        <is>
          <t>Differs from upstream baseline</t>
        </is>
      </c>
      <c r="G119" s="76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6" t="inlineStr">
        <is>
          <t>2026-09-30</t>
        </is>
      </c>
      <c r="B121" s="76" t="inlineStr">
        <is>
          <t>Pokemon Stats</t>
        </is>
      </c>
      <c r="C121" s="76" t="inlineStr">
        <is>
          <t>Bellossom baseDefense</t>
        </is>
      </c>
      <c r="D121" s="76" t="n">
        <v>95</v>
      </c>
      <c r="E121" s="76" t="n">
        <v>85</v>
      </c>
      <c r="F121" s="76" t="inlineStr">
        <is>
          <t>Differs from upstream baseline</t>
        </is>
      </c>
      <c r="G121" s="76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6" t="inlineStr">
        <is>
          <t>2026-09-30</t>
        </is>
      </c>
      <c r="B123" s="76" t="inlineStr">
        <is>
          <t>Pokemon Stats</t>
        </is>
      </c>
      <c r="C123" s="76" t="inlineStr">
        <is>
          <t>Bergmite baseSpeed</t>
        </is>
      </c>
      <c r="D123" s="76" t="n">
        <v>28</v>
      </c>
      <c r="E123" s="76" t="n">
        <v>29</v>
      </c>
      <c r="F123" s="76" t="inlineStr">
        <is>
          <t>Differs from upstream baseline</t>
        </is>
      </c>
      <c r="G123" s="76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6" t="inlineStr">
        <is>
          <t>2026-09-30</t>
        </is>
      </c>
      <c r="B125" s="76" t="inlineStr">
        <is>
          <t>Pokemon Stats</t>
        </is>
      </c>
      <c r="C125" s="76" t="inlineStr">
        <is>
          <t>Bisharp baseSpAttack</t>
        </is>
      </c>
      <c r="D125" s="76" t="n">
        <v>60</v>
      </c>
      <c r="E125" s="76" t="n">
        <v>30</v>
      </c>
      <c r="F125" s="76" t="inlineStr">
        <is>
          <t>Differs from upstream baseline</t>
        </is>
      </c>
      <c r="G125" s="76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6" t="inlineStr">
        <is>
          <t>2026-09-30</t>
        </is>
      </c>
      <c r="B127" s="76" t="inlineStr">
        <is>
          <t>Pokemon Stats</t>
        </is>
      </c>
      <c r="C127" s="76" t="inlineStr">
        <is>
          <t>Blastoise baseAttack</t>
        </is>
      </c>
      <c r="D127" s="76" t="n">
        <v>83</v>
      </c>
      <c r="E127" s="76" t="n">
        <v>81</v>
      </c>
      <c r="F127" s="76" t="inlineStr">
        <is>
          <t>Differs from upstream baseline</t>
        </is>
      </c>
      <c r="G127" s="76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6" t="inlineStr">
        <is>
          <t>2026-09-30</t>
        </is>
      </c>
      <c r="B129" s="76" t="inlineStr">
        <is>
          <t>Pokemon Stats</t>
        </is>
      </c>
      <c r="C129" s="76" t="inlineStr">
        <is>
          <t>Blastoise baseSpeed</t>
        </is>
      </c>
      <c r="D129" s="76" t="n">
        <v>78</v>
      </c>
      <c r="E129" s="76" t="n">
        <v>60</v>
      </c>
      <c r="F129" s="76" t="inlineStr">
        <is>
          <t>Differs from upstream baseline</t>
        </is>
      </c>
      <c r="G129" s="76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6" t="inlineStr">
        <is>
          <t>2026-09-30</t>
        </is>
      </c>
      <c r="B131" s="76" t="inlineStr">
        <is>
          <t>Pokemon Stats</t>
        </is>
      </c>
      <c r="C131" s="76" t="inlineStr">
        <is>
          <t>Blastoise baseAttack</t>
        </is>
      </c>
      <c r="D131" s="76" t="n">
        <v>103</v>
      </c>
      <c r="E131" s="76" t="n">
        <v>101</v>
      </c>
      <c r="F131" s="76" t="inlineStr">
        <is>
          <t>Differs from upstream baseline</t>
        </is>
      </c>
      <c r="G131" s="76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6" t="inlineStr">
        <is>
          <t>2026-09-30</t>
        </is>
      </c>
      <c r="B133" s="76" t="inlineStr">
        <is>
          <t>Pokemon Stats</t>
        </is>
      </c>
      <c r="C133" s="76" t="inlineStr">
        <is>
          <t>Blaziken baseSpAttack</t>
        </is>
      </c>
      <c r="D133" s="76" t="n">
        <v>110</v>
      </c>
      <c r="E133" s="76" t="n">
        <v>115</v>
      </c>
      <c r="F133" s="76" t="inlineStr">
        <is>
          <t>Differs from upstream baseline</t>
        </is>
      </c>
      <c r="G133" s="76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6" t="inlineStr">
        <is>
          <t>2026-09-30</t>
        </is>
      </c>
      <c r="B135" s="76" t="inlineStr">
        <is>
          <t>Pokemon Stats</t>
        </is>
      </c>
      <c r="C135" s="76" t="inlineStr">
        <is>
          <t>Blissey baseAttack</t>
        </is>
      </c>
      <c r="D135" s="76" t="n">
        <v>10</v>
      </c>
      <c r="E135" s="76" t="n">
        <v>5</v>
      </c>
      <c r="F135" s="76" t="inlineStr">
        <is>
          <t>Differs from upstream baseline</t>
        </is>
      </c>
      <c r="G135" s="76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6" t="inlineStr">
        <is>
          <t>2026-09-30</t>
        </is>
      </c>
      <c r="B137" s="76" t="inlineStr">
        <is>
          <t>Abilities</t>
        </is>
      </c>
      <c r="C137" s="76" t="inlineStr">
        <is>
          <t>Blissey abilities</t>
        </is>
      </c>
      <c r="D137" s="76" t="inlineStr">
        <is>
          <t>Natural Cure / Serene Grace / Healer</t>
        </is>
      </c>
      <c r="E137" s="76" t="inlineStr">
        <is>
          <t>Serene Grace / Serene Grace / Healer</t>
        </is>
      </c>
      <c r="F137" s="76" t="inlineStr">
        <is>
          <t>Differs from upstream baseline</t>
        </is>
      </c>
      <c r="G137" s="76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6" t="inlineStr">
        <is>
          <t>2026-09-30</t>
        </is>
      </c>
      <c r="B139" s="76" t="inlineStr">
        <is>
          <t>Pokemon Stats</t>
        </is>
      </c>
      <c r="C139" s="76" t="inlineStr">
        <is>
          <t>Blitzle baseDefense</t>
        </is>
      </c>
      <c r="D139" s="76" t="n">
        <v>32</v>
      </c>
      <c r="E139" s="76" t="n">
        <v>37</v>
      </c>
      <c r="F139" s="76" t="inlineStr">
        <is>
          <t>Differs from upstream baseline</t>
        </is>
      </c>
      <c r="G139" s="76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6" t="inlineStr">
        <is>
          <t>2026-09-30</t>
        </is>
      </c>
      <c r="B141" s="76" t="inlineStr">
        <is>
          <t>Pokemon Stats</t>
        </is>
      </c>
      <c r="C141" s="76" t="inlineStr">
        <is>
          <t>Boldore baseAttack</t>
        </is>
      </c>
      <c r="D141" s="76" t="n">
        <v>105</v>
      </c>
      <c r="E141" s="76" t="n">
        <v>125</v>
      </c>
      <c r="F141" s="76" t="inlineStr">
        <is>
          <t>Differs from upstream baseline</t>
        </is>
      </c>
      <c r="G141" s="76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6" t="inlineStr">
        <is>
          <t>2026-09-30</t>
        </is>
      </c>
      <c r="B143" s="76" t="inlineStr">
        <is>
          <t>Abilities</t>
        </is>
      </c>
      <c r="C143" s="76" t="inlineStr">
        <is>
          <t>Bonsly abilities</t>
        </is>
      </c>
      <c r="D143" s="76" t="inlineStr">
        <is>
          <t>Sturdy / Rock Head / Rattled</t>
        </is>
      </c>
      <c r="E143" s="76" t="inlineStr">
        <is>
          <t>Rock Head / Rock Head / Rattled</t>
        </is>
      </c>
      <c r="F143" s="76" t="inlineStr">
        <is>
          <t>Differs from upstream baseline</t>
        </is>
      </c>
      <c r="G143" s="76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6" t="inlineStr">
        <is>
          <t>2026-09-30</t>
        </is>
      </c>
      <c r="B145" s="76" t="inlineStr">
        <is>
          <t>Pokemon Stats</t>
        </is>
      </c>
      <c r="C145" s="76" t="inlineStr">
        <is>
          <t>Bouffalant baseAttack</t>
        </is>
      </c>
      <c r="D145" s="76" t="n">
        <v>110</v>
      </c>
      <c r="E145" s="76" t="n">
        <v>116</v>
      </c>
      <c r="F145" s="76" t="inlineStr">
        <is>
          <t>Differs from upstream baseline</t>
        </is>
      </c>
      <c r="G145" s="76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6" t="inlineStr">
        <is>
          <t>2026-09-30</t>
        </is>
      </c>
      <c r="B147" s="76" t="inlineStr">
        <is>
          <t>Pokemon Stats</t>
        </is>
      </c>
      <c r="C147" s="76" t="inlineStr">
        <is>
          <t>Bouffalant baseSpDefense</t>
        </is>
      </c>
      <c r="D147" s="76" t="n">
        <v>95</v>
      </c>
      <c r="E147" s="76" t="n">
        <v>100</v>
      </c>
      <c r="F147" s="76" t="inlineStr">
        <is>
          <t>Differs from upstream baseline</t>
        </is>
      </c>
      <c r="G147" s="76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6" t="inlineStr">
        <is>
          <t>2026-09-30</t>
        </is>
      </c>
      <c r="B149" s="76" t="inlineStr">
        <is>
          <t>Pokemon Stats</t>
        </is>
      </c>
      <c r="C149" s="76" t="inlineStr">
        <is>
          <t>Braviary baseAttack</t>
        </is>
      </c>
      <c r="D149" s="76" t="n">
        <v>123</v>
      </c>
      <c r="E149" s="76" t="n">
        <v>138</v>
      </c>
      <c r="F149" s="76" t="inlineStr">
        <is>
          <t>Differs from upstream baseline</t>
        </is>
      </c>
      <c r="G149" s="76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6" t="inlineStr">
        <is>
          <t>2026-09-30</t>
        </is>
      </c>
      <c r="B151" s="76" t="inlineStr">
        <is>
          <t>Pokemon Stats</t>
        </is>
      </c>
      <c r="C151" s="76" t="inlineStr">
        <is>
          <t>Braviary baseSpeed</t>
        </is>
      </c>
      <c r="D151" s="76" t="n">
        <v>80</v>
      </c>
      <c r="E151" s="76" t="n">
        <v>102</v>
      </c>
      <c r="F151" s="76" t="inlineStr">
        <is>
          <t>Differs from upstream baseline</t>
        </is>
      </c>
      <c r="G151" s="76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6" t="inlineStr">
        <is>
          <t>2026-09-30</t>
        </is>
      </c>
      <c r="B153" s="76" t="inlineStr">
        <is>
          <t>Pokemon Stats</t>
        </is>
      </c>
      <c r="C153" s="76" t="inlineStr">
        <is>
          <t>Bronzong baseHP</t>
        </is>
      </c>
      <c r="D153" s="76" t="n">
        <v>67</v>
      </c>
      <c r="E153" s="76" t="n">
        <v>77</v>
      </c>
      <c r="F153" s="76" t="inlineStr">
        <is>
          <t>Differs from upstream baseline</t>
        </is>
      </c>
      <c r="G153" s="76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6" t="inlineStr">
        <is>
          <t>2026-09-30</t>
        </is>
      </c>
      <c r="B155" s="76" t="inlineStr">
        <is>
          <t>Pokemon Stats</t>
        </is>
      </c>
      <c r="C155" s="76" t="inlineStr">
        <is>
          <t>Bronzong baseSpAttack</t>
        </is>
      </c>
      <c r="D155" s="76" t="n">
        <v>79</v>
      </c>
      <c r="E155" s="76" t="n">
        <v>89</v>
      </c>
      <c r="F155" s="76" t="inlineStr">
        <is>
          <t>Differs from upstream baseline</t>
        </is>
      </c>
      <c r="G155" s="76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6" t="inlineStr">
        <is>
          <t>2026-09-30</t>
        </is>
      </c>
      <c r="B157" s="76" t="inlineStr">
        <is>
          <t>Pokemon Stats</t>
        </is>
      </c>
      <c r="C157" s="76" t="inlineStr">
        <is>
          <t>Bronzor baseHP</t>
        </is>
      </c>
      <c r="D157" s="76" t="n">
        <v>57</v>
      </c>
      <c r="E157" s="76" t="n">
        <v>77</v>
      </c>
      <c r="F157" s="76" t="inlineStr">
        <is>
          <t>Differs from upstream baseline</t>
        </is>
      </c>
      <c r="G157" s="76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6" t="inlineStr">
        <is>
          <t>2026-09-30</t>
        </is>
      </c>
      <c r="B159" s="76" t="inlineStr">
        <is>
          <t>Pokemon Stats</t>
        </is>
      </c>
      <c r="C159" s="76" t="inlineStr">
        <is>
          <t>Bronzor baseDefense</t>
        </is>
      </c>
      <c r="D159" s="76" t="n">
        <v>86</v>
      </c>
      <c r="E159" s="76" t="n">
        <v>116</v>
      </c>
      <c r="F159" s="76" t="inlineStr">
        <is>
          <t>Differs from upstream baseline</t>
        </is>
      </c>
      <c r="G159" s="76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6" t="inlineStr">
        <is>
          <t>2026-09-30</t>
        </is>
      </c>
      <c r="B161" s="76" t="inlineStr">
        <is>
          <t>Pokemon Stats</t>
        </is>
      </c>
      <c r="C161" s="76" t="inlineStr">
        <is>
          <t>Bronzor baseSpDefense</t>
        </is>
      </c>
      <c r="D161" s="76" t="n">
        <v>86</v>
      </c>
      <c r="E161" s="76" t="n">
        <v>116</v>
      </c>
      <c r="F161" s="76" t="inlineStr">
        <is>
          <t>Differs from upstream baseline</t>
        </is>
      </c>
      <c r="G161" s="76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6" t="inlineStr">
        <is>
          <t>2026-09-30</t>
        </is>
      </c>
      <c r="B163" s="76" t="inlineStr">
        <is>
          <t>Abilities</t>
        </is>
      </c>
      <c r="C163" s="76" t="inlineStr">
        <is>
          <t>Bronzor abilities</t>
        </is>
      </c>
      <c r="D163" s="76" t="inlineStr">
        <is>
          <t>Levitate / Heatproof / Heavy Metal</t>
        </is>
      </c>
      <c r="E163" s="76" t="inlineStr">
        <is>
          <t>Levitate / Levitate / Heavy Metal</t>
        </is>
      </c>
      <c r="F163" s="76" t="inlineStr">
        <is>
          <t>Differs from upstream baseline</t>
        </is>
      </c>
      <c r="G163" s="76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6" t="inlineStr">
        <is>
          <t>2026-09-30</t>
        </is>
      </c>
      <c r="B165" s="76" t="inlineStr">
        <is>
          <t>Evolutions</t>
        </is>
      </c>
      <c r="C165" s="76" t="inlineStr">
        <is>
          <t>Budew evolution</t>
        </is>
      </c>
      <c r="D165" s="76" t="inlineStr">
        <is>
          <t>Friendship Day -&gt; Roselia</t>
        </is>
      </c>
      <c r="E165" s="76" t="inlineStr">
        <is>
          <t>Lv 16 -&gt; Roselia</t>
        </is>
      </c>
      <c r="F165" s="76" t="inlineStr">
        <is>
          <t>Differs from upstream baseline</t>
        </is>
      </c>
      <c r="G165" s="76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6" t="inlineStr">
        <is>
          <t>2026-09-30</t>
        </is>
      </c>
      <c r="B167" s="76" t="inlineStr">
        <is>
          <t>Abilities</t>
        </is>
      </c>
      <c r="C167" s="76" t="inlineStr">
        <is>
          <t>Buneary abilities</t>
        </is>
      </c>
      <c r="D167" s="76" t="inlineStr">
        <is>
          <t>Run Away / Klutz / Limber</t>
        </is>
      </c>
      <c r="E167" s="76" t="inlineStr">
        <is>
          <t>Scrappy / Scrappy / Limber</t>
        </is>
      </c>
      <c r="F167" s="76" t="inlineStr">
        <is>
          <t>Differs from upstream baseline</t>
        </is>
      </c>
      <c r="G167" s="76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6" t="inlineStr">
        <is>
          <t>2026-09-30</t>
        </is>
      </c>
      <c r="B169" s="76" t="inlineStr">
        <is>
          <t>Pokemon Stats</t>
        </is>
      </c>
      <c r="C169" s="76" t="inlineStr">
        <is>
          <t>Bunnelby baseHP</t>
        </is>
      </c>
      <c r="D169" s="76" t="n">
        <v>38</v>
      </c>
      <c r="E169" s="76" t="n">
        <v>52</v>
      </c>
      <c r="F169" s="76" t="inlineStr">
        <is>
          <t>Differs from upstream baseline</t>
        </is>
      </c>
      <c r="G169" s="76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6" t="inlineStr">
        <is>
          <t>2026-09-30</t>
        </is>
      </c>
      <c r="B171" s="76" t="inlineStr">
        <is>
          <t>Pokemon Stats</t>
        </is>
      </c>
      <c r="C171" s="76" t="inlineStr">
        <is>
          <t>Bunnelby baseDefense</t>
        </is>
      </c>
      <c r="D171" s="76" t="n">
        <v>38</v>
      </c>
      <c r="E171" s="76" t="n">
        <v>51</v>
      </c>
      <c r="F171" s="76" t="inlineStr">
        <is>
          <t>Differs from upstream baseline</t>
        </is>
      </c>
      <c r="G171" s="76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6" t="inlineStr">
        <is>
          <t>2026-09-30</t>
        </is>
      </c>
      <c r="B173" s="76" t="inlineStr">
        <is>
          <t>Pokemon Stats</t>
        </is>
      </c>
      <c r="C173" s="76" t="inlineStr">
        <is>
          <t>Bunnelby baseSpDefense</t>
        </is>
      </c>
      <c r="D173" s="76" t="n">
        <v>36</v>
      </c>
      <c r="E173" s="76" t="n">
        <v>52</v>
      </c>
      <c r="F173" s="76" t="inlineStr">
        <is>
          <t>Differs from upstream baseline</t>
        </is>
      </c>
      <c r="G173" s="76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6" t="inlineStr">
        <is>
          <t>2026-09-30</t>
        </is>
      </c>
      <c r="B175" s="76" t="inlineStr">
        <is>
          <t>Pokemon Stats</t>
        </is>
      </c>
      <c r="C175" s="76" t="inlineStr">
        <is>
          <t>Cacnea baseDefense</t>
        </is>
      </c>
      <c r="D175" s="76" t="n">
        <v>40</v>
      </c>
      <c r="E175" s="76" t="n">
        <v>60</v>
      </c>
      <c r="F175" s="76" t="inlineStr">
        <is>
          <t>Differs from upstream baseline</t>
        </is>
      </c>
      <c r="G175" s="76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6" t="inlineStr">
        <is>
          <t>2026-09-30</t>
        </is>
      </c>
      <c r="B177" s="76" t="inlineStr">
        <is>
          <t>Pokemon Stats</t>
        </is>
      </c>
      <c r="C177" s="76" t="inlineStr">
        <is>
          <t>Cacturne baseDefense</t>
        </is>
      </c>
      <c r="D177" s="76" t="n">
        <v>60</v>
      </c>
      <c r="E177" s="76" t="n">
        <v>85</v>
      </c>
      <c r="F177" s="76" t="inlineStr">
        <is>
          <t>Differs from upstream baseline</t>
        </is>
      </c>
      <c r="G177" s="76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6" t="inlineStr">
        <is>
          <t>2026-09-30</t>
        </is>
      </c>
      <c r="B179" s="76" t="inlineStr">
        <is>
          <t>Pokemon Stats</t>
        </is>
      </c>
      <c r="C179" s="76" t="inlineStr">
        <is>
          <t>Camerupt baseHP</t>
        </is>
      </c>
      <c r="D179" s="76" t="n">
        <v>70</v>
      </c>
      <c r="E179" s="76" t="n">
        <v>90</v>
      </c>
      <c r="F179" s="76" t="inlineStr">
        <is>
          <t>Differs from upstream baseline</t>
        </is>
      </c>
      <c r="G179" s="76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6" t="inlineStr">
        <is>
          <t>2026-09-30</t>
        </is>
      </c>
      <c r="B181" s="76" t="inlineStr">
        <is>
          <t>Pokemon Stats</t>
        </is>
      </c>
      <c r="C181" s="76" t="inlineStr">
        <is>
          <t>Camerupt baseSpDefense</t>
        </is>
      </c>
      <c r="D181" s="76" t="n">
        <v>75</v>
      </c>
      <c r="E181" s="76" t="n">
        <v>85</v>
      </c>
      <c r="F181" s="76" t="inlineStr">
        <is>
          <t>Differs from upstream baseline</t>
        </is>
      </c>
      <c r="G181" s="76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6" t="inlineStr">
        <is>
          <t>2026-09-30</t>
        </is>
      </c>
      <c r="B183" s="76" t="inlineStr">
        <is>
          <t>Pokemon Stats</t>
        </is>
      </c>
      <c r="C183" s="76" t="inlineStr">
        <is>
          <t>Camerupt baseDefense</t>
        </is>
      </c>
      <c r="D183" s="76" t="n">
        <v>100</v>
      </c>
      <c r="E183" s="76" t="n">
        <v>110</v>
      </c>
      <c r="F183" s="76" t="inlineStr">
        <is>
          <t>Differs from upstream baseline</t>
        </is>
      </c>
      <c r="G183" s="76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6" t="inlineStr">
        <is>
          <t>2026-09-30</t>
        </is>
      </c>
      <c r="B185" s="76" t="inlineStr">
        <is>
          <t>Pokemon Stats</t>
        </is>
      </c>
      <c r="C185" s="76" t="inlineStr">
        <is>
          <t>Carbink baseHP</t>
        </is>
      </c>
      <c r="D185" s="76" t="n">
        <v>50</v>
      </c>
      <c r="E185" s="76" t="n">
        <v>60</v>
      </c>
      <c r="F185" s="76" t="inlineStr">
        <is>
          <t>Differs from upstream baseline</t>
        </is>
      </c>
      <c r="G185" s="76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6" t="inlineStr">
        <is>
          <t>2026-09-30</t>
        </is>
      </c>
      <c r="B187" s="76" t="inlineStr">
        <is>
          <t>Abilities</t>
        </is>
      </c>
      <c r="C187" s="76" t="inlineStr">
        <is>
          <t>Carbink abilities</t>
        </is>
      </c>
      <c r="D187" s="76" t="inlineStr">
        <is>
          <t>Clear Body / Sturdy</t>
        </is>
      </c>
      <c r="E187" s="76" t="inlineStr">
        <is>
          <t>Clear Body / Sturdy / Magic Bounce</t>
        </is>
      </c>
      <c r="F187" s="76" t="inlineStr">
        <is>
          <t>Differs from upstream baseline</t>
        </is>
      </c>
      <c r="G187" s="76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6" t="inlineStr">
        <is>
          <t>2026-09-30</t>
        </is>
      </c>
      <c r="B189" s="76" t="inlineStr">
        <is>
          <t>Pokemon Stats</t>
        </is>
      </c>
      <c r="C189" s="76" t="inlineStr">
        <is>
          <t>Carnivine baseSpAttack</t>
        </is>
      </c>
      <c r="D189" s="76" t="n">
        <v>90</v>
      </c>
      <c r="E189" s="76" t="n">
        <v>100</v>
      </c>
      <c r="F189" s="76" t="inlineStr">
        <is>
          <t>Differs from upstream baseline</t>
        </is>
      </c>
      <c r="G189" s="76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6" t="inlineStr">
        <is>
          <t>2026-09-30</t>
        </is>
      </c>
      <c r="B191" s="76" t="inlineStr">
        <is>
          <t>Abilities</t>
        </is>
      </c>
      <c r="C191" s="76" t="inlineStr">
        <is>
          <t>Carnivine abilities</t>
        </is>
      </c>
      <c r="D191" s="76" t="inlineStr">
        <is>
          <t>Levitate</t>
        </is>
      </c>
      <c r="E191" s="76" t="inlineStr">
        <is>
          <t>Chlorophyll / Levitate</t>
        </is>
      </c>
      <c r="F191" s="76" t="inlineStr">
        <is>
          <t>Differs from upstream baseline</t>
        </is>
      </c>
      <c r="G191" s="76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6" t="inlineStr">
        <is>
          <t>2026-09-30</t>
        </is>
      </c>
      <c r="B193" s="76" t="inlineStr">
        <is>
          <t>Pokemon Stats</t>
        </is>
      </c>
      <c r="C193" s="76" t="inlineStr">
        <is>
          <t>Carracosta baseSpeed</t>
        </is>
      </c>
      <c r="D193" s="76" t="n">
        <v>32</v>
      </c>
      <c r="E193" s="76" t="n">
        <v>37</v>
      </c>
      <c r="F193" s="76" t="inlineStr">
        <is>
          <t>Differs from upstream baseline</t>
        </is>
      </c>
      <c r="G193" s="76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6" t="inlineStr">
        <is>
          <t>2026-09-30</t>
        </is>
      </c>
      <c r="B195" s="76" t="inlineStr">
        <is>
          <t>Abilities</t>
        </is>
      </c>
      <c r="C195" s="76" t="inlineStr">
        <is>
          <t>Cascoon abilities</t>
        </is>
      </c>
      <c r="D195" s="76" t="inlineStr">
        <is>
          <t>Shed Skin</t>
        </is>
      </c>
      <c r="E195" s="76" t="inlineStr">
        <is>
          <t>Shed Skin / Shed Skin</t>
        </is>
      </c>
      <c r="F195" s="76" t="inlineStr">
        <is>
          <t>Differs from upstream baseline</t>
        </is>
      </c>
      <c r="G195" s="76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6" t="inlineStr">
        <is>
          <t>2026-09-30</t>
        </is>
      </c>
      <c r="B197" s="76" t="inlineStr">
        <is>
          <t>Pokemon Stats</t>
        </is>
      </c>
      <c r="C197" s="76" t="inlineStr">
        <is>
          <t>Castform baseSpAttack</t>
        </is>
      </c>
      <c r="D197" s="76" t="n">
        <v>70</v>
      </c>
      <c r="E197" s="76" t="n">
        <v>110</v>
      </c>
      <c r="F197" s="76" t="inlineStr">
        <is>
          <t>Differs from upstream baseline</t>
        </is>
      </c>
      <c r="G197" s="76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6" t="inlineStr">
        <is>
          <t>2026-09-30</t>
        </is>
      </c>
      <c r="B199" s="76" t="inlineStr">
        <is>
          <t>Pokemon Stats</t>
        </is>
      </c>
      <c r="C199" s="76" t="inlineStr">
        <is>
          <t>Castform baseSpeed</t>
        </is>
      </c>
      <c r="D199" s="76" t="n">
        <v>70</v>
      </c>
      <c r="E199" s="76" t="n">
        <v>100</v>
      </c>
      <c r="F199" s="76" t="inlineStr">
        <is>
          <t>Differs from upstream baseline</t>
        </is>
      </c>
      <c r="G199" s="76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6" t="inlineStr">
        <is>
          <t>2026-09-30</t>
        </is>
      </c>
      <c r="B201" s="76" t="inlineStr">
        <is>
          <t>Pokemon Stats</t>
        </is>
      </c>
      <c r="C201" s="76" t="inlineStr">
        <is>
          <t>Chandelure baseAttack</t>
        </is>
      </c>
      <c r="D201" s="76" t="n">
        <v>55</v>
      </c>
      <c r="E201" s="76" t="n">
        <v>30</v>
      </c>
      <c r="F201" s="76" t="inlineStr">
        <is>
          <t>Differs from upstream baseline</t>
        </is>
      </c>
      <c r="G201" s="76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6" t="inlineStr">
        <is>
          <t>2026-09-30</t>
        </is>
      </c>
      <c r="B203" s="76" t="inlineStr">
        <is>
          <t>Pokemon Stats</t>
        </is>
      </c>
      <c r="C203" s="76" t="inlineStr">
        <is>
          <t>Chandelure baseSpeed</t>
        </is>
      </c>
      <c r="D203" s="76" t="n">
        <v>80</v>
      </c>
      <c r="E203" s="76" t="n">
        <v>91</v>
      </c>
      <c r="F203" s="76" t="inlineStr">
        <is>
          <t>Differs from upstream baseline</t>
        </is>
      </c>
      <c r="G203" s="76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6" t="inlineStr">
        <is>
          <t>2026-09-30</t>
        </is>
      </c>
      <c r="B205" s="76" t="inlineStr">
        <is>
          <t>Abilities</t>
        </is>
      </c>
      <c r="C205" s="76" t="inlineStr">
        <is>
          <t>Chansey abilities</t>
        </is>
      </c>
      <c r="D205" s="76" t="inlineStr">
        <is>
          <t>Natural Cure / Serene Grace / Healer</t>
        </is>
      </c>
      <c r="E205" s="76" t="inlineStr">
        <is>
          <t>Natural Cure / Natural Cure / Healer</t>
        </is>
      </c>
      <c r="F205" s="76" t="inlineStr">
        <is>
          <t>Differs from upstream baseline</t>
        </is>
      </c>
      <c r="G205" s="76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6" t="inlineStr">
        <is>
          <t>2026-09-30</t>
        </is>
      </c>
      <c r="B207" s="76" t="inlineStr">
        <is>
          <t>Abilities</t>
        </is>
      </c>
      <c r="C207" s="76" t="inlineStr">
        <is>
          <t>Charizard abilities</t>
        </is>
      </c>
      <c r="D207" s="76" t="inlineStr">
        <is>
          <t>Blaze / Solar Power</t>
        </is>
      </c>
      <c r="E207" s="76" t="inlineStr">
        <is>
          <t>Solar Power / Blaze / Solar Power</t>
        </is>
      </c>
      <c r="F207" s="76" t="inlineStr">
        <is>
          <t>Differs from upstream baseline</t>
        </is>
      </c>
      <c r="G207" s="76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6" t="inlineStr">
        <is>
          <t>2026-09-30</t>
        </is>
      </c>
      <c r="B209" s="76" t="inlineStr">
        <is>
          <t>Pokemon Stats</t>
        </is>
      </c>
      <c r="C209" s="76" t="inlineStr">
        <is>
          <t>Charizard baseSpAttack</t>
        </is>
      </c>
      <c r="D209" s="76" t="n">
        <v>159</v>
      </c>
      <c r="E209" s="76" t="n">
        <v>160</v>
      </c>
      <c r="F209" s="76" t="inlineStr">
        <is>
          <t>Differs from upstream baseline</t>
        </is>
      </c>
      <c r="G209" s="76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6" t="inlineStr">
        <is>
          <t>2026-09-30</t>
        </is>
      </c>
      <c r="B211" s="76" t="inlineStr">
        <is>
          <t>Abilities</t>
        </is>
      </c>
      <c r="C211" s="76" t="inlineStr">
        <is>
          <t>Charmander abilities</t>
        </is>
      </c>
      <c r="D211" s="76" t="inlineStr">
        <is>
          <t>Blaze / Solar Power</t>
        </is>
      </c>
      <c r="E211" s="76" t="inlineStr">
        <is>
          <t>Blaze / Blaze / Solar Power</t>
        </is>
      </c>
      <c r="F211" s="76" t="inlineStr">
        <is>
          <t>Differs from upstream baseline</t>
        </is>
      </c>
      <c r="G211" s="76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6" t="inlineStr">
        <is>
          <t>2026-09-30</t>
        </is>
      </c>
      <c r="B213" s="76" t="inlineStr">
        <is>
          <t>Pokemon Stats</t>
        </is>
      </c>
      <c r="C213" s="76" t="inlineStr">
        <is>
          <t>Chatot baseAttack</t>
        </is>
      </c>
      <c r="D213" s="76" t="n">
        <v>65</v>
      </c>
      <c r="E213" s="76" t="n">
        <v>91</v>
      </c>
      <c r="F213" s="76" t="inlineStr">
        <is>
          <t>Differs from upstream baseline</t>
        </is>
      </c>
      <c r="G213" s="76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6" t="inlineStr">
        <is>
          <t>2026-09-30</t>
        </is>
      </c>
      <c r="B215" s="76" t="inlineStr">
        <is>
          <t>Pokemon Stats</t>
        </is>
      </c>
      <c r="C215" s="76" t="inlineStr">
        <is>
          <t>Chatot baseSpeed</t>
        </is>
      </c>
      <c r="D215" s="76" t="n">
        <v>91</v>
      </c>
      <c r="E215" s="76" t="n">
        <v>110</v>
      </c>
      <c r="F215" s="76" t="inlineStr">
        <is>
          <t>Differs from upstream baseline</t>
        </is>
      </c>
      <c r="G215" s="76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6" t="inlineStr">
        <is>
          <t>2026-09-30</t>
        </is>
      </c>
      <c r="B217" s="76" t="inlineStr">
        <is>
          <t>Pokemon Stats</t>
        </is>
      </c>
      <c r="C217" s="76" t="inlineStr">
        <is>
          <t>Cherrim baseAttack</t>
        </is>
      </c>
      <c r="D217" s="76" t="n">
        <v>60</v>
      </c>
      <c r="E217" s="76" t="n">
        <v>87</v>
      </c>
      <c r="F217" s="76" t="inlineStr">
        <is>
          <t>Differs from upstream baseline</t>
        </is>
      </c>
      <c r="G217" s="76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6" t="inlineStr">
        <is>
          <t>2026-09-30</t>
        </is>
      </c>
      <c r="B219" s="76" t="inlineStr">
        <is>
          <t>Pokemon Stats</t>
        </is>
      </c>
      <c r="C219" s="76" t="inlineStr">
        <is>
          <t>Cherrim baseSpDefense</t>
        </is>
      </c>
      <c r="D219" s="76" t="n">
        <v>78</v>
      </c>
      <c r="E219" s="76" t="n">
        <v>98</v>
      </c>
      <c r="F219" s="76" t="inlineStr">
        <is>
          <t>Differs from upstream baseline</t>
        </is>
      </c>
      <c r="G219" s="76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6" t="inlineStr">
        <is>
          <t>2026-09-30</t>
        </is>
      </c>
      <c r="B221" s="76" t="inlineStr">
        <is>
          <t>Abilities</t>
        </is>
      </c>
      <c r="C221" s="76" t="inlineStr">
        <is>
          <t>Chesnaught abilities</t>
        </is>
      </c>
      <c r="D221" s="76" t="inlineStr">
        <is>
          <t>Overgrow / Bulletproof</t>
        </is>
      </c>
      <c r="E221" s="76" t="inlineStr">
        <is>
          <t>Overgrow / Bulletproof / Iron Barbs</t>
        </is>
      </c>
      <c r="F221" s="76" t="inlineStr">
        <is>
          <t>Differs from upstream baseline</t>
        </is>
      </c>
      <c r="G221" s="76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6" t="inlineStr">
        <is>
          <t>2026-09-30</t>
        </is>
      </c>
      <c r="B223" s="76" t="inlineStr">
        <is>
          <t>Pokemon Stats</t>
        </is>
      </c>
      <c r="C223" s="76" t="inlineStr">
        <is>
          <t>Chimecho baseHP</t>
        </is>
      </c>
      <c r="D223" s="76" t="n">
        <v>75</v>
      </c>
      <c r="E223" s="76" t="n">
        <v>65</v>
      </c>
      <c r="F223" s="76" t="inlineStr">
        <is>
          <t>Differs from upstream baseline</t>
        </is>
      </c>
      <c r="G223" s="76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6" t="inlineStr">
        <is>
          <t>2026-09-30</t>
        </is>
      </c>
      <c r="B225" s="76" t="inlineStr">
        <is>
          <t>Pokemon Stats</t>
        </is>
      </c>
      <c r="C225" s="76" t="inlineStr">
        <is>
          <t>Chimecho baseSpAttack</t>
        </is>
      </c>
      <c r="D225" s="76" t="n">
        <v>95</v>
      </c>
      <c r="E225" s="76" t="n">
        <v>105</v>
      </c>
      <c r="F225" s="76" t="inlineStr">
        <is>
          <t>Differs from upstream baseline</t>
        </is>
      </c>
      <c r="G225" s="76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6" t="inlineStr">
        <is>
          <t>2026-09-30</t>
        </is>
      </c>
      <c r="B227" s="76" t="inlineStr">
        <is>
          <t>Pokemon Stats</t>
        </is>
      </c>
      <c r="C227" s="76" t="inlineStr">
        <is>
          <t>Chimecho baseSpeed</t>
        </is>
      </c>
      <c r="D227" s="76" t="n">
        <v>65</v>
      </c>
      <c r="E227" s="76" t="n">
        <v>75</v>
      </c>
      <c r="F227" s="76" t="inlineStr">
        <is>
          <t>Differs from upstream baseline</t>
        </is>
      </c>
      <c r="G227" s="76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6" t="inlineStr">
        <is>
          <t>2026-09-30</t>
        </is>
      </c>
      <c r="B229" s="76" t="inlineStr">
        <is>
          <t>Evolutions</t>
        </is>
      </c>
      <c r="C229" s="76" t="inlineStr">
        <is>
          <t>Chingling evolution</t>
        </is>
      </c>
      <c r="D229" s="76" t="inlineStr">
        <is>
          <t>Friendship Night -&gt; Chimecho</t>
        </is>
      </c>
      <c r="E229" s="76" t="inlineStr">
        <is>
          <t>Lv 21 -&gt; Chimecho</t>
        </is>
      </c>
      <c r="F229" s="76" t="inlineStr">
        <is>
          <t>Differs from upstream baseline</t>
        </is>
      </c>
      <c r="G229" s="76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6" t="inlineStr">
        <is>
          <t>2026-09-30</t>
        </is>
      </c>
      <c r="B231" s="76" t="inlineStr">
        <is>
          <t>Pokemon Stats</t>
        </is>
      </c>
      <c r="C231" s="76" t="inlineStr">
        <is>
          <t>Clawitzer baseHP</t>
        </is>
      </c>
      <c r="D231" s="76" t="n">
        <v>71</v>
      </c>
      <c r="E231" s="76" t="n">
        <v>81</v>
      </c>
      <c r="F231" s="76" t="inlineStr">
        <is>
          <t>Differs from upstream baseline</t>
        </is>
      </c>
      <c r="G231" s="76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6" t="inlineStr">
        <is>
          <t>2026-09-30</t>
        </is>
      </c>
      <c r="B233" s="76" t="inlineStr">
        <is>
          <t>Pokemon Stats</t>
        </is>
      </c>
      <c r="C233" s="76" t="inlineStr">
        <is>
          <t>Clawitzer baseSpAttack</t>
        </is>
      </c>
      <c r="D233" s="76" t="n">
        <v>120</v>
      </c>
      <c r="E233" s="76" t="n">
        <v>142</v>
      </c>
      <c r="F233" s="76" t="inlineStr">
        <is>
          <t>Differs from upstream baseline</t>
        </is>
      </c>
      <c r="G233" s="76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6" t="inlineStr">
        <is>
          <t>2026-09-30</t>
        </is>
      </c>
      <c r="B235" s="76" t="inlineStr">
        <is>
          <t>Abilities</t>
        </is>
      </c>
      <c r="C235" s="76" t="inlineStr">
        <is>
          <t>Clawitzer abilities</t>
        </is>
      </c>
      <c r="D235" s="76" t="inlineStr">
        <is>
          <t>Mega Launcher</t>
        </is>
      </c>
      <c r="E235" s="76" t="inlineStr">
        <is>
          <t>Mega Launcher / Mega Launcher / Mega Launcher</t>
        </is>
      </c>
      <c r="F235" s="76" t="inlineStr">
        <is>
          <t>Differs from upstream baseline</t>
        </is>
      </c>
      <c r="G235" s="76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6" t="inlineStr">
        <is>
          <t>2026-09-30</t>
        </is>
      </c>
      <c r="B237" s="76" t="inlineStr">
        <is>
          <t>Pokemon Stats</t>
        </is>
      </c>
      <c r="C237" s="76" t="inlineStr">
        <is>
          <t>Claydol baseAttack</t>
        </is>
      </c>
      <c r="D237" s="76" t="n">
        <v>70</v>
      </c>
      <c r="E237" s="76" t="n">
        <v>80</v>
      </c>
      <c r="F237" s="76" t="inlineStr">
        <is>
          <t>Differs from upstream baseline</t>
        </is>
      </c>
      <c r="G237" s="76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6" t="inlineStr">
        <is>
          <t>2026-09-30</t>
        </is>
      </c>
      <c r="B239" s="76" t="inlineStr">
        <is>
          <t>Pokemon Stats</t>
        </is>
      </c>
      <c r="C239" s="76" t="inlineStr">
        <is>
          <t>Claydol baseSpeed</t>
        </is>
      </c>
      <c r="D239" s="76" t="n">
        <v>75</v>
      </c>
      <c r="E239" s="76" t="n">
        <v>80</v>
      </c>
      <c r="F239" s="76" t="inlineStr">
        <is>
          <t>Differs from upstream baseline</t>
        </is>
      </c>
      <c r="G239" s="76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6" t="inlineStr">
        <is>
          <t>2026-09-30</t>
        </is>
      </c>
      <c r="B241" s="76" t="inlineStr">
        <is>
          <t>Abilities</t>
        </is>
      </c>
      <c r="C241" s="76" t="inlineStr">
        <is>
          <t>Clefable abilities</t>
        </is>
      </c>
      <c r="D241" s="76" t="inlineStr">
        <is>
          <t>Cute Charm / Magic Guard / Unaware</t>
        </is>
      </c>
      <c r="E241" s="76" t="inlineStr">
        <is>
          <t>Magic Guard / Magic Guard / Unaware</t>
        </is>
      </c>
      <c r="F241" s="76" t="inlineStr">
        <is>
          <t>Differs from upstream baseline</t>
        </is>
      </c>
      <c r="G241" s="76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6" t="inlineStr">
        <is>
          <t>2026-09-30</t>
        </is>
      </c>
      <c r="B243" s="76" t="inlineStr">
        <is>
          <t>Abilities</t>
        </is>
      </c>
      <c r="C243" s="76" t="inlineStr">
        <is>
          <t>Cleffa abilities</t>
        </is>
      </c>
      <c r="D243" s="76" t="inlineStr">
        <is>
          <t>Cute Charm / Magic Guard / Friend Guard</t>
        </is>
      </c>
      <c r="E243" s="76" t="inlineStr">
        <is>
          <t>Magic Guard / Cute Charm / Friend Guard</t>
        </is>
      </c>
      <c r="F243" s="76" t="inlineStr">
        <is>
          <t>Differs from upstream baseline</t>
        </is>
      </c>
      <c r="G243" s="76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6" t="inlineStr">
        <is>
          <t>2026-09-30</t>
        </is>
      </c>
      <c r="B245" s="76" t="inlineStr">
        <is>
          <t>Pokemon Stats</t>
        </is>
      </c>
      <c r="C245" s="76" t="inlineStr">
        <is>
          <t>Clodsire baseAttack</t>
        </is>
      </c>
      <c r="D245" s="76" t="n">
        <v>75</v>
      </c>
      <c r="E245" s="76" t="n">
        <v>100</v>
      </c>
      <c r="F245" s="76" t="inlineStr">
        <is>
          <t>Differs from upstream baseline</t>
        </is>
      </c>
      <c r="G245" s="76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6" t="inlineStr">
        <is>
          <t>2026-09-30</t>
        </is>
      </c>
      <c r="B247" s="76" t="inlineStr">
        <is>
          <t>Pokemon Stats</t>
        </is>
      </c>
      <c r="C247" s="76" t="inlineStr">
        <is>
          <t>Clodsire baseSpAttack</t>
        </is>
      </c>
      <c r="D247" s="76" t="n">
        <v>45</v>
      </c>
      <c r="E247" s="76" t="n">
        <v>30</v>
      </c>
      <c r="F247" s="76" t="inlineStr">
        <is>
          <t>Differs from upstream baseline</t>
        </is>
      </c>
      <c r="G247" s="76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6" t="inlineStr">
        <is>
          <t>2026-09-30</t>
        </is>
      </c>
      <c r="B249" s="76" t="inlineStr">
        <is>
          <t>Pokemon Stats</t>
        </is>
      </c>
      <c r="C249" s="76" t="inlineStr">
        <is>
          <t>Cloyster baseSpDefense</t>
        </is>
      </c>
      <c r="D249" s="76" t="n">
        <v>45</v>
      </c>
      <c r="E249" s="76" t="n">
        <v>75</v>
      </c>
      <c r="F249" s="76" t="inlineStr">
        <is>
          <t>Differs from upstream baseline</t>
        </is>
      </c>
      <c r="G249" s="76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6" t="inlineStr">
        <is>
          <t>2026-09-30</t>
        </is>
      </c>
      <c r="B251" s="76" t="inlineStr">
        <is>
          <t>Pokemon Stats</t>
        </is>
      </c>
      <c r="C251" s="76" t="inlineStr">
        <is>
          <t>Cofagrigus baseHP</t>
        </is>
      </c>
      <c r="D251" s="76" t="n">
        <v>58</v>
      </c>
      <c r="E251" s="76" t="n">
        <v>68</v>
      </c>
      <c r="F251" s="76" t="inlineStr">
        <is>
          <t>Differs from upstream baseline</t>
        </is>
      </c>
      <c r="G251" s="76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6" t="inlineStr">
        <is>
          <t>2026-09-30</t>
        </is>
      </c>
      <c r="B253" s="76" t="inlineStr">
        <is>
          <t>Pokemon Stats</t>
        </is>
      </c>
      <c r="C253" s="76" t="inlineStr">
        <is>
          <t>Cofagrigus baseSpAttack</t>
        </is>
      </c>
      <c r="D253" s="76" t="n">
        <v>95</v>
      </c>
      <c r="E253" s="76" t="n">
        <v>125</v>
      </c>
      <c r="F253" s="76" t="inlineStr">
        <is>
          <t>Differs from upstream baseline</t>
        </is>
      </c>
      <c r="G253" s="76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6" t="inlineStr">
        <is>
          <t>2026-09-30</t>
        </is>
      </c>
      <c r="B255" s="76" t="inlineStr">
        <is>
          <t>Pokemon Stats</t>
        </is>
      </c>
      <c r="C255" s="76" t="inlineStr">
        <is>
          <t>Combee baseAttack</t>
        </is>
      </c>
      <c r="D255" s="76" t="n">
        <v>30</v>
      </c>
      <c r="E255" s="76" t="n">
        <v>50</v>
      </c>
      <c r="F255" s="76" t="inlineStr">
        <is>
          <t>Differs from upstream baseline</t>
        </is>
      </c>
      <c r="G255" s="76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6" t="inlineStr">
        <is>
          <t>2026-09-30</t>
        </is>
      </c>
      <c r="B257" s="76" t="inlineStr">
        <is>
          <t>Pokemon Stats</t>
        </is>
      </c>
      <c r="C257" s="76" t="inlineStr">
        <is>
          <t>Conkeldurr baseAttack</t>
        </is>
      </c>
      <c r="D257" s="76" t="n">
        <v>140</v>
      </c>
      <c r="E257" s="76" t="n">
        <v>155</v>
      </c>
      <c r="F257" s="76" t="inlineStr">
        <is>
          <t>Differs from upstream baseline</t>
        </is>
      </c>
      <c r="G257" s="76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6" t="inlineStr">
        <is>
          <t>2026-09-30</t>
        </is>
      </c>
      <c r="B259" s="76" t="inlineStr">
        <is>
          <t>Pokemon Stats</t>
        </is>
      </c>
      <c r="C259" s="76" t="inlineStr">
        <is>
          <t>Conkeldurr baseSpDefense</t>
        </is>
      </c>
      <c r="D259" s="76" t="n">
        <v>65</v>
      </c>
      <c r="E259" s="76" t="n">
        <v>69</v>
      </c>
      <c r="F259" s="76" t="inlineStr">
        <is>
          <t>Differs from upstream baseline</t>
        </is>
      </c>
      <c r="G259" s="76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6" t="inlineStr">
        <is>
          <t>2026-09-30</t>
        </is>
      </c>
      <c r="B261" s="76" t="inlineStr">
        <is>
          <t>Abilities</t>
        </is>
      </c>
      <c r="C261" s="76" t="inlineStr">
        <is>
          <t>Corphish abilities</t>
        </is>
      </c>
      <c r="D261" s="76" t="inlineStr">
        <is>
          <t>Hyper Cutter / Shell Armor / Adaptability</t>
        </is>
      </c>
      <c r="E261" s="76" t="inlineStr">
        <is>
          <t>Adaptability / Hyper Cutter / Adaptability</t>
        </is>
      </c>
      <c r="F261" s="76" t="inlineStr">
        <is>
          <t>Differs from upstream baseline</t>
        </is>
      </c>
      <c r="G261" s="76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6" t="inlineStr">
        <is>
          <t>2026-09-30</t>
        </is>
      </c>
      <c r="B263" s="76" t="inlineStr">
        <is>
          <t>Pokemon Stats</t>
        </is>
      </c>
      <c r="C263" s="76" t="inlineStr">
        <is>
          <t>Corsola baseDefense</t>
        </is>
      </c>
      <c r="D263" s="76" t="n">
        <v>95</v>
      </c>
      <c r="E263" s="76" t="n">
        <v>105</v>
      </c>
      <c r="F263" s="76" t="inlineStr">
        <is>
          <t>Differs from upstream baseline</t>
        </is>
      </c>
      <c r="G263" s="76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6" t="inlineStr">
        <is>
          <t>2026-09-30</t>
        </is>
      </c>
      <c r="B265" s="76" t="inlineStr">
        <is>
          <t>Abilities</t>
        </is>
      </c>
      <c r="C265" s="76" t="inlineStr">
        <is>
          <t>Corsola abilities</t>
        </is>
      </c>
      <c r="D265" s="76" t="inlineStr">
        <is>
          <t>Hustle / Natural Cure / Regenerator</t>
        </is>
      </c>
      <c r="E265" s="76" t="inlineStr">
        <is>
          <t>Solid Rock / Solid Rock / Regenerator</t>
        </is>
      </c>
      <c r="F265" s="76" t="inlineStr">
        <is>
          <t>Differs from upstream baseline</t>
        </is>
      </c>
      <c r="G265" s="76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6" t="inlineStr">
        <is>
          <t>2026-09-30</t>
        </is>
      </c>
      <c r="B267" s="76" t="inlineStr">
        <is>
          <t>Pokemon Stats</t>
        </is>
      </c>
      <c r="C267" s="76" t="inlineStr">
        <is>
          <t>Cottonee baseAttack</t>
        </is>
      </c>
      <c r="D267" s="76" t="n">
        <v>27</v>
      </c>
      <c r="E267" s="76" t="n">
        <v>34</v>
      </c>
      <c r="F267" s="76" t="inlineStr">
        <is>
          <t>Differs from upstream baseline</t>
        </is>
      </c>
      <c r="G267" s="76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6" t="inlineStr">
        <is>
          <t>2026-09-30</t>
        </is>
      </c>
      <c r="B269" s="76" t="inlineStr">
        <is>
          <t>Abilities</t>
        </is>
      </c>
      <c r="C269" s="76" t="inlineStr">
        <is>
          <t>Cradily abilities</t>
        </is>
      </c>
      <c r="D269" s="76" t="inlineStr">
        <is>
          <t>Suction Cups / Storm Drain</t>
        </is>
      </c>
      <c r="E269" s="76" t="inlineStr">
        <is>
          <t>Solid Rock / Storm Drain</t>
        </is>
      </c>
      <c r="F269" s="76" t="inlineStr">
        <is>
          <t>Differs from upstream baseline</t>
        </is>
      </c>
      <c r="G269" s="76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6" t="inlineStr">
        <is>
          <t>2026-09-30</t>
        </is>
      </c>
      <c r="B271" s="76" t="inlineStr">
        <is>
          <t>Pokemon Stats</t>
        </is>
      </c>
      <c r="C271" s="76" t="inlineStr">
        <is>
          <t>Cranidos baseSpAttack</t>
        </is>
      </c>
      <c r="D271" s="76" t="n">
        <v>30</v>
      </c>
      <c r="E271" s="76" t="n">
        <v>10</v>
      </c>
      <c r="F271" s="76" t="inlineStr">
        <is>
          <t>Differs from upstream baseline</t>
        </is>
      </c>
      <c r="G271" s="76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6" t="inlineStr">
        <is>
          <t>2026-09-30</t>
        </is>
      </c>
      <c r="B273" s="76" t="inlineStr">
        <is>
          <t>Abilities</t>
        </is>
      </c>
      <c r="C273" s="76" t="inlineStr">
        <is>
          <t>Cranidos abilities</t>
        </is>
      </c>
      <c r="D273" s="76" t="inlineStr">
        <is>
          <t>Mold Breaker / Sheer Force</t>
        </is>
      </c>
      <c r="E273" s="76" t="inlineStr">
        <is>
          <t>Rock Head / Mold Breaker / Sheer Force</t>
        </is>
      </c>
      <c r="F273" s="76" t="inlineStr">
        <is>
          <t>Differs from upstream baseline</t>
        </is>
      </c>
      <c r="G273" s="76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6" t="inlineStr">
        <is>
          <t>2026-09-30</t>
        </is>
      </c>
      <c r="B275" s="76" t="inlineStr">
        <is>
          <t>Pokemon Stats</t>
        </is>
      </c>
      <c r="C275" s="76" t="inlineStr">
        <is>
          <t>Cresselia baseDefense</t>
        </is>
      </c>
      <c r="D275" s="76" t="n">
        <v>110</v>
      </c>
      <c r="E275" s="76" t="n">
        <v>120</v>
      </c>
      <c r="F275" s="76" t="inlineStr">
        <is>
          <t>Differs from upstream baseline</t>
        </is>
      </c>
      <c r="G275" s="76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6" t="inlineStr">
        <is>
          <t>2026-09-30</t>
        </is>
      </c>
      <c r="B277" s="76" t="inlineStr">
        <is>
          <t>Abilities</t>
        </is>
      </c>
      <c r="C277" s="76" t="inlineStr">
        <is>
          <t>Croagunk abilities</t>
        </is>
      </c>
      <c r="D277" s="76" t="inlineStr">
        <is>
          <t>Anticipation / Dry Skin / Poison Touch</t>
        </is>
      </c>
      <c r="E277" s="76" t="inlineStr">
        <is>
          <t>Dry Skin / Dry Skin / Poison Touch</t>
        </is>
      </c>
      <c r="F277" s="76" t="inlineStr">
        <is>
          <t>Differs from upstream baseline</t>
        </is>
      </c>
      <c r="G277" s="76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6" t="inlineStr">
        <is>
          <t>2026-09-30</t>
        </is>
      </c>
      <c r="B279" s="76" t="inlineStr">
        <is>
          <t>Pokemon Stats</t>
        </is>
      </c>
      <c r="C279" s="76" t="inlineStr">
        <is>
          <t>Crustle baseHP</t>
        </is>
      </c>
      <c r="D279" s="76" t="n">
        <v>70</v>
      </c>
      <c r="E279" s="76" t="n">
        <v>80</v>
      </c>
      <c r="F279" s="76" t="inlineStr">
        <is>
          <t>Differs from upstream baseline</t>
        </is>
      </c>
      <c r="G279" s="76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6" t="inlineStr">
        <is>
          <t>2026-09-30</t>
        </is>
      </c>
      <c r="B281" s="76" t="inlineStr">
        <is>
          <t>Pokemon Stats</t>
        </is>
      </c>
      <c r="C281" s="76" t="inlineStr">
        <is>
          <t>Cryogonal baseHP</t>
        </is>
      </c>
      <c r="D281" s="76" t="n">
        <v>80</v>
      </c>
      <c r="E281" s="76" t="n">
        <v>90</v>
      </c>
      <c r="F281" s="76" t="inlineStr">
        <is>
          <t>Differs from upstream baseline</t>
        </is>
      </c>
      <c r="G281" s="76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6" t="inlineStr">
        <is>
          <t>2026-09-30</t>
        </is>
      </c>
      <c r="B283" s="76" t="inlineStr">
        <is>
          <t>Pokemon Stats</t>
        </is>
      </c>
      <c r="C283" s="76" t="inlineStr">
        <is>
          <t>Cryogonal baseDefense</t>
        </is>
      </c>
      <c r="D283" s="76" t="n">
        <v>50</v>
      </c>
      <c r="E283" s="76" t="n">
        <v>60</v>
      </c>
      <c r="F283" s="76" t="inlineStr">
        <is>
          <t>Differs from upstream baseline</t>
        </is>
      </c>
      <c r="G283" s="76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6" t="inlineStr">
        <is>
          <t>2026-09-30</t>
        </is>
      </c>
      <c r="B285" s="76" t="inlineStr">
        <is>
          <t>Pokemon Stats</t>
        </is>
      </c>
      <c r="C285" s="76" t="inlineStr">
        <is>
          <t>Cryogonal baseSpeed</t>
        </is>
      </c>
      <c r="D285" s="76" t="n">
        <v>105</v>
      </c>
      <c r="E285" s="76" t="n">
        <v>114</v>
      </c>
      <c r="F285" s="76" t="inlineStr">
        <is>
          <t>Differs from upstream baseline</t>
        </is>
      </c>
      <c r="G285" s="76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6" t="inlineStr">
        <is>
          <t>2026-09-30</t>
        </is>
      </c>
      <c r="B287" s="76" t="inlineStr">
        <is>
          <t>Abilities</t>
        </is>
      </c>
      <c r="C287" s="76" t="inlineStr">
        <is>
          <t>Cubone abilities</t>
        </is>
      </c>
      <c r="D287" s="76" t="inlineStr">
        <is>
          <t>Rock Head / Lightning Rod / Battle Armor</t>
        </is>
      </c>
      <c r="E287" s="76" t="inlineStr">
        <is>
          <t>Lightning Rod / Rock Head / Battle Armor</t>
        </is>
      </c>
      <c r="F287" s="76" t="inlineStr">
        <is>
          <t>Differs from upstream baseline</t>
        </is>
      </c>
      <c r="G287" s="76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6" t="inlineStr">
        <is>
          <t>2026-09-30</t>
        </is>
      </c>
      <c r="B289" s="76" t="inlineStr">
        <is>
          <t>Pokemon Stats</t>
        </is>
      </c>
      <c r="C289" s="76" t="inlineStr">
        <is>
          <t>Dedenne baseAttack</t>
        </is>
      </c>
      <c r="D289" s="76" t="n">
        <v>58</v>
      </c>
      <c r="E289" s="76" t="n">
        <v>68</v>
      </c>
      <c r="F289" s="76" t="inlineStr">
        <is>
          <t>Differs from upstream baseline</t>
        </is>
      </c>
      <c r="G289" s="76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6" t="inlineStr">
        <is>
          <t>2026-09-30</t>
        </is>
      </c>
      <c r="B291" s="76" t="inlineStr">
        <is>
          <t>Pokemon Stats</t>
        </is>
      </c>
      <c r="C291" s="76" t="inlineStr">
        <is>
          <t>Dedenne baseSpAttack</t>
        </is>
      </c>
      <c r="D291" s="76" t="n">
        <v>81</v>
      </c>
      <c r="E291" s="76" t="n">
        <v>91</v>
      </c>
      <c r="F291" s="76" t="inlineStr">
        <is>
          <t>Differs from upstream baseline</t>
        </is>
      </c>
      <c r="G291" s="76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6" t="inlineStr">
        <is>
          <t>2026-09-30</t>
        </is>
      </c>
      <c r="B293" s="76" t="inlineStr">
        <is>
          <t>Abilities</t>
        </is>
      </c>
      <c r="C293" s="76" t="inlineStr">
        <is>
          <t>Dedenne abilities</t>
        </is>
      </c>
      <c r="D293" s="76" t="inlineStr">
        <is>
          <t>Cheek Pouch / Pickup / Plus</t>
        </is>
      </c>
      <c r="E293" s="76" t="inlineStr">
        <is>
          <t>Cheek Pouch / Pickup / Pixilate</t>
        </is>
      </c>
      <c r="F293" s="76" t="inlineStr">
        <is>
          <t>Differs from upstream baseline</t>
        </is>
      </c>
      <c r="G293" s="76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6" t="inlineStr">
        <is>
          <t>2026-09-30</t>
        </is>
      </c>
      <c r="B295" s="76" t="inlineStr">
        <is>
          <t>Pokemon Stats</t>
        </is>
      </c>
      <c r="C295" s="76" t="inlineStr">
        <is>
          <t>Delcatty baseAttack</t>
        </is>
      </c>
      <c r="D295" s="76" t="n">
        <v>65</v>
      </c>
      <c r="E295" s="76" t="n">
        <v>80</v>
      </c>
      <c r="F295" s="76" t="inlineStr">
        <is>
          <t>Differs from upstream baseline</t>
        </is>
      </c>
      <c r="G295" s="76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6" t="inlineStr">
        <is>
          <t>2026-09-30</t>
        </is>
      </c>
      <c r="B297" s="76" t="inlineStr">
        <is>
          <t>Pokemon Stats</t>
        </is>
      </c>
      <c r="C297" s="76" t="inlineStr">
        <is>
          <t>Delcatty baseSpAttack</t>
        </is>
      </c>
      <c r="D297" s="76" t="n">
        <v>55</v>
      </c>
      <c r="E297" s="76" t="n">
        <v>80</v>
      </c>
      <c r="F297" s="76" t="inlineStr">
        <is>
          <t>Differs from upstream baseline</t>
        </is>
      </c>
      <c r="G297" s="76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6" t="inlineStr">
        <is>
          <t>2026-09-30</t>
        </is>
      </c>
      <c r="B299" s="76" t="inlineStr">
        <is>
          <t>Pokemon Stats</t>
        </is>
      </c>
      <c r="C299" s="76" t="inlineStr">
        <is>
          <t>Delcatty baseSpeed</t>
        </is>
      </c>
      <c r="D299" s="76" t="n">
        <v>90</v>
      </c>
      <c r="E299" s="76" t="n">
        <v>112</v>
      </c>
      <c r="F299" s="76" t="inlineStr">
        <is>
          <t>Differs from upstream baseline</t>
        </is>
      </c>
      <c r="G299" s="76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6" t="inlineStr">
        <is>
          <t>2026-09-30</t>
        </is>
      </c>
      <c r="B301" s="76" t="inlineStr">
        <is>
          <t>Pokemon Stats</t>
        </is>
      </c>
      <c r="C301" s="76" t="inlineStr">
        <is>
          <t>Delibird baseAttack</t>
        </is>
      </c>
      <c r="D301" s="76" t="n">
        <v>55</v>
      </c>
      <c r="E301" s="76" t="n">
        <v>85</v>
      </c>
      <c r="F301" s="76" t="inlineStr">
        <is>
          <t>Differs from upstream baseline</t>
        </is>
      </c>
      <c r="G301" s="76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6" t="inlineStr">
        <is>
          <t>2026-09-30</t>
        </is>
      </c>
      <c r="B303" s="76" t="inlineStr">
        <is>
          <t>Pokemon Stats</t>
        </is>
      </c>
      <c r="C303" s="76" t="inlineStr">
        <is>
          <t>Delibird baseSpeed</t>
        </is>
      </c>
      <c r="D303" s="76" t="n">
        <v>75</v>
      </c>
      <c r="E303" s="76" t="n">
        <v>85</v>
      </c>
      <c r="F303" s="76" t="inlineStr">
        <is>
          <t>Differs from upstream baseline</t>
        </is>
      </c>
      <c r="G303" s="76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6" t="inlineStr">
        <is>
          <t>2026-09-30</t>
        </is>
      </c>
      <c r="B305" s="76" t="inlineStr">
        <is>
          <t>Pokemon Stats</t>
        </is>
      </c>
      <c r="C305" s="76" t="inlineStr">
        <is>
          <t>Delphox baseAttack</t>
        </is>
      </c>
      <c r="D305" s="76" t="n">
        <v>69</v>
      </c>
      <c r="E305" s="76" t="n">
        <v>30</v>
      </c>
      <c r="F305" s="76" t="inlineStr">
        <is>
          <t>Differs from upstream baseline</t>
        </is>
      </c>
      <c r="G305" s="76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6" t="inlineStr">
        <is>
          <t>2026-09-30</t>
        </is>
      </c>
      <c r="B307" s="76" t="inlineStr">
        <is>
          <t>Pokemon Stats</t>
        </is>
      </c>
      <c r="C307" s="76" t="inlineStr">
        <is>
          <t>Delphox baseSpAttack</t>
        </is>
      </c>
      <c r="D307" s="76" t="n">
        <v>114</v>
      </c>
      <c r="E307" s="76" t="n">
        <v>135</v>
      </c>
      <c r="F307" s="76" t="inlineStr">
        <is>
          <t>Differs from upstream baseline</t>
        </is>
      </c>
      <c r="G307" s="76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6" t="inlineStr">
        <is>
          <t>2026-09-30</t>
        </is>
      </c>
      <c r="B309" s="76" t="inlineStr">
        <is>
          <t>Abilities</t>
        </is>
      </c>
      <c r="C309" s="76" t="inlineStr">
        <is>
          <t>Delphox abilities</t>
        </is>
      </c>
      <c r="D309" s="76" t="inlineStr">
        <is>
          <t>Blaze / Magician</t>
        </is>
      </c>
      <c r="E309" s="76" t="inlineStr">
        <is>
          <t>Blaze / Magician / Magic Guard</t>
        </is>
      </c>
      <c r="F309" s="76" t="inlineStr">
        <is>
          <t>Differs from upstream baseline</t>
        </is>
      </c>
      <c r="G309" s="76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6" t="inlineStr">
        <is>
          <t>2026-09-30</t>
        </is>
      </c>
      <c r="B311" s="76" t="inlineStr">
        <is>
          <t>Pokemon Stats</t>
        </is>
      </c>
      <c r="C311" s="76" t="inlineStr">
        <is>
          <t>Deoxys baseAttack</t>
        </is>
      </c>
      <c r="D311" s="76" t="n">
        <v>180</v>
      </c>
      <c r="E311" s="76" t="n">
        <v>200</v>
      </c>
      <c r="F311" s="76" t="inlineStr">
        <is>
          <t>Differs from upstream baseline</t>
        </is>
      </c>
      <c r="G311" s="76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6" t="inlineStr">
        <is>
          <t>2026-09-30</t>
        </is>
      </c>
      <c r="B313" s="76" t="inlineStr">
        <is>
          <t>Abilities</t>
        </is>
      </c>
      <c r="C313" s="76" t="inlineStr">
        <is>
          <t>Deoxys abilities</t>
        </is>
      </c>
      <c r="D313" s="76" t="inlineStr">
        <is>
          <t>Pressure</t>
        </is>
      </c>
      <c r="E313" s="76" t="inlineStr">
        <is>
          <t>Magic Guard</t>
        </is>
      </c>
      <c r="F313" s="76" t="inlineStr">
        <is>
          <t>Differs from upstream baseline</t>
        </is>
      </c>
      <c r="G313" s="76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6" t="inlineStr">
        <is>
          <t>2026-09-30</t>
        </is>
      </c>
      <c r="B315" s="76" t="inlineStr">
        <is>
          <t>Pokemon Stats</t>
        </is>
      </c>
      <c r="C315" s="76" t="inlineStr">
        <is>
          <t>Deoxys baseDefense</t>
        </is>
      </c>
      <c r="D315" s="76" t="n">
        <v>160</v>
      </c>
      <c r="E315" s="76" t="n">
        <v>150</v>
      </c>
      <c r="F315" s="76" t="inlineStr">
        <is>
          <t>Differs from upstream baseline</t>
        </is>
      </c>
      <c r="G315" s="76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6" t="inlineStr">
        <is>
          <t>2026-09-30</t>
        </is>
      </c>
      <c r="B317" s="76" t="inlineStr">
        <is>
          <t>Pokemon Stats</t>
        </is>
      </c>
      <c r="C317" s="76" t="inlineStr">
        <is>
          <t>Deoxys baseSpDefense</t>
        </is>
      </c>
      <c r="D317" s="76" t="n">
        <v>160</v>
      </c>
      <c r="E317" s="76" t="n">
        <v>150</v>
      </c>
      <c r="F317" s="76" t="inlineStr">
        <is>
          <t>Differs from upstream baseline</t>
        </is>
      </c>
      <c r="G317" s="76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6" t="inlineStr">
        <is>
          <t>2026-09-30</t>
        </is>
      </c>
      <c r="B319" s="76" t="inlineStr">
        <is>
          <t>Pokemon Stats</t>
        </is>
      </c>
      <c r="C319" s="76" t="inlineStr">
        <is>
          <t>Deoxys baseSpDefense</t>
        </is>
      </c>
      <c r="D319" s="76" t="n">
        <v>50</v>
      </c>
      <c r="E319" s="76" t="n">
        <v>70</v>
      </c>
      <c r="F319" s="76" t="inlineStr">
        <is>
          <t>Differs from upstream baseline</t>
        </is>
      </c>
      <c r="G319" s="76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6" t="inlineStr">
        <is>
          <t>2026-09-30</t>
        </is>
      </c>
      <c r="B321" s="76" t="inlineStr">
        <is>
          <t>Pokemon Stats</t>
        </is>
      </c>
      <c r="C321" s="76" t="inlineStr">
        <is>
          <t>Deoxys baseDefense</t>
        </is>
      </c>
      <c r="D321" s="76" t="n">
        <v>90</v>
      </c>
      <c r="E321" s="76" t="n">
        <v>100</v>
      </c>
      <c r="F321" s="76" t="inlineStr">
        <is>
          <t>Differs from upstream baseline</t>
        </is>
      </c>
      <c r="G321" s="76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6" t="inlineStr">
        <is>
          <t>2026-09-30</t>
        </is>
      </c>
      <c r="B323" s="76" t="inlineStr">
        <is>
          <t>Pokemon Stats</t>
        </is>
      </c>
      <c r="C323" s="76" t="inlineStr">
        <is>
          <t>Deoxys baseSpDefense</t>
        </is>
      </c>
      <c r="D323" s="76" t="n">
        <v>90</v>
      </c>
      <c r="E323" s="76" t="n">
        <v>100</v>
      </c>
      <c r="F323" s="76" t="inlineStr">
        <is>
          <t>Differs from upstream baseline</t>
        </is>
      </c>
      <c r="G323" s="76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6" t="inlineStr">
        <is>
          <t>2026-09-30</t>
        </is>
      </c>
      <c r="B325" s="76" t="inlineStr">
        <is>
          <t>Abilities</t>
        </is>
      </c>
      <c r="C325" s="76" t="inlineStr">
        <is>
          <t>Dewgong abilities</t>
        </is>
      </c>
      <c r="D325" s="76" t="inlineStr">
        <is>
          <t>Thick Fat / Hydration / Ice Body</t>
        </is>
      </c>
      <c r="E325" s="76" t="inlineStr">
        <is>
          <t>Swift Swim / Ice Body / Ice Body</t>
        </is>
      </c>
      <c r="F325" s="76" t="inlineStr">
        <is>
          <t>Differs from upstream baseline</t>
        </is>
      </c>
      <c r="G325" s="76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6" t="inlineStr">
        <is>
          <t>2026-09-30</t>
        </is>
      </c>
      <c r="B327" s="76" t="inlineStr">
        <is>
          <t>Pokemon Stats</t>
        </is>
      </c>
      <c r="C327" s="76" t="inlineStr">
        <is>
          <t>Diggersby baseAttack</t>
        </is>
      </c>
      <c r="D327" s="76" t="n">
        <v>56</v>
      </c>
      <c r="E327" s="76" t="n">
        <v>89</v>
      </c>
      <c r="F327" s="76" t="inlineStr">
        <is>
          <t>Differs from upstream baseline</t>
        </is>
      </c>
      <c r="G327" s="76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6" t="inlineStr">
        <is>
          <t>2026-09-30</t>
        </is>
      </c>
      <c r="B329" s="76" t="inlineStr">
        <is>
          <t>Pokemon Stats</t>
        </is>
      </c>
      <c r="C329" s="76" t="inlineStr">
        <is>
          <t>Diggersby baseSpDefense</t>
        </is>
      </c>
      <c r="D329" s="76" t="n">
        <v>77</v>
      </c>
      <c r="E329" s="76" t="n">
        <v>90</v>
      </c>
      <c r="F329" s="76" t="inlineStr">
        <is>
          <t>Differs from upstream baseline</t>
        </is>
      </c>
      <c r="G329" s="76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6" t="inlineStr">
        <is>
          <t>2026-09-30</t>
        </is>
      </c>
      <c r="B331" s="76" t="inlineStr">
        <is>
          <t>Pokemon Stats</t>
        </is>
      </c>
      <c r="C331" s="76" t="inlineStr">
        <is>
          <t>Diglett baseHP</t>
        </is>
      </c>
      <c r="D331" s="76" t="n">
        <v>10</v>
      </c>
      <c r="E331" s="76" t="n">
        <v>34</v>
      </c>
      <c r="F331" s="76" t="inlineStr">
        <is>
          <t>Differs from upstream baseline</t>
        </is>
      </c>
      <c r="G331" s="76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6" t="inlineStr">
        <is>
          <t>2026-09-30</t>
        </is>
      </c>
      <c r="B333" s="76" t="inlineStr">
        <is>
          <t>Pokemon Stats</t>
        </is>
      </c>
      <c r="C333" s="76" t="inlineStr">
        <is>
          <t>Diglett baseSpAttack</t>
        </is>
      </c>
      <c r="D333" s="76" t="n">
        <v>35</v>
      </c>
      <c r="E333" s="76" t="n">
        <v>36</v>
      </c>
      <c r="F333" s="76" t="inlineStr">
        <is>
          <t>Differs from upstream baseline</t>
        </is>
      </c>
      <c r="G333" s="76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6" t="inlineStr">
        <is>
          <t>2026-09-30</t>
        </is>
      </c>
      <c r="B335" s="76" t="inlineStr">
        <is>
          <t>Pokemon Stats</t>
        </is>
      </c>
      <c r="C335" s="76" t="inlineStr">
        <is>
          <t>Ditto baseHP</t>
        </is>
      </c>
      <c r="D335" s="76" t="n">
        <v>48</v>
      </c>
      <c r="E335" s="76" t="n">
        <v>100</v>
      </c>
      <c r="F335" s="76" t="inlineStr">
        <is>
          <t>Differs from upstream baseline</t>
        </is>
      </c>
      <c r="G335" s="76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6" t="inlineStr">
        <is>
          <t>2026-09-30</t>
        </is>
      </c>
      <c r="B337" s="76" t="inlineStr">
        <is>
          <t>Pokemon Stats</t>
        </is>
      </c>
      <c r="C337" s="76" t="inlineStr">
        <is>
          <t>Ditto baseDefense</t>
        </is>
      </c>
      <c r="D337" s="76" t="n">
        <v>48</v>
      </c>
      <c r="E337" s="76" t="n">
        <v>100</v>
      </c>
      <c r="F337" s="76" t="inlineStr">
        <is>
          <t>Differs from upstream baseline</t>
        </is>
      </c>
      <c r="G337" s="76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6" t="inlineStr">
        <is>
          <t>2026-09-30</t>
        </is>
      </c>
      <c r="B339" s="76" t="inlineStr">
        <is>
          <t>Pokemon Stats</t>
        </is>
      </c>
      <c r="C339" s="76" t="inlineStr">
        <is>
          <t>Ditto baseSpDefense</t>
        </is>
      </c>
      <c r="D339" s="76" t="n">
        <v>48</v>
      </c>
      <c r="E339" s="76" t="n">
        <v>100</v>
      </c>
      <c r="F339" s="76" t="inlineStr">
        <is>
          <t>Differs from upstream baseline</t>
        </is>
      </c>
      <c r="G339" s="76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6" t="inlineStr">
        <is>
          <t>2026-09-30</t>
        </is>
      </c>
      <c r="B341" s="76" t="inlineStr">
        <is>
          <t>Abilities</t>
        </is>
      </c>
      <c r="C341" s="76" t="inlineStr">
        <is>
          <t>Ditto abilities</t>
        </is>
      </c>
      <c r="D341" s="76" t="inlineStr">
        <is>
          <t>Limber / Imposter</t>
        </is>
      </c>
      <c r="E341" s="76" t="inlineStr">
        <is>
          <t>Shadow Tag / Imposter</t>
        </is>
      </c>
      <c r="F341" s="76" t="inlineStr">
        <is>
          <t>Differs from upstream baseline</t>
        </is>
      </c>
      <c r="G341" s="76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6" t="inlineStr">
        <is>
          <t>2026-09-30</t>
        </is>
      </c>
      <c r="B343" s="76" t="inlineStr">
        <is>
          <t>Pokemon Stats</t>
        </is>
      </c>
      <c r="C343" s="76" t="inlineStr">
        <is>
          <t>Dodrio baseAttack</t>
        </is>
      </c>
      <c r="D343" s="76" t="n">
        <v>110</v>
      </c>
      <c r="E343" s="76" t="n">
        <v>120</v>
      </c>
      <c r="F343" s="76" t="inlineStr">
        <is>
          <t>Differs from upstream baseline</t>
        </is>
      </c>
      <c r="G343" s="76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6" t="inlineStr">
        <is>
          <t>2026-09-30</t>
        </is>
      </c>
      <c r="B345" s="76" t="inlineStr">
        <is>
          <t>Abilities</t>
        </is>
      </c>
      <c r="C345" s="76" t="inlineStr">
        <is>
          <t>Doduo abilities</t>
        </is>
      </c>
      <c r="D345" s="76" t="inlineStr">
        <is>
          <t>Run Away / Early Bird / Tangled Feet</t>
        </is>
      </c>
      <c r="E345" s="76" t="inlineStr">
        <is>
          <t>Tangled Feet / Tangled Feet / Tangled Feet</t>
        </is>
      </c>
      <c r="F345" s="76" t="inlineStr">
        <is>
          <t>Differs from upstream baseline</t>
        </is>
      </c>
      <c r="G345" s="76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6" t="inlineStr">
        <is>
          <t>2026-09-30</t>
        </is>
      </c>
      <c r="B347" s="76" t="inlineStr">
        <is>
          <t>Pokemon Stats</t>
        </is>
      </c>
      <c r="C347" s="76" t="inlineStr">
        <is>
          <t>Donphan baseDefense</t>
        </is>
      </c>
      <c r="D347" s="76" t="n">
        <v>120</v>
      </c>
      <c r="E347" s="76" t="n">
        <v>130</v>
      </c>
      <c r="F347" s="76" t="inlineStr">
        <is>
          <t>Differs from upstream baseline</t>
        </is>
      </c>
      <c r="G347" s="76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6" t="inlineStr">
        <is>
          <t>2026-09-30</t>
        </is>
      </c>
      <c r="B349" s="76" t="inlineStr">
        <is>
          <t>Abilities</t>
        </is>
      </c>
      <c r="C349" s="76" t="inlineStr">
        <is>
          <t>Donphan abilities</t>
        </is>
      </c>
      <c r="D349" s="76" t="inlineStr">
        <is>
          <t>Sturdy / Sand Veil</t>
        </is>
      </c>
      <c r="E349" s="76" t="inlineStr">
        <is>
          <t>Battle Armor / Sand Veil</t>
        </is>
      </c>
      <c r="F349" s="76" t="inlineStr">
        <is>
          <t>Differs from upstream baseline</t>
        </is>
      </c>
      <c r="G349" s="76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6" t="inlineStr">
        <is>
          <t>2026-09-30</t>
        </is>
      </c>
      <c r="B351" s="76" t="inlineStr">
        <is>
          <t>Pokemon Stats</t>
        </is>
      </c>
      <c r="C351" s="76" t="inlineStr">
        <is>
          <t>Doublade baseSpAttack</t>
        </is>
      </c>
      <c r="D351" s="76" t="n">
        <v>45</v>
      </c>
      <c r="E351" s="76" t="n">
        <v>30</v>
      </c>
      <c r="F351" s="76" t="inlineStr">
        <is>
          <t>Differs from upstream baseline</t>
        </is>
      </c>
      <c r="G351" s="76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6" t="inlineStr">
        <is>
          <t>2026-09-30</t>
        </is>
      </c>
      <c r="B353" s="76" t="inlineStr">
        <is>
          <t>Pokemon Stats</t>
        </is>
      </c>
      <c r="C353" s="76" t="inlineStr">
        <is>
          <t>Dragalge baseSpAttack</t>
        </is>
      </c>
      <c r="D353" s="76" t="n">
        <v>97</v>
      </c>
      <c r="E353" s="76" t="n">
        <v>107</v>
      </c>
      <c r="F353" s="76" t="inlineStr">
        <is>
          <t>Differs from upstream baseline</t>
        </is>
      </c>
      <c r="G353" s="76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6" t="inlineStr">
        <is>
          <t>2026-09-30</t>
        </is>
      </c>
      <c r="B355" s="76" t="inlineStr">
        <is>
          <t>Pokemon Stats</t>
        </is>
      </c>
      <c r="C355" s="76" t="inlineStr">
        <is>
          <t>Dragonite baseSpeed</t>
        </is>
      </c>
      <c r="D355" s="76" t="n">
        <v>80</v>
      </c>
      <c r="E355" s="76" t="n">
        <v>85</v>
      </c>
      <c r="F355" s="76" t="inlineStr">
        <is>
          <t>Differs from upstream baseline</t>
        </is>
      </c>
      <c r="G355" s="76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6" t="inlineStr">
        <is>
          <t>2026-09-30</t>
        </is>
      </c>
      <c r="B357" s="76" t="inlineStr">
        <is>
          <t>Abilities</t>
        </is>
      </c>
      <c r="C357" s="76" t="inlineStr">
        <is>
          <t>Drapion abilities</t>
        </is>
      </c>
      <c r="D357" s="76" t="inlineStr">
        <is>
          <t>Battle Armor / Sniper / Keen Eye</t>
        </is>
      </c>
      <c r="E357" s="76" t="inlineStr">
        <is>
          <t>Battle Armor / Hyper Cutter / Keen Eye</t>
        </is>
      </c>
      <c r="F357" s="76" t="inlineStr">
        <is>
          <t>Differs from upstream baseline</t>
        </is>
      </c>
      <c r="G357" s="76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6" t="inlineStr">
        <is>
          <t>2026-09-30</t>
        </is>
      </c>
      <c r="B359" s="76" t="inlineStr">
        <is>
          <t>Abilities</t>
        </is>
      </c>
      <c r="C359" s="76" t="inlineStr">
        <is>
          <t>Drifblim abilities</t>
        </is>
      </c>
      <c r="D359" s="76" t="inlineStr">
        <is>
          <t>Aftermath / Unburden / Flare Boost</t>
        </is>
      </c>
      <c r="E359" s="76" t="inlineStr">
        <is>
          <t>Unburden / Unburden / Flare Boost</t>
        </is>
      </c>
      <c r="F359" s="76" t="inlineStr">
        <is>
          <t>Differs from upstream baseline</t>
        </is>
      </c>
      <c r="G359" s="76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6" t="inlineStr">
        <is>
          <t>2026-09-30</t>
        </is>
      </c>
      <c r="B361" s="76" t="inlineStr">
        <is>
          <t>Abilities</t>
        </is>
      </c>
      <c r="C361" s="76" t="inlineStr">
        <is>
          <t>Drowzee abilities</t>
        </is>
      </c>
      <c r="D361" s="76" t="inlineStr">
        <is>
          <t>Insomnia / Forewarn / Inner Focus</t>
        </is>
      </c>
      <c r="E361" s="76" t="inlineStr">
        <is>
          <t>Bad Dreams / Bad Dreams / Inner Focus</t>
        </is>
      </c>
      <c r="F361" s="76" t="inlineStr">
        <is>
          <t>Differs from upstream baseline</t>
        </is>
      </c>
      <c r="G361" s="76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6" t="inlineStr">
        <is>
          <t>2026-09-30</t>
        </is>
      </c>
      <c r="B363" s="76" t="inlineStr">
        <is>
          <t>Pokemon Stats</t>
        </is>
      </c>
      <c r="C363" s="76" t="inlineStr">
        <is>
          <t>Druddigon baseAttack</t>
        </is>
      </c>
      <c r="D363" s="76" t="n">
        <v>120</v>
      </c>
      <c r="E363" s="76" t="n">
        <v>137</v>
      </c>
      <c r="F363" s="76" t="inlineStr">
        <is>
          <t>Differs from upstream baseline</t>
        </is>
      </c>
      <c r="G363" s="76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6" t="inlineStr">
        <is>
          <t>2026-09-30</t>
        </is>
      </c>
      <c r="B365" s="76" t="inlineStr">
        <is>
          <t>Pokemon Stats</t>
        </is>
      </c>
      <c r="C365" s="76" t="inlineStr">
        <is>
          <t>Druddigon baseSpDefense</t>
        </is>
      </c>
      <c r="D365" s="76" t="n">
        <v>90</v>
      </c>
      <c r="E365" s="76" t="n">
        <v>100</v>
      </c>
      <c r="F365" s="76" t="inlineStr">
        <is>
          <t>Differs from upstream baseline</t>
        </is>
      </c>
      <c r="G365" s="76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6" t="inlineStr">
        <is>
          <t>2026-09-30</t>
        </is>
      </c>
      <c r="B367" s="76" t="inlineStr">
        <is>
          <t>Abilities</t>
        </is>
      </c>
      <c r="C367" s="76" t="inlineStr">
        <is>
          <t>Dugtrio abilities</t>
        </is>
      </c>
      <c r="D367" s="76" t="inlineStr">
        <is>
          <t>Sand Veil / Arena Trap / Sand Force</t>
        </is>
      </c>
      <c r="E367" s="76" t="inlineStr">
        <is>
          <t>Arena Trap / Arena Trap / Sand Force</t>
        </is>
      </c>
      <c r="F367" s="76" t="inlineStr">
        <is>
          <t>Differs from upstream baseline</t>
        </is>
      </c>
      <c r="G367" s="76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6" t="inlineStr">
        <is>
          <t>2026-09-30</t>
        </is>
      </c>
      <c r="B369" s="76" t="inlineStr">
        <is>
          <t>Pokemon Stats</t>
        </is>
      </c>
      <c r="C369" s="76" t="inlineStr">
        <is>
          <t>Dugtrio baseAttack</t>
        </is>
      </c>
      <c r="D369" s="76" t="n">
        <v>100</v>
      </c>
      <c r="E369" s="76" t="n">
        <v>114</v>
      </c>
      <c r="F369" s="76" t="inlineStr">
        <is>
          <t>Differs from upstream baseline</t>
        </is>
      </c>
      <c r="G369" s="76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6" t="inlineStr">
        <is>
          <t>2026-09-30</t>
        </is>
      </c>
      <c r="B371" s="76" t="inlineStr">
        <is>
          <t>Pokemon Stats</t>
        </is>
      </c>
      <c r="C371" s="76" t="inlineStr">
        <is>
          <t>Dugtrio baseSpAttack</t>
        </is>
      </c>
      <c r="D371" s="76" t="n">
        <v>50</v>
      </c>
      <c r="E371" s="76" t="n">
        <v>30</v>
      </c>
      <c r="F371" s="76" t="inlineStr">
        <is>
          <t>Differs from upstream baseline</t>
        </is>
      </c>
      <c r="G371" s="76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6" t="inlineStr">
        <is>
          <t>2026-09-30</t>
        </is>
      </c>
      <c r="B373" s="76" t="inlineStr">
        <is>
          <t>Pokemon Stats</t>
        </is>
      </c>
      <c r="C373" s="76" t="inlineStr">
        <is>
          <t>Dugtrio baseSpeed</t>
        </is>
      </c>
      <c r="D373" s="76" t="n">
        <v>110</v>
      </c>
      <c r="E373" s="76" t="n">
        <v>121</v>
      </c>
      <c r="F373" s="76" t="inlineStr">
        <is>
          <t>Differs from upstream baseline</t>
        </is>
      </c>
      <c r="G373" s="76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6" t="inlineStr">
        <is>
          <t>2026-09-30</t>
        </is>
      </c>
      <c r="B375" s="76" t="inlineStr">
        <is>
          <t>Pokemon Stats</t>
        </is>
      </c>
      <c r="C375" s="76" t="inlineStr">
        <is>
          <t>Dunsparce baseDefense</t>
        </is>
      </c>
      <c r="D375" s="76" t="n">
        <v>70</v>
      </c>
      <c r="E375" s="76" t="n">
        <v>80</v>
      </c>
      <c r="F375" s="76" t="inlineStr">
        <is>
          <t>Differs from upstream baseline</t>
        </is>
      </c>
      <c r="G375" s="76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6" t="inlineStr">
        <is>
          <t>2026-09-30</t>
        </is>
      </c>
      <c r="B377" s="76" t="inlineStr">
        <is>
          <t>Pokemon Stats</t>
        </is>
      </c>
      <c r="C377" s="76" t="inlineStr">
        <is>
          <t>Dunsparce baseSpDefense</t>
        </is>
      </c>
      <c r="D377" s="76" t="n">
        <v>65</v>
      </c>
      <c r="E377" s="76" t="n">
        <v>80</v>
      </c>
      <c r="F377" s="76" t="inlineStr">
        <is>
          <t>Differs from upstream baseline</t>
        </is>
      </c>
      <c r="G377" s="76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6" t="inlineStr">
        <is>
          <t>2026-09-30</t>
        </is>
      </c>
      <c r="B379" s="76" t="inlineStr">
        <is>
          <t>Abilities</t>
        </is>
      </c>
      <c r="C379" s="76" t="inlineStr">
        <is>
          <t>Dunsparce abilities</t>
        </is>
      </c>
      <c r="D379" s="76" t="inlineStr">
        <is>
          <t>Serene Grace / Run Away / Rattled</t>
        </is>
      </c>
      <c r="E379" s="76" t="inlineStr">
        <is>
          <t>Serene Grace / Serene Grace / Rattled</t>
        </is>
      </c>
      <c r="F379" s="76" t="inlineStr">
        <is>
          <t>Differs from upstream baseline</t>
        </is>
      </c>
      <c r="G379" s="76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6" t="inlineStr">
        <is>
          <t>2026-09-30</t>
        </is>
      </c>
      <c r="B381" s="76" t="inlineStr">
        <is>
          <t>Pokemon Stats</t>
        </is>
      </c>
      <c r="C381" s="76" t="inlineStr">
        <is>
          <t>Duosion baseDefense</t>
        </is>
      </c>
      <c r="D381" s="76" t="n">
        <v>50</v>
      </c>
      <c r="E381" s="76" t="n">
        <v>52</v>
      </c>
      <c r="F381" s="76" t="inlineStr">
        <is>
          <t>Differs from upstream baseline</t>
        </is>
      </c>
      <c r="G381" s="76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6" t="inlineStr">
        <is>
          <t>2026-09-30</t>
        </is>
      </c>
      <c r="B383" s="76" t="inlineStr">
        <is>
          <t>Pokemon Stats</t>
        </is>
      </c>
      <c r="C383" s="76" t="inlineStr">
        <is>
          <t>Duosion baseSpDefense</t>
        </is>
      </c>
      <c r="D383" s="76" t="n">
        <v>60</v>
      </c>
      <c r="E383" s="76" t="n">
        <v>61</v>
      </c>
      <c r="F383" s="76" t="inlineStr">
        <is>
          <t>Differs from upstream baseline</t>
        </is>
      </c>
      <c r="G383" s="76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6" t="inlineStr">
        <is>
          <t>2026-09-30</t>
        </is>
      </c>
      <c r="B385" s="76" t="inlineStr">
        <is>
          <t>Pokemon Stats</t>
        </is>
      </c>
      <c r="C385" s="76" t="inlineStr">
        <is>
          <t>Durant baseHP</t>
        </is>
      </c>
      <c r="D385" s="76" t="n">
        <v>58</v>
      </c>
      <c r="E385" s="76" t="n">
        <v>60</v>
      </c>
      <c r="F385" s="76" t="inlineStr">
        <is>
          <t>Differs from upstream baseline</t>
        </is>
      </c>
      <c r="G385" s="76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6" t="inlineStr">
        <is>
          <t>2026-09-30</t>
        </is>
      </c>
      <c r="B387" s="76" t="inlineStr">
        <is>
          <t>Pokemon Stats</t>
        </is>
      </c>
      <c r="C387" s="76" t="inlineStr">
        <is>
          <t>Durant baseSpAttack</t>
        </is>
      </c>
      <c r="D387" s="76" t="n">
        <v>48</v>
      </c>
      <c r="E387" s="76" t="n">
        <v>30</v>
      </c>
      <c r="F387" s="76" t="inlineStr">
        <is>
          <t>Differs from upstream baseline</t>
        </is>
      </c>
      <c r="G387" s="76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6" t="inlineStr">
        <is>
          <t>2026-09-30</t>
        </is>
      </c>
      <c r="B389" s="76" t="inlineStr">
        <is>
          <t>Pokemon Stats</t>
        </is>
      </c>
      <c r="C389" s="76" t="inlineStr">
        <is>
          <t>Durant baseSpeed</t>
        </is>
      </c>
      <c r="D389" s="76" t="n">
        <v>109</v>
      </c>
      <c r="E389" s="76" t="n">
        <v>118</v>
      </c>
      <c r="F389" s="76" t="inlineStr">
        <is>
          <t>Differs from upstream baseline</t>
        </is>
      </c>
      <c r="G389" s="76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6" t="inlineStr">
        <is>
          <t>2026-09-30</t>
        </is>
      </c>
      <c r="B391" s="76" t="inlineStr">
        <is>
          <t>Pokemon Stats</t>
        </is>
      </c>
      <c r="C391" s="76" t="inlineStr">
        <is>
          <t>Dusclops baseAttack</t>
        </is>
      </c>
      <c r="D391" s="76" t="n">
        <v>70</v>
      </c>
      <c r="E391" s="76" t="n">
        <v>90</v>
      </c>
      <c r="F391" s="76" t="inlineStr">
        <is>
          <t>Differs from upstream baseline</t>
        </is>
      </c>
      <c r="G391" s="76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6" t="inlineStr">
        <is>
          <t>2026-09-30</t>
        </is>
      </c>
      <c r="B393" s="76" t="inlineStr">
        <is>
          <t>Pokemon Stats</t>
        </is>
      </c>
      <c r="C393" s="76" t="inlineStr">
        <is>
          <t>Dusknoir baseHP</t>
        </is>
      </c>
      <c r="D393" s="76" t="n">
        <v>45</v>
      </c>
      <c r="E393" s="76" t="n">
        <v>105</v>
      </c>
      <c r="F393" s="76" t="inlineStr">
        <is>
          <t>Differs from upstream baseline</t>
        </is>
      </c>
      <c r="G393" s="76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6" t="inlineStr">
        <is>
          <t>2026-09-30</t>
        </is>
      </c>
      <c r="B395" s="76" t="inlineStr">
        <is>
          <t>Abilities</t>
        </is>
      </c>
      <c r="C395" s="76" t="inlineStr">
        <is>
          <t>Dusknoir abilities</t>
        </is>
      </c>
      <c r="D395" s="76" t="inlineStr">
        <is>
          <t>Pressure / Frisk</t>
        </is>
      </c>
      <c r="E395" s="76" t="inlineStr">
        <is>
          <t>Levitate / Frisk</t>
        </is>
      </c>
      <c r="F395" s="76" t="inlineStr">
        <is>
          <t>Differs from upstream baseline</t>
        </is>
      </c>
      <c r="G395" s="76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6" t="inlineStr">
        <is>
          <t>2026-09-30</t>
        </is>
      </c>
      <c r="B397" s="76" t="inlineStr">
        <is>
          <t>Pokemon Stats</t>
        </is>
      </c>
      <c r="C397" s="76" t="inlineStr">
        <is>
          <t>Duskull baseSpAttack</t>
        </is>
      </c>
      <c r="D397" s="76" t="n">
        <v>30</v>
      </c>
      <c r="E397" s="76" t="n">
        <v>40</v>
      </c>
      <c r="F397" s="76" t="inlineStr">
        <is>
          <t>Differs from upstream baseline</t>
        </is>
      </c>
      <c r="G397" s="76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6" t="inlineStr">
        <is>
          <t>2026-09-30</t>
        </is>
      </c>
      <c r="B399" s="76" t="inlineStr">
        <is>
          <t>Abilities</t>
        </is>
      </c>
      <c r="C399" s="76" t="inlineStr">
        <is>
          <t>Dustox abilities</t>
        </is>
      </c>
      <c r="D399" s="76" t="inlineStr">
        <is>
          <t>Shield Dust / Compound Eyes</t>
        </is>
      </c>
      <c r="E399" s="76" t="inlineStr">
        <is>
          <t>Tinted Lens / Shield Dust / Compound Eyes</t>
        </is>
      </c>
      <c r="F399" s="76" t="inlineStr">
        <is>
          <t>Differs from upstream baseline</t>
        </is>
      </c>
      <c r="G399" s="76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6" t="inlineStr">
        <is>
          <t>2026-09-30</t>
        </is>
      </c>
      <c r="B401" s="76" t="inlineStr">
        <is>
          <t>Pokemon Stats</t>
        </is>
      </c>
      <c r="C401" s="76" t="inlineStr">
        <is>
          <t>Dwebble baseSpAttack</t>
        </is>
      </c>
      <c r="D401" s="76" t="n">
        <v>35</v>
      </c>
      <c r="E401" s="76" t="n">
        <v>30</v>
      </c>
      <c r="F401" s="76" t="inlineStr">
        <is>
          <t>Differs from upstream baseline</t>
        </is>
      </c>
      <c r="G401" s="76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6" t="inlineStr">
        <is>
          <t>2026-09-30</t>
        </is>
      </c>
      <c r="B403" s="76" t="inlineStr">
        <is>
          <t>Evolutions</t>
        </is>
      </c>
      <c r="C403" s="76" t="inlineStr">
        <is>
          <t>Dwebble evolution</t>
        </is>
      </c>
      <c r="D403" s="76" t="inlineStr">
        <is>
          <t>Lv 34 -&gt; Crustle</t>
        </is>
      </c>
      <c r="E403" s="76" t="inlineStr">
        <is>
          <t>Lv 26 -&gt; Crustle</t>
        </is>
      </c>
      <c r="F403" s="76" t="inlineStr">
        <is>
          <t>Differs from upstream baseline</t>
        </is>
      </c>
      <c r="G403" s="76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6" t="inlineStr">
        <is>
          <t>2026-09-30</t>
        </is>
      </c>
      <c r="B405" s="76" t="inlineStr">
        <is>
          <t>Pokemon Stats</t>
        </is>
      </c>
      <c r="C405" s="76" t="inlineStr">
        <is>
          <t>Eelektross baseSpDefense</t>
        </is>
      </c>
      <c r="D405" s="76" t="n">
        <v>80</v>
      </c>
      <c r="E405" s="76" t="n">
        <v>90</v>
      </c>
      <c r="F405" s="76" t="inlineStr">
        <is>
          <t>Differs from upstream baseline</t>
        </is>
      </c>
      <c r="G405" s="76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6" t="inlineStr">
        <is>
          <t>2026-09-30</t>
        </is>
      </c>
      <c r="B407" s="76" t="inlineStr">
        <is>
          <t>Abilities</t>
        </is>
      </c>
      <c r="C407" s="76" t="inlineStr">
        <is>
          <t>Eelektross abilities</t>
        </is>
      </c>
      <c r="D407" s="76" t="inlineStr">
        <is>
          <t>Levitate</t>
        </is>
      </c>
      <c r="E407" s="76" t="inlineStr">
        <is>
          <t>Levitate / Levitate / Levitate</t>
        </is>
      </c>
      <c r="F407" s="76" t="inlineStr">
        <is>
          <t>Differs from upstream baseline</t>
        </is>
      </c>
      <c r="G407" s="76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6" t="inlineStr">
        <is>
          <t>2026-09-30</t>
        </is>
      </c>
      <c r="B409" s="76" t="inlineStr">
        <is>
          <t>Evolutions</t>
        </is>
      </c>
      <c r="C409" s="76" t="inlineStr">
        <is>
          <t>Eevee evolution</t>
        </is>
      </c>
      <c r="D409" s="76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6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6" t="inlineStr">
        <is>
          <t>Differs from upstream baseline</t>
        </is>
      </c>
      <c r="G409" s="76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6" t="inlineStr">
        <is>
          <t>2026-09-30</t>
        </is>
      </c>
      <c r="B411" s="76" t="inlineStr">
        <is>
          <t>Pokemon Stats</t>
        </is>
      </c>
      <c r="C411" s="76" t="inlineStr">
        <is>
          <t>Electabuzz baseAttack</t>
        </is>
      </c>
      <c r="D411" s="76" t="n">
        <v>83</v>
      </c>
      <c r="E411" s="76" t="n">
        <v>87</v>
      </c>
      <c r="F411" s="76" t="inlineStr">
        <is>
          <t>Differs from upstream baseline</t>
        </is>
      </c>
      <c r="G411" s="76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6" t="inlineStr">
        <is>
          <t>2026-09-30</t>
        </is>
      </c>
      <c r="B413" s="76" t="inlineStr">
        <is>
          <t>Abilities</t>
        </is>
      </c>
      <c r="C413" s="76" t="inlineStr">
        <is>
          <t>Electivire abilities</t>
        </is>
      </c>
      <c r="D413" s="76" t="inlineStr">
        <is>
          <t>Motor Drive / Vital Spirit</t>
        </is>
      </c>
      <c r="E413" s="76" t="inlineStr">
        <is>
          <t>Adaptability / Vital Spirit</t>
        </is>
      </c>
      <c r="F413" s="76" t="inlineStr">
        <is>
          <t>Differs from upstream baseline</t>
        </is>
      </c>
      <c r="G413" s="76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6" t="inlineStr">
        <is>
          <t>2026-09-30</t>
        </is>
      </c>
      <c r="B415" s="76" t="inlineStr">
        <is>
          <t>Pokemon Stats</t>
        </is>
      </c>
      <c r="C415" s="76" t="inlineStr">
        <is>
          <t>Electrode baseSpeed</t>
        </is>
      </c>
      <c r="D415" s="76" t="n">
        <v>150</v>
      </c>
      <c r="E415" s="76" t="n">
        <v>140</v>
      </c>
      <c r="F415" s="76" t="inlineStr">
        <is>
          <t>Differs from upstream baseline</t>
        </is>
      </c>
      <c r="G415" s="76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6" t="inlineStr">
        <is>
          <t>2026-09-30</t>
        </is>
      </c>
      <c r="B417" s="76" t="inlineStr">
        <is>
          <t>Pokemon Stats</t>
        </is>
      </c>
      <c r="C417" s="76" t="inlineStr">
        <is>
          <t>Emboar baseDefense</t>
        </is>
      </c>
      <c r="D417" s="76" t="n">
        <v>65</v>
      </c>
      <c r="E417" s="76" t="n">
        <v>75</v>
      </c>
      <c r="F417" s="76" t="inlineStr">
        <is>
          <t>Differs from upstream baseline</t>
        </is>
      </c>
      <c r="G417" s="76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6" t="inlineStr">
        <is>
          <t>2026-09-30</t>
        </is>
      </c>
      <c r="B419" s="76" t="inlineStr">
        <is>
          <t>Abilities</t>
        </is>
      </c>
      <c r="C419" s="76" t="inlineStr">
        <is>
          <t>Emboar abilities</t>
        </is>
      </c>
      <c r="D419" s="76" t="inlineStr">
        <is>
          <t>Blaze / Reckless</t>
        </is>
      </c>
      <c r="E419" s="76" t="inlineStr">
        <is>
          <t>Blaze / Reckless / Thick Fat</t>
        </is>
      </c>
      <c r="F419" s="76" t="inlineStr">
        <is>
          <t>Differs from upstream baseline</t>
        </is>
      </c>
      <c r="G419" s="76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6" t="inlineStr">
        <is>
          <t>2026-09-30</t>
        </is>
      </c>
      <c r="B421" s="76" t="inlineStr">
        <is>
          <t>Pokemon Stats</t>
        </is>
      </c>
      <c r="C421" s="76" t="inlineStr">
        <is>
          <t>Emolga baseAttack</t>
        </is>
      </c>
      <c r="D421" s="76" t="n">
        <v>75</v>
      </c>
      <c r="E421" s="76" t="n">
        <v>88</v>
      </c>
      <c r="F421" s="76" t="inlineStr">
        <is>
          <t>Differs from upstream baseline</t>
        </is>
      </c>
      <c r="G421" s="76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6" t="inlineStr">
        <is>
          <t>2026-09-30</t>
        </is>
      </c>
      <c r="B423" s="76" t="inlineStr">
        <is>
          <t>Pokemon Stats</t>
        </is>
      </c>
      <c r="C423" s="76" t="inlineStr">
        <is>
          <t>Emolga baseSpAttack</t>
        </is>
      </c>
      <c r="D423" s="76" t="n">
        <v>75</v>
      </c>
      <c r="E423" s="76" t="n">
        <v>86</v>
      </c>
      <c r="F423" s="76" t="inlineStr">
        <is>
          <t>Differs from upstream baseline</t>
        </is>
      </c>
      <c r="G423" s="76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6" t="inlineStr">
        <is>
          <t>2026-09-30</t>
        </is>
      </c>
      <c r="B425" s="76" t="inlineStr">
        <is>
          <t>Pokemon Stats</t>
        </is>
      </c>
      <c r="C425" s="76" t="inlineStr">
        <is>
          <t>Emolga baseSpeed</t>
        </is>
      </c>
      <c r="D425" s="76" t="n">
        <v>103</v>
      </c>
      <c r="E425" s="76" t="n">
        <v>113</v>
      </c>
      <c r="F425" s="76" t="inlineStr">
        <is>
          <t>Differs from upstream baseline</t>
        </is>
      </c>
      <c r="G425" s="76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6" t="inlineStr">
        <is>
          <t>2026-09-30</t>
        </is>
      </c>
      <c r="B427" s="76" t="inlineStr">
        <is>
          <t>Pokemon Stats</t>
        </is>
      </c>
      <c r="C427" s="76" t="inlineStr">
        <is>
          <t>Empoleon baseAttack</t>
        </is>
      </c>
      <c r="D427" s="76" t="n">
        <v>86</v>
      </c>
      <c r="E427" s="76" t="n">
        <v>111</v>
      </c>
      <c r="F427" s="76" t="inlineStr">
        <is>
          <t>Differs from upstream baseline</t>
        </is>
      </c>
      <c r="G427" s="76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6" t="inlineStr">
        <is>
          <t>2026-09-30</t>
        </is>
      </c>
      <c r="B429" s="76" t="inlineStr">
        <is>
          <t>Pokemon Stats</t>
        </is>
      </c>
      <c r="C429" s="76" t="inlineStr">
        <is>
          <t>Empoleon baseSpAttack</t>
        </is>
      </c>
      <c r="D429" s="76" t="n">
        <v>111</v>
      </c>
      <c r="E429" s="76" t="n">
        <v>86</v>
      </c>
      <c r="F429" s="76" t="inlineStr">
        <is>
          <t>Differs from upstream baseline</t>
        </is>
      </c>
      <c r="G429" s="76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6" t="inlineStr">
        <is>
          <t>2026-09-30</t>
        </is>
      </c>
      <c r="B431" s="76" t="inlineStr">
        <is>
          <t>Pokemon Stats</t>
        </is>
      </c>
      <c r="C431" s="76" t="inlineStr">
        <is>
          <t>Entei baseAttack</t>
        </is>
      </c>
      <c r="D431" s="76" t="n">
        <v>115</v>
      </c>
      <c r="E431" s="76" t="n">
        <v>135</v>
      </c>
      <c r="F431" s="76" t="inlineStr">
        <is>
          <t>Differs from upstream baseline</t>
        </is>
      </c>
      <c r="G431" s="76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6" t="inlineStr">
        <is>
          <t>2026-09-30</t>
        </is>
      </c>
      <c r="B433" s="76" t="inlineStr">
        <is>
          <t>Pokemon Stats</t>
        </is>
      </c>
      <c r="C433" s="76" t="inlineStr">
        <is>
          <t>Escavalier baseAttack</t>
        </is>
      </c>
      <c r="D433" s="76" t="n">
        <v>135</v>
      </c>
      <c r="E433" s="76" t="n">
        <v>167</v>
      </c>
      <c r="F433" s="76" t="inlineStr">
        <is>
          <t>Differs from upstream baseline</t>
        </is>
      </c>
      <c r="G433" s="76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6" t="inlineStr">
        <is>
          <t>2026-09-30</t>
        </is>
      </c>
      <c r="B435" s="76" t="inlineStr">
        <is>
          <t>Pokemon Stats</t>
        </is>
      </c>
      <c r="C435" s="76" t="inlineStr">
        <is>
          <t>Escavalier baseSpeed</t>
        </is>
      </c>
      <c r="D435" s="76" t="n">
        <v>20</v>
      </c>
      <c r="E435" s="76" t="n">
        <v>37</v>
      </c>
      <c r="F435" s="76" t="inlineStr">
        <is>
          <t>Differs from upstream baseline</t>
        </is>
      </c>
      <c r="G435" s="76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6" t="inlineStr">
        <is>
          <t>2026-09-30</t>
        </is>
      </c>
      <c r="B437" s="76" t="inlineStr">
        <is>
          <t>Pokemon Stats</t>
        </is>
      </c>
      <c r="C437" s="76" t="inlineStr">
        <is>
          <t>Excadrill baseSpAttack</t>
        </is>
      </c>
      <c r="D437" s="76" t="n">
        <v>50</v>
      </c>
      <c r="E437" s="76" t="n">
        <v>30</v>
      </c>
      <c r="F437" s="76" t="inlineStr">
        <is>
          <t>Differs from upstream baseline</t>
        </is>
      </c>
      <c r="G437" s="76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6" t="inlineStr">
        <is>
          <t>2026-09-30</t>
        </is>
      </c>
      <c r="B439" s="76" t="inlineStr">
        <is>
          <t>Pokemon Stats</t>
        </is>
      </c>
      <c r="C439" s="76" t="inlineStr">
        <is>
          <t>Exeggutor baseSpDefense</t>
        </is>
      </c>
      <c r="D439" s="76" t="n">
        <v>75</v>
      </c>
      <c r="E439" s="76" t="n">
        <v>85</v>
      </c>
      <c r="F439" s="76" t="inlineStr">
        <is>
          <t>Differs from upstream baseline</t>
        </is>
      </c>
      <c r="G439" s="76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6" t="inlineStr">
        <is>
          <t>2026-09-30</t>
        </is>
      </c>
      <c r="B441" s="76" t="inlineStr">
        <is>
          <t>Pokemon Stats</t>
        </is>
      </c>
      <c r="C441" s="76" t="inlineStr">
        <is>
          <t>Exploud baseDefense</t>
        </is>
      </c>
      <c r="D441" s="76" t="n">
        <v>63</v>
      </c>
      <c r="E441" s="76" t="n">
        <v>73</v>
      </c>
      <c r="F441" s="76" t="inlineStr">
        <is>
          <t>Differs from upstream baseline</t>
        </is>
      </c>
      <c r="G441" s="76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6" t="inlineStr">
        <is>
          <t>2026-09-30</t>
        </is>
      </c>
      <c r="B443" s="76" t="inlineStr">
        <is>
          <t>Pokemon Stats</t>
        </is>
      </c>
      <c r="C443" s="76" t="inlineStr">
        <is>
          <t>Exploud baseSpeed</t>
        </is>
      </c>
      <c r="D443" s="76" t="n">
        <v>68</v>
      </c>
      <c r="E443" s="76" t="n">
        <v>78</v>
      </c>
      <c r="F443" s="76" t="inlineStr">
        <is>
          <t>Differs from upstream baseline</t>
        </is>
      </c>
      <c r="G443" s="76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6" t="inlineStr">
        <is>
          <t>2026-09-30</t>
        </is>
      </c>
      <c r="B445" s="76" t="inlineStr">
        <is>
          <t>Pokemon Stats</t>
        </is>
      </c>
      <c r="C445" s="76" t="inlineStr">
        <is>
          <t>Farfetch'd baseAttack</t>
        </is>
      </c>
      <c r="D445" s="76" t="n">
        <v>90</v>
      </c>
      <c r="E445" s="76" t="n">
        <v>95</v>
      </c>
      <c r="F445" s="76" t="inlineStr">
        <is>
          <t>Differs from upstream baseline</t>
        </is>
      </c>
      <c r="G445" s="76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6" t="inlineStr">
        <is>
          <t>2026-09-30</t>
        </is>
      </c>
      <c r="B447" s="76" t="inlineStr">
        <is>
          <t>Pokemon Stats</t>
        </is>
      </c>
      <c r="C447" s="76" t="inlineStr">
        <is>
          <t>Farfetch'd baseSpDefense</t>
        </is>
      </c>
      <c r="D447" s="76" t="n">
        <v>62</v>
      </c>
      <c r="E447" s="76" t="n">
        <v>82</v>
      </c>
      <c r="F447" s="76" t="inlineStr">
        <is>
          <t>Differs from upstream baseline</t>
        </is>
      </c>
      <c r="G447" s="76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6" t="inlineStr">
        <is>
          <t>2026-09-30</t>
        </is>
      </c>
      <c r="B449" s="76" t="inlineStr">
        <is>
          <t>Abilities</t>
        </is>
      </c>
      <c r="C449" s="76" t="inlineStr">
        <is>
          <t>Farfetch'd abilities</t>
        </is>
      </c>
      <c r="D449" s="76" t="inlineStr">
        <is>
          <t>Keen Eye / Inner Focus / Defiant</t>
        </is>
      </c>
      <c r="E449" s="76" t="inlineStr">
        <is>
          <t>Super Luck / Scrappy / Defiant</t>
        </is>
      </c>
      <c r="F449" s="76" t="inlineStr">
        <is>
          <t>Differs from upstream baseline</t>
        </is>
      </c>
      <c r="G449" s="76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6" t="inlineStr">
        <is>
          <t>2026-09-30</t>
        </is>
      </c>
      <c r="B451" s="76" t="inlineStr">
        <is>
          <t>Pokemon Stats</t>
        </is>
      </c>
      <c r="C451" s="76" t="inlineStr">
        <is>
          <t>Fearow baseDefense</t>
        </is>
      </c>
      <c r="D451" s="76" t="n">
        <v>65</v>
      </c>
      <c r="E451" s="76" t="n">
        <v>75</v>
      </c>
      <c r="F451" s="76" t="inlineStr">
        <is>
          <t>Differs from upstream baseline</t>
        </is>
      </c>
      <c r="G451" s="76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6" t="inlineStr">
        <is>
          <t>2026-09-30</t>
        </is>
      </c>
      <c r="B453" s="76" t="inlineStr">
        <is>
          <t>Abilities</t>
        </is>
      </c>
      <c r="C453" s="76" t="inlineStr">
        <is>
          <t>Fearow abilities</t>
        </is>
      </c>
      <c r="D453" s="76" t="inlineStr">
        <is>
          <t>Keen Eye / Sniper</t>
        </is>
      </c>
      <c r="E453" s="76" t="inlineStr">
        <is>
          <t>Sniper / Sniper</t>
        </is>
      </c>
      <c r="F453" s="76" t="inlineStr">
        <is>
          <t>Differs from upstream baseline</t>
        </is>
      </c>
      <c r="G453" s="76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6" t="inlineStr">
        <is>
          <t>2026-09-30</t>
        </is>
      </c>
      <c r="B455" s="76" t="inlineStr">
        <is>
          <t>Pokemon Stats</t>
        </is>
      </c>
      <c r="C455" s="76" t="inlineStr">
        <is>
          <t>Feraligatr baseAttack</t>
        </is>
      </c>
      <c r="D455" s="76" t="n">
        <v>105</v>
      </c>
      <c r="E455" s="76" t="n">
        <v>125</v>
      </c>
      <c r="F455" s="76" t="inlineStr">
        <is>
          <t>Differs from upstream baseline</t>
        </is>
      </c>
      <c r="G455" s="76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6" t="inlineStr">
        <is>
          <t>2026-09-30</t>
        </is>
      </c>
      <c r="B457" s="76" t="inlineStr">
        <is>
          <t>Pokemon Stats</t>
        </is>
      </c>
      <c r="C457" s="76" t="inlineStr">
        <is>
          <t>Feraligatr baseSpDefense</t>
        </is>
      </c>
      <c r="D457" s="76" t="n">
        <v>83</v>
      </c>
      <c r="E457" s="76" t="n">
        <v>85</v>
      </c>
      <c r="F457" s="76" t="inlineStr">
        <is>
          <t>Differs from upstream baseline</t>
        </is>
      </c>
      <c r="G457" s="76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6" t="inlineStr">
        <is>
          <t>2026-09-30</t>
        </is>
      </c>
      <c r="B459" s="76" t="inlineStr">
        <is>
          <t>Abilities</t>
        </is>
      </c>
      <c r="C459" s="76" t="inlineStr">
        <is>
          <t>Feraligatr abilities</t>
        </is>
      </c>
      <c r="D459" s="76" t="inlineStr">
        <is>
          <t>Torrent / Sheer Force</t>
        </is>
      </c>
      <c r="E459" s="76" t="inlineStr">
        <is>
          <t>Intimidate / Battle Armor / Sheer Force</t>
        </is>
      </c>
      <c r="F459" s="76" t="inlineStr">
        <is>
          <t>Differs from upstream baseline</t>
        </is>
      </c>
      <c r="G459" s="76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6" t="inlineStr">
        <is>
          <t>2026-09-30</t>
        </is>
      </c>
      <c r="B461" s="76" t="inlineStr">
        <is>
          <t>Pokemon Stats</t>
        </is>
      </c>
      <c r="C461" s="76" t="inlineStr">
        <is>
          <t>Ferrothorn baseSpAttack</t>
        </is>
      </c>
      <c r="D461" s="76" t="n">
        <v>54</v>
      </c>
      <c r="E461" s="76" t="n">
        <v>30</v>
      </c>
      <c r="F461" s="76" t="inlineStr">
        <is>
          <t>Differs from upstream baseline</t>
        </is>
      </c>
      <c r="G461" s="76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6" t="inlineStr">
        <is>
          <t>2026-09-30</t>
        </is>
      </c>
      <c r="B463" s="76" t="inlineStr">
        <is>
          <t>Abilities</t>
        </is>
      </c>
      <c r="C463" s="76" t="inlineStr">
        <is>
          <t>Flareon abilities</t>
        </is>
      </c>
      <c r="D463" s="76" t="inlineStr">
        <is>
          <t>Flash Fire / Flash Fire / Guts</t>
        </is>
      </c>
      <c r="E463" s="76" t="inlineStr">
        <is>
          <t>Adaptability / Adaptability / Guts</t>
        </is>
      </c>
      <c r="F463" s="76" t="inlineStr">
        <is>
          <t>Differs from upstream baseline</t>
        </is>
      </c>
      <c r="G463" s="76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6" t="inlineStr">
        <is>
          <t>2026-09-30</t>
        </is>
      </c>
      <c r="B465" s="76" t="inlineStr">
        <is>
          <t>Pokemon Stats</t>
        </is>
      </c>
      <c r="C465" s="76" t="inlineStr">
        <is>
          <t>None baseSpAttack</t>
        </is>
      </c>
      <c r="D465" s="76" t="n">
        <v>125</v>
      </c>
      <c r="E465" s="76" t="n">
        <v>144</v>
      </c>
      <c r="F465" s="76" t="inlineStr">
        <is>
          <t>Differs from upstream baseline</t>
        </is>
      </c>
      <c r="G465" s="76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6" t="inlineStr">
        <is>
          <t>2026-09-30</t>
        </is>
      </c>
      <c r="B467" s="76" t="inlineStr">
        <is>
          <t>Pokemon Stats</t>
        </is>
      </c>
      <c r="C467" s="76" t="inlineStr">
        <is>
          <t>Flygon baseSpAttack</t>
        </is>
      </c>
      <c r="D467" s="76" t="n">
        <v>80</v>
      </c>
      <c r="E467" s="76" t="n">
        <v>110</v>
      </c>
      <c r="F467" s="76" t="inlineStr">
        <is>
          <t>Differs from upstream baseline</t>
        </is>
      </c>
      <c r="G467" s="76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6" t="inlineStr">
        <is>
          <t>2026-09-30</t>
        </is>
      </c>
      <c r="B469" s="76" t="inlineStr">
        <is>
          <t>Pokemon Stats</t>
        </is>
      </c>
      <c r="C469" s="76" t="inlineStr">
        <is>
          <t>Foongus baseDefense</t>
        </is>
      </c>
      <c r="D469" s="76" t="n">
        <v>45</v>
      </c>
      <c r="E469" s="76" t="n">
        <v>46</v>
      </c>
      <c r="F469" s="76" t="inlineStr">
        <is>
          <t>Differs from upstream baseline</t>
        </is>
      </c>
      <c r="G469" s="76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6" t="inlineStr">
        <is>
          <t>2026-09-30</t>
        </is>
      </c>
      <c r="B471" s="76" t="inlineStr">
        <is>
          <t>Pokemon Stats</t>
        </is>
      </c>
      <c r="C471" s="76" t="inlineStr">
        <is>
          <t>Forretress baseSpDefense</t>
        </is>
      </c>
      <c r="D471" s="76" t="n">
        <v>60</v>
      </c>
      <c r="E471" s="76" t="n">
        <v>90</v>
      </c>
      <c r="F471" s="76" t="inlineStr">
        <is>
          <t>Differs from upstream baseline</t>
        </is>
      </c>
      <c r="G471" s="76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6" t="inlineStr">
        <is>
          <t>2026-09-30</t>
        </is>
      </c>
      <c r="B473" s="76" t="inlineStr">
        <is>
          <t>Pokemon Stats</t>
        </is>
      </c>
      <c r="C473" s="76" t="inlineStr">
        <is>
          <t>Fraxure baseAttack</t>
        </is>
      </c>
      <c r="D473" s="76" t="n">
        <v>117</v>
      </c>
      <c r="E473" s="76" t="n">
        <v>123</v>
      </c>
      <c r="F473" s="76" t="inlineStr">
        <is>
          <t>Differs from upstream baseline</t>
        </is>
      </c>
      <c r="G473" s="76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6" t="inlineStr">
        <is>
          <t>2026-09-30</t>
        </is>
      </c>
      <c r="B475" s="76" t="inlineStr">
        <is>
          <t>Pokemon Stats</t>
        </is>
      </c>
      <c r="C475" s="76" t="inlineStr">
        <is>
          <t>Fraxure baseSpeed</t>
        </is>
      </c>
      <c r="D475" s="76" t="n">
        <v>67</v>
      </c>
      <c r="E475" s="76" t="n">
        <v>71</v>
      </c>
      <c r="F475" s="76" t="inlineStr">
        <is>
          <t>Differs from upstream baseline</t>
        </is>
      </c>
      <c r="G475" s="76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6" t="inlineStr">
        <is>
          <t>2026-09-30</t>
        </is>
      </c>
      <c r="B477" s="76" t="inlineStr">
        <is>
          <t>Pokemon Stats</t>
        </is>
      </c>
      <c r="C477" s="76" t="inlineStr">
        <is>
          <t>Frillish baseSpAttack</t>
        </is>
      </c>
      <c r="D477" s="76" t="n">
        <v>65</v>
      </c>
      <c r="E477" s="76" t="n">
        <v>75</v>
      </c>
      <c r="F477" s="76" t="inlineStr">
        <is>
          <t>Differs from upstream baseline</t>
        </is>
      </c>
      <c r="G477" s="76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6" t="inlineStr">
        <is>
          <t>2026-09-30</t>
        </is>
      </c>
      <c r="B479" s="76" t="inlineStr">
        <is>
          <t>Pokemon Stats</t>
        </is>
      </c>
      <c r="C479" s="76" t="inlineStr">
        <is>
          <t>Froslass baseSpAttack</t>
        </is>
      </c>
      <c r="D479" s="76" t="n">
        <v>80</v>
      </c>
      <c r="E479" s="76" t="n">
        <v>110</v>
      </c>
      <c r="F479" s="76" t="inlineStr">
        <is>
          <t>Differs from upstream baseline</t>
        </is>
      </c>
      <c r="G479" s="76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6" t="inlineStr">
        <is>
          <t>2026-09-30</t>
        </is>
      </c>
      <c r="B481" s="76" t="inlineStr">
        <is>
          <t>Pokemon Stats</t>
        </is>
      </c>
      <c r="C481" s="76" t="inlineStr">
        <is>
          <t>Furret baseAttack</t>
        </is>
      </c>
      <c r="D481" s="76" t="n">
        <v>76</v>
      </c>
      <c r="E481" s="76" t="n">
        <v>86</v>
      </c>
      <c r="F481" s="76" t="inlineStr">
        <is>
          <t>Differs from upstream baseline</t>
        </is>
      </c>
      <c r="G481" s="76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6" t="inlineStr">
        <is>
          <t>2026-09-30</t>
        </is>
      </c>
      <c r="B483" s="76" t="inlineStr">
        <is>
          <t>Abilities</t>
        </is>
      </c>
      <c r="C483" s="76" t="inlineStr">
        <is>
          <t>Gabite abilities</t>
        </is>
      </c>
      <c r="D483" s="76" t="inlineStr">
        <is>
          <t>Sand Veil / Rough Skin</t>
        </is>
      </c>
      <c r="E483" s="76" t="inlineStr">
        <is>
          <t>Sand Veil / Shed Skin / Rough Skin</t>
        </is>
      </c>
      <c r="F483" s="76" t="inlineStr">
        <is>
          <t>Differs from upstream baseline</t>
        </is>
      </c>
      <c r="G483" s="76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6" t="inlineStr">
        <is>
          <t>2026-09-30</t>
        </is>
      </c>
      <c r="B485" s="76" t="inlineStr">
        <is>
          <t>Pokemon Stats</t>
        </is>
      </c>
      <c r="C485" s="76" t="inlineStr">
        <is>
          <t>Galvantula baseSpAttack</t>
        </is>
      </c>
      <c r="D485" s="76" t="n">
        <v>97</v>
      </c>
      <c r="E485" s="76" t="n">
        <v>107</v>
      </c>
      <c r="F485" s="76" t="inlineStr">
        <is>
          <t>Differs from upstream baseline</t>
        </is>
      </c>
      <c r="G485" s="76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6" t="inlineStr">
        <is>
          <t>2026-09-30</t>
        </is>
      </c>
      <c r="B487" s="76" t="inlineStr">
        <is>
          <t>Pokemon Stats</t>
        </is>
      </c>
      <c r="C487" s="76" t="inlineStr">
        <is>
          <t>Garbodor baseAttack</t>
        </is>
      </c>
      <c r="D487" s="76" t="n">
        <v>95</v>
      </c>
      <c r="E487" s="76" t="n">
        <v>105</v>
      </c>
      <c r="F487" s="76" t="inlineStr">
        <is>
          <t>Differs from upstream baseline</t>
        </is>
      </c>
      <c r="G487" s="76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6" t="inlineStr">
        <is>
          <t>2026-09-30</t>
        </is>
      </c>
      <c r="B489" s="76" t="inlineStr">
        <is>
          <t>Abilities</t>
        </is>
      </c>
      <c r="C489" s="76" t="inlineStr">
        <is>
          <t>Garchomp abilities</t>
        </is>
      </c>
      <c r="D489" s="76" t="inlineStr">
        <is>
          <t>Sand Veil / Rough Skin</t>
        </is>
      </c>
      <c r="E489" s="76" t="inlineStr">
        <is>
          <t>Sand Veil / Rough Skin / Rough Skin</t>
        </is>
      </c>
      <c r="F489" s="76" t="inlineStr">
        <is>
          <t>Differs from upstream baseline</t>
        </is>
      </c>
      <c r="G489" s="76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6" t="inlineStr">
        <is>
          <t>2026-09-30</t>
        </is>
      </c>
      <c r="B491" s="76" t="inlineStr">
        <is>
          <t>Pokemon Stats</t>
        </is>
      </c>
      <c r="C491" s="76" t="inlineStr">
        <is>
          <t>Gardevoir baseSpAttack</t>
        </is>
      </c>
      <c r="D491" s="76" t="n">
        <v>125</v>
      </c>
      <c r="E491" s="76" t="n">
        <v>135</v>
      </c>
      <c r="F491" s="76" t="inlineStr">
        <is>
          <t>Differs from upstream baseline</t>
        </is>
      </c>
      <c r="G491" s="76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6" t="inlineStr">
        <is>
          <t>2026-09-30</t>
        </is>
      </c>
      <c r="B493" s="76" t="inlineStr">
        <is>
          <t>Pokemon Stats</t>
        </is>
      </c>
      <c r="C493" s="76" t="inlineStr">
        <is>
          <t>Gardevoir baseSpAttack</t>
        </is>
      </c>
      <c r="D493" s="76" t="n">
        <v>165</v>
      </c>
      <c r="E493" s="76" t="n">
        <v>175</v>
      </c>
      <c r="F493" s="76" t="inlineStr">
        <is>
          <t>Differs from upstream baseline</t>
        </is>
      </c>
      <c r="G493" s="76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6" t="inlineStr">
        <is>
          <t>2026-09-30</t>
        </is>
      </c>
      <c r="B495" s="76" t="inlineStr">
        <is>
          <t>Pokemon Stats</t>
        </is>
      </c>
      <c r="C495" s="76" t="inlineStr">
        <is>
          <t>Geodude baseHP</t>
        </is>
      </c>
      <c r="D495" s="76" t="n">
        <v>40</v>
      </c>
      <c r="E495" s="76" t="n">
        <v>55</v>
      </c>
      <c r="F495" s="76" t="inlineStr">
        <is>
          <t>Differs from upstream baseline</t>
        </is>
      </c>
      <c r="G495" s="76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6" t="inlineStr">
        <is>
          <t>2026-09-30</t>
        </is>
      </c>
      <c r="B497" s="76" t="inlineStr">
        <is>
          <t>Abilities</t>
        </is>
      </c>
      <c r="C497" s="76" t="inlineStr">
        <is>
          <t>Geodude abilities</t>
        </is>
      </c>
      <c r="D497" s="76" t="inlineStr">
        <is>
          <t>Rock Head / Sturdy / Sand Veil</t>
        </is>
      </c>
      <c r="E497" s="76" t="inlineStr">
        <is>
          <t>Rock Head / Rough Skin / Sand Veil</t>
        </is>
      </c>
      <c r="F497" s="76" t="inlineStr">
        <is>
          <t>Differs from upstream baseline</t>
        </is>
      </c>
      <c r="G497" s="76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6" t="inlineStr">
        <is>
          <t>2026-09-30</t>
        </is>
      </c>
      <c r="B499" s="76" t="inlineStr">
        <is>
          <t>Abilities</t>
        </is>
      </c>
      <c r="C499" s="76" t="inlineStr">
        <is>
          <t>Gible abilities</t>
        </is>
      </c>
      <c r="D499" s="76" t="inlineStr">
        <is>
          <t>Sand Veil / Rough Skin</t>
        </is>
      </c>
      <c r="E499" s="76" t="inlineStr">
        <is>
          <t>Sand Veil / Rough Skin / Rough Skin</t>
        </is>
      </c>
      <c r="F499" s="76" t="inlineStr">
        <is>
          <t>Differs from upstream baseline</t>
        </is>
      </c>
      <c r="G499" s="76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6" t="inlineStr">
        <is>
          <t>2026-09-30</t>
        </is>
      </c>
      <c r="B501" s="76" t="inlineStr">
        <is>
          <t>Pokemon Stats</t>
        </is>
      </c>
      <c r="C501" s="76" t="inlineStr">
        <is>
          <t>Gigalith baseAttack</t>
        </is>
      </c>
      <c r="D501" s="76" t="n">
        <v>135</v>
      </c>
      <c r="E501" s="76" t="n">
        <v>165</v>
      </c>
      <c r="F501" s="76" t="inlineStr">
        <is>
          <t>Differs from upstream baseline</t>
        </is>
      </c>
      <c r="G501" s="76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6" t="inlineStr">
        <is>
          <t>2026-09-30</t>
        </is>
      </c>
      <c r="B503" s="76" t="inlineStr">
        <is>
          <t>Pokemon Stats</t>
        </is>
      </c>
      <c r="C503" s="76" t="inlineStr">
        <is>
          <t>Gigalith baseSpDefense</t>
        </is>
      </c>
      <c r="D503" s="76" t="n">
        <v>80</v>
      </c>
      <c r="E503" s="76" t="n">
        <v>90</v>
      </c>
      <c r="F503" s="76" t="inlineStr">
        <is>
          <t>Differs from upstream baseline</t>
        </is>
      </c>
      <c r="G503" s="76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6" t="inlineStr">
        <is>
          <t>2026-09-30</t>
        </is>
      </c>
      <c r="B505" s="76" t="inlineStr">
        <is>
          <t>Abilities</t>
        </is>
      </c>
      <c r="C505" s="76" t="inlineStr">
        <is>
          <t>Gigalith abilities</t>
        </is>
      </c>
      <c r="D505" s="76" t="inlineStr">
        <is>
          <t>Sturdy / Sand Stream / Sand Force</t>
        </is>
      </c>
      <c r="E505" s="76" t="inlineStr">
        <is>
          <t>Sturdy / Sand Stream / Solid Rock</t>
        </is>
      </c>
      <c r="F505" s="76" t="inlineStr">
        <is>
          <t>Differs from upstream baseline</t>
        </is>
      </c>
      <c r="G505" s="76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6" t="inlineStr">
        <is>
          <t>2026-09-30</t>
        </is>
      </c>
      <c r="B507" s="76" t="inlineStr">
        <is>
          <t>Pokemon Stats</t>
        </is>
      </c>
      <c r="C507" s="76" t="inlineStr">
        <is>
          <t>Girafarig baseAttack</t>
        </is>
      </c>
      <c r="D507" s="76" t="n">
        <v>80</v>
      </c>
      <c r="E507" s="76" t="n">
        <v>100</v>
      </c>
      <c r="F507" s="76" t="inlineStr">
        <is>
          <t>Differs from upstream baseline</t>
        </is>
      </c>
      <c r="G507" s="76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6" t="inlineStr">
        <is>
          <t>2026-09-30</t>
        </is>
      </c>
      <c r="B509" s="76" t="inlineStr">
        <is>
          <t>Pokemon Stats</t>
        </is>
      </c>
      <c r="C509" s="76" t="inlineStr">
        <is>
          <t>Girafarig baseSpAttack</t>
        </is>
      </c>
      <c r="D509" s="76" t="n">
        <v>90</v>
      </c>
      <c r="E509" s="76" t="n">
        <v>110</v>
      </c>
      <c r="F509" s="76" t="inlineStr">
        <is>
          <t>Differs from upstream baseline</t>
        </is>
      </c>
      <c r="G509" s="76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6" t="inlineStr">
        <is>
          <t>2026-09-30</t>
        </is>
      </c>
      <c r="B511" s="76" t="inlineStr">
        <is>
          <t>Abilities</t>
        </is>
      </c>
      <c r="C511" s="76" t="inlineStr">
        <is>
          <t>Girafarig abilities</t>
        </is>
      </c>
      <c r="D511" s="76" t="inlineStr">
        <is>
          <t>Inner Focus / Early Bird / Sap Sipper</t>
        </is>
      </c>
      <c r="E511" s="76" t="inlineStr">
        <is>
          <t>Quick Feet / Quick Feet / Sap Sipper</t>
        </is>
      </c>
      <c r="F511" s="76" t="inlineStr">
        <is>
          <t>Differs from upstream baseline</t>
        </is>
      </c>
      <c r="G511" s="76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6" t="inlineStr">
        <is>
          <t>2026-09-30</t>
        </is>
      </c>
      <c r="B513" s="76" t="inlineStr">
        <is>
          <t>Pokemon Stats</t>
        </is>
      </c>
      <c r="C513" s="76" t="inlineStr">
        <is>
          <t>Glalie baseSpAttack</t>
        </is>
      </c>
      <c r="D513" s="76" t="n">
        <v>80</v>
      </c>
      <c r="E513" s="76" t="n">
        <v>100</v>
      </c>
      <c r="F513" s="76" t="inlineStr">
        <is>
          <t>Differs from upstream baseline</t>
        </is>
      </c>
      <c r="G513" s="76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6" t="inlineStr">
        <is>
          <t>2026-09-30</t>
        </is>
      </c>
      <c r="B515" s="76" t="inlineStr">
        <is>
          <t>Abilities</t>
        </is>
      </c>
      <c r="C515" s="76" t="inlineStr">
        <is>
          <t>Glalie abilities</t>
        </is>
      </c>
      <c r="D515" s="76" t="inlineStr">
        <is>
          <t>Inner Focus / Ice Body / Moody</t>
        </is>
      </c>
      <c r="E515" s="76" t="inlineStr">
        <is>
          <t>Solid Rock / Ice Body / Moody</t>
        </is>
      </c>
      <c r="F515" s="76" t="inlineStr">
        <is>
          <t>Differs from upstream baseline</t>
        </is>
      </c>
      <c r="G515" s="76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6" t="inlineStr">
        <is>
          <t>2026-09-30</t>
        </is>
      </c>
      <c r="B517" s="76" t="inlineStr">
        <is>
          <t>Pokemon Stats</t>
        </is>
      </c>
      <c r="C517" s="76" t="inlineStr">
        <is>
          <t>Glalie baseSpeed</t>
        </is>
      </c>
      <c r="D517" s="76" t="n">
        <v>100</v>
      </c>
      <c r="E517" s="76" t="n">
        <v>120</v>
      </c>
      <c r="F517" s="76" t="inlineStr">
        <is>
          <t>Differs from upstream baseline</t>
        </is>
      </c>
      <c r="G517" s="76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6" t="inlineStr">
        <is>
          <t>2026-09-30</t>
        </is>
      </c>
      <c r="B519" s="76" t="inlineStr">
        <is>
          <t>Abilities</t>
        </is>
      </c>
      <c r="C519" s="76" t="inlineStr">
        <is>
          <t>Gligar abilities</t>
        </is>
      </c>
      <c r="D519" s="76" t="inlineStr">
        <is>
          <t>Hyper Cutter / Sand Veil / Immunity</t>
        </is>
      </c>
      <c r="E519" s="76" t="inlineStr">
        <is>
          <t>Sand Veil / Sand Veil / Immunity</t>
        </is>
      </c>
      <c r="F519" s="76" t="inlineStr">
        <is>
          <t>Differs from upstream baseline</t>
        </is>
      </c>
      <c r="G519" s="76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6" t="inlineStr">
        <is>
          <t>2026-09-30</t>
        </is>
      </c>
      <c r="B521" s="76" t="inlineStr">
        <is>
          <t>Pokemon Stats</t>
        </is>
      </c>
      <c r="C521" s="76" t="inlineStr">
        <is>
          <t>Gogoat baseDefense</t>
        </is>
      </c>
      <c r="D521" s="76" t="n">
        <v>62</v>
      </c>
      <c r="E521" s="76" t="n">
        <v>72</v>
      </c>
      <c r="F521" s="76" t="inlineStr">
        <is>
          <t>Differs from upstream baseline</t>
        </is>
      </c>
      <c r="G521" s="76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6" t="inlineStr">
        <is>
          <t>2026-09-30</t>
        </is>
      </c>
      <c r="B523" s="76" t="inlineStr">
        <is>
          <t>Abilities</t>
        </is>
      </c>
      <c r="C523" s="76" t="inlineStr">
        <is>
          <t>Gogoat abilities</t>
        </is>
      </c>
      <c r="D523" s="76" t="inlineStr">
        <is>
          <t>Sap Sipper / Grass Pelt</t>
        </is>
      </c>
      <c r="E523" s="76" t="inlineStr">
        <is>
          <t>Sap Sipper / Grass Pelt / Regenerator</t>
        </is>
      </c>
      <c r="F523" s="76" t="inlineStr">
        <is>
          <t>Differs from upstream baseline</t>
        </is>
      </c>
      <c r="G523" s="76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6" t="inlineStr">
        <is>
          <t>2026-09-30</t>
        </is>
      </c>
      <c r="B525" s="76" t="inlineStr">
        <is>
          <t>Abilities</t>
        </is>
      </c>
      <c r="C525" s="76" t="inlineStr">
        <is>
          <t>Goldeen abilities</t>
        </is>
      </c>
      <c r="D525" s="76" t="inlineStr">
        <is>
          <t>Swift Swim / Water Veil / Lightning Rod</t>
        </is>
      </c>
      <c r="E525" s="76" t="inlineStr">
        <is>
          <t>Swift Swim / Swift Swim / Lightning Rod</t>
        </is>
      </c>
      <c r="F525" s="76" t="inlineStr">
        <is>
          <t>Differs from upstream baseline</t>
        </is>
      </c>
      <c r="G525" s="76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6" t="inlineStr">
        <is>
          <t>2026-09-30</t>
        </is>
      </c>
      <c r="B527" s="76" t="inlineStr">
        <is>
          <t>Pokemon Stats</t>
        </is>
      </c>
      <c r="C527" s="76" t="inlineStr">
        <is>
          <t>Golem baseHP</t>
        </is>
      </c>
      <c r="D527" s="76" t="n">
        <v>80</v>
      </c>
      <c r="E527" s="76" t="n">
        <v>85</v>
      </c>
      <c r="F527" s="76" t="inlineStr">
        <is>
          <t>Differs from upstream baseline</t>
        </is>
      </c>
      <c r="G527" s="76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6" t="inlineStr">
        <is>
          <t>2026-09-30</t>
        </is>
      </c>
      <c r="B529" s="76" t="inlineStr">
        <is>
          <t>Pokemon Stats</t>
        </is>
      </c>
      <c r="C529" s="76" t="inlineStr">
        <is>
          <t>Golem baseDefense</t>
        </is>
      </c>
      <c r="D529" s="76" t="n">
        <v>130</v>
      </c>
      <c r="E529" s="76" t="n">
        <v>140</v>
      </c>
      <c r="F529" s="76" t="inlineStr">
        <is>
          <t>Differs from upstream baseline</t>
        </is>
      </c>
      <c r="G529" s="76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6" t="inlineStr">
        <is>
          <t>2026-09-30</t>
        </is>
      </c>
      <c r="B531" s="76" t="inlineStr">
        <is>
          <t>Abilities</t>
        </is>
      </c>
      <c r="C531" s="76" t="inlineStr">
        <is>
          <t>Golem abilities</t>
        </is>
      </c>
      <c r="D531" s="76" t="inlineStr">
        <is>
          <t>Magnet Pull / Sturdy / Galvanize</t>
        </is>
      </c>
      <c r="E531" s="76" t="inlineStr">
        <is>
          <t>Shell Armor / Shell Armor / Galvanize</t>
        </is>
      </c>
      <c r="F531" s="76" t="inlineStr">
        <is>
          <t>Differs from upstream baseline</t>
        </is>
      </c>
      <c r="G531" s="76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6" t="inlineStr">
        <is>
          <t>2026-09-30</t>
        </is>
      </c>
      <c r="B533" s="76" t="inlineStr">
        <is>
          <t>Pokemon Stats</t>
        </is>
      </c>
      <c r="C533" s="76" t="inlineStr">
        <is>
          <t>Golett baseSpAttack</t>
        </is>
      </c>
      <c r="D533" s="76" t="n">
        <v>35</v>
      </c>
      <c r="E533" s="76" t="n">
        <v>30</v>
      </c>
      <c r="F533" s="76" t="inlineStr">
        <is>
          <t>Differs from upstream baseline</t>
        </is>
      </c>
      <c r="G533" s="76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6" t="inlineStr">
        <is>
          <t>2026-09-30</t>
        </is>
      </c>
      <c r="B535" s="76" t="inlineStr">
        <is>
          <t>Pokemon Stats</t>
        </is>
      </c>
      <c r="C535" s="76" t="inlineStr">
        <is>
          <t>Golurk baseHP</t>
        </is>
      </c>
      <c r="D535" s="76" t="n">
        <v>89</v>
      </c>
      <c r="E535" s="76" t="n">
        <v>99</v>
      </c>
      <c r="F535" s="76" t="inlineStr">
        <is>
          <t>Differs from upstream baseline</t>
        </is>
      </c>
      <c r="G535" s="76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6" t="inlineStr">
        <is>
          <t>2026-09-30</t>
        </is>
      </c>
      <c r="B537" s="76" t="inlineStr">
        <is>
          <t>Pokemon Stats</t>
        </is>
      </c>
      <c r="C537" s="76" t="inlineStr">
        <is>
          <t>Golurk baseSpAttack</t>
        </is>
      </c>
      <c r="D537" s="76" t="n">
        <v>55</v>
      </c>
      <c r="E537" s="76" t="n">
        <v>30</v>
      </c>
      <c r="F537" s="76" t="inlineStr">
        <is>
          <t>Differs from upstream baseline</t>
        </is>
      </c>
      <c r="G537" s="76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6" t="inlineStr">
        <is>
          <t>2026-09-30</t>
        </is>
      </c>
      <c r="B539" s="76" t="inlineStr">
        <is>
          <t>Pokemon Stats</t>
        </is>
      </c>
      <c r="C539" s="76" t="inlineStr">
        <is>
          <t>Goodra baseDefense</t>
        </is>
      </c>
      <c r="D539" s="76" t="n">
        <v>70</v>
      </c>
      <c r="E539" s="76" t="n">
        <v>80</v>
      </c>
      <c r="F539" s="76" t="inlineStr">
        <is>
          <t>Differs from upstream baseline</t>
        </is>
      </c>
      <c r="G539" s="76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6" t="inlineStr">
        <is>
          <t>2026-09-30</t>
        </is>
      </c>
      <c r="B541" s="76" t="inlineStr">
        <is>
          <t>Pokemon Stats</t>
        </is>
      </c>
      <c r="C541" s="76" t="inlineStr">
        <is>
          <t>Gothitelle baseAttack</t>
        </is>
      </c>
      <c r="D541" s="76" t="n">
        <v>55</v>
      </c>
      <c r="E541" s="76" t="n">
        <v>62</v>
      </c>
      <c r="F541" s="76" t="inlineStr">
        <is>
          <t>Differs from upstream baseline</t>
        </is>
      </c>
      <c r="G541" s="76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6" t="inlineStr">
        <is>
          <t>2026-09-30</t>
        </is>
      </c>
      <c r="B543" s="76" t="inlineStr">
        <is>
          <t>Pokemon Stats</t>
        </is>
      </c>
      <c r="C543" s="76" t="inlineStr">
        <is>
          <t>Gothitelle baseSpeed</t>
        </is>
      </c>
      <c r="D543" s="76" t="n">
        <v>65</v>
      </c>
      <c r="E543" s="76" t="n">
        <v>76</v>
      </c>
      <c r="F543" s="76" t="inlineStr">
        <is>
          <t>Differs from upstream baseline</t>
        </is>
      </c>
      <c r="G543" s="76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6" t="inlineStr">
        <is>
          <t>2026-09-30</t>
        </is>
      </c>
      <c r="B545" s="76" t="inlineStr">
        <is>
          <t>Pokemon Stats</t>
        </is>
      </c>
      <c r="C545" s="76" t="inlineStr">
        <is>
          <t>Gothorita baseSpAttack</t>
        </is>
      </c>
      <c r="D545" s="76" t="n">
        <v>75</v>
      </c>
      <c r="E545" s="76" t="n">
        <v>83</v>
      </c>
      <c r="F545" s="76" t="inlineStr">
        <is>
          <t>Differs from upstream baseline</t>
        </is>
      </c>
      <c r="G545" s="76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6" t="inlineStr">
        <is>
          <t>2026-09-30</t>
        </is>
      </c>
      <c r="B547" s="76" t="inlineStr">
        <is>
          <t>Pokemon Stats</t>
        </is>
      </c>
      <c r="C547" s="76" t="inlineStr">
        <is>
          <t>Gourgeist baseHP</t>
        </is>
      </c>
      <c r="D547" s="76" t="n">
        <v>65</v>
      </c>
      <c r="E547" s="76" t="n">
        <v>75</v>
      </c>
      <c r="F547" s="76" t="inlineStr">
        <is>
          <t>Differs from upstream baseline</t>
        </is>
      </c>
      <c r="G547" s="76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6" t="inlineStr">
        <is>
          <t>2026-09-30</t>
        </is>
      </c>
      <c r="B549" s="76" t="inlineStr">
        <is>
          <t>Pokemon Stats</t>
        </is>
      </c>
      <c r="C549" s="76" t="inlineStr">
        <is>
          <t>Gourgeist baseAttack</t>
        </is>
      </c>
      <c r="D549" s="76" t="n">
        <v>95</v>
      </c>
      <c r="E549" s="76" t="n">
        <v>110</v>
      </c>
      <c r="F549" s="76" t="inlineStr">
        <is>
          <t>Differs from upstream baseline</t>
        </is>
      </c>
      <c r="G549" s="76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6" t="inlineStr">
        <is>
          <t>2026-09-30</t>
        </is>
      </c>
      <c r="B551" s="76" t="inlineStr">
        <is>
          <t>Pokemon Stats</t>
        </is>
      </c>
      <c r="C551" s="76" t="inlineStr">
        <is>
          <t>Gourgeist baseSpeed</t>
        </is>
      </c>
      <c r="D551" s="76" t="n">
        <v>69</v>
      </c>
      <c r="E551" s="76" t="n">
        <v>82</v>
      </c>
      <c r="F551" s="76" t="inlineStr">
        <is>
          <t>Differs from upstream baseline</t>
        </is>
      </c>
      <c r="G551" s="76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6" t="inlineStr">
        <is>
          <t>2026-09-30</t>
        </is>
      </c>
      <c r="B553" s="76" t="inlineStr">
        <is>
          <t>Pokemon Stats</t>
        </is>
      </c>
      <c r="C553" s="76" t="inlineStr">
        <is>
          <t>Gourgeist baseSpeed</t>
        </is>
      </c>
      <c r="D553" s="76" t="n">
        <v>54</v>
      </c>
      <c r="E553" s="76" t="n">
        <v>67</v>
      </c>
      <c r="F553" s="76" t="inlineStr">
        <is>
          <t>Differs from upstream baseline</t>
        </is>
      </c>
      <c r="G553" s="76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6" t="inlineStr">
        <is>
          <t>2026-09-30</t>
        </is>
      </c>
      <c r="B555" s="76" t="inlineStr">
        <is>
          <t>Pokemon Stats</t>
        </is>
      </c>
      <c r="C555" s="76" t="inlineStr">
        <is>
          <t>Graveler baseHP</t>
        </is>
      </c>
      <c r="D555" s="76" t="n">
        <v>55</v>
      </c>
      <c r="E555" s="76" t="n">
        <v>75</v>
      </c>
      <c r="F555" s="76" t="inlineStr">
        <is>
          <t>Differs from upstream baseline</t>
        </is>
      </c>
      <c r="G555" s="76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6" t="inlineStr">
        <is>
          <t>2026-09-30</t>
        </is>
      </c>
      <c r="B557" s="76" t="inlineStr">
        <is>
          <t>Pokemon Stats</t>
        </is>
      </c>
      <c r="C557" s="76" t="inlineStr">
        <is>
          <t>Graveler baseDefense</t>
        </is>
      </c>
      <c r="D557" s="76" t="n">
        <v>115</v>
      </c>
      <c r="E557" s="76" t="n">
        <v>130</v>
      </c>
      <c r="F557" s="76" t="inlineStr">
        <is>
          <t>Differs from upstream baseline</t>
        </is>
      </c>
      <c r="G557" s="76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6" t="inlineStr">
        <is>
          <t>2026-09-30</t>
        </is>
      </c>
      <c r="B559" s="76" t="inlineStr">
        <is>
          <t>Pokemon Stats</t>
        </is>
      </c>
      <c r="C559" s="76" t="inlineStr">
        <is>
          <t>Graveler baseSpeed</t>
        </is>
      </c>
      <c r="D559" s="76" t="n">
        <v>35</v>
      </c>
      <c r="E559" s="76" t="n">
        <v>45</v>
      </c>
      <c r="F559" s="76" t="inlineStr">
        <is>
          <t>Differs from upstream baseline</t>
        </is>
      </c>
      <c r="G559" s="76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6" t="inlineStr">
        <is>
          <t>2026-09-30</t>
        </is>
      </c>
      <c r="B561" s="76" t="inlineStr">
        <is>
          <t>Abilities</t>
        </is>
      </c>
      <c r="C561" s="76" t="inlineStr">
        <is>
          <t>Graveler abilities</t>
        </is>
      </c>
      <c r="D561" s="76" t="inlineStr">
        <is>
          <t>Magnet Pull / Sturdy / Galvanize</t>
        </is>
      </c>
      <c r="E561" s="76" t="inlineStr">
        <is>
          <t>Rock Head / Rough Skin / Galvanize</t>
        </is>
      </c>
      <c r="F561" s="76" t="inlineStr">
        <is>
          <t>Differs from upstream baseline</t>
        </is>
      </c>
      <c r="G561" s="76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6" t="inlineStr">
        <is>
          <t>2026-09-30</t>
        </is>
      </c>
      <c r="B563" s="76" t="inlineStr">
        <is>
          <t>Abilities</t>
        </is>
      </c>
      <c r="C563" s="76" t="inlineStr">
        <is>
          <t>Grimer abilities</t>
        </is>
      </c>
      <c r="D563" s="76" t="inlineStr">
        <is>
          <t>Stench / Sticky Hold / Poison Touch</t>
        </is>
      </c>
      <c r="E563" s="76" t="inlineStr">
        <is>
          <t>Aftermath / Aftermath / Poison Touch</t>
        </is>
      </c>
      <c r="F563" s="76" t="inlineStr">
        <is>
          <t>Differs from upstream baseline</t>
        </is>
      </c>
      <c r="G563" s="76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6" t="inlineStr">
        <is>
          <t>2026-09-30</t>
        </is>
      </c>
      <c r="B565" s="76" t="inlineStr">
        <is>
          <t>Abilities</t>
        </is>
      </c>
      <c r="C565" s="76" t="inlineStr">
        <is>
          <t>Grotle abilities</t>
        </is>
      </c>
      <c r="D565" s="76" t="inlineStr">
        <is>
          <t>Overgrow / Shell Armor</t>
        </is>
      </c>
      <c r="E565" s="76" t="inlineStr">
        <is>
          <t>Leaf Guard / Shell Armor / Shell Armor</t>
        </is>
      </c>
      <c r="F565" s="76" t="inlineStr">
        <is>
          <t>Differs from upstream baseline</t>
        </is>
      </c>
      <c r="G565" s="76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6" t="inlineStr">
        <is>
          <t>2026-09-30</t>
        </is>
      </c>
      <c r="B567" s="76" t="inlineStr">
        <is>
          <t>Abilities</t>
        </is>
      </c>
      <c r="C567" s="76" t="inlineStr">
        <is>
          <t>Growlithe abilities</t>
        </is>
      </c>
      <c r="D567" s="76" t="inlineStr">
        <is>
          <t>Intimidate / Flash Fire / Justified</t>
        </is>
      </c>
      <c r="E567" s="76" t="inlineStr">
        <is>
          <t>Intimidate / Intimidate / Justified</t>
        </is>
      </c>
      <c r="F567" s="76" t="inlineStr">
        <is>
          <t>Differs from upstream baseline</t>
        </is>
      </c>
      <c r="G567" s="76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6" t="inlineStr">
        <is>
          <t>2026-09-30</t>
        </is>
      </c>
      <c r="B569" s="76" t="inlineStr">
        <is>
          <t>Abilities</t>
        </is>
      </c>
      <c r="C569" s="76" t="inlineStr">
        <is>
          <t>Gulpin abilities</t>
        </is>
      </c>
      <c r="D569" s="76" t="inlineStr">
        <is>
          <t>Liquid Ooze / Sticky Hold / Gluttony</t>
        </is>
      </c>
      <c r="E569" s="76" t="inlineStr">
        <is>
          <t>Gluttony / Gluttony / Gluttony</t>
        </is>
      </c>
      <c r="F569" s="76" t="inlineStr">
        <is>
          <t>Differs from upstream baseline</t>
        </is>
      </c>
      <c r="G569" s="76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6" t="inlineStr">
        <is>
          <t>2026-09-30</t>
        </is>
      </c>
      <c r="B571" s="76" t="inlineStr">
        <is>
          <t>Pokemon Stats</t>
        </is>
      </c>
      <c r="C571" s="76" t="inlineStr">
        <is>
          <t>Gurdurr baseSpAttack</t>
        </is>
      </c>
      <c r="D571" s="76" t="n">
        <v>40</v>
      </c>
      <c r="E571" s="76" t="n">
        <v>30</v>
      </c>
      <c r="F571" s="76" t="inlineStr">
        <is>
          <t>Differs from upstream baseline</t>
        </is>
      </c>
      <c r="G571" s="76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6" t="inlineStr">
        <is>
          <t>2026-09-30</t>
        </is>
      </c>
      <c r="B573" s="76" t="inlineStr">
        <is>
          <t>Pokemon Stats</t>
        </is>
      </c>
      <c r="C573" s="76" t="inlineStr">
        <is>
          <t>Gyarados baseSpAttack</t>
        </is>
      </c>
      <c r="D573" s="76" t="n">
        <v>70</v>
      </c>
      <c r="E573" s="76" t="n">
        <v>85</v>
      </c>
      <c r="F573" s="76" t="inlineStr">
        <is>
          <t>Differs from upstream baseline</t>
        </is>
      </c>
      <c r="G573" s="76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6" t="inlineStr">
        <is>
          <t>2026-09-30</t>
        </is>
      </c>
      <c r="B575" s="76" t="inlineStr">
        <is>
          <t>Pokemon Stats</t>
        </is>
      </c>
      <c r="C575" s="76" t="inlineStr">
        <is>
          <t>Haunter baseHP</t>
        </is>
      </c>
      <c r="D575" s="76" t="n">
        <v>45</v>
      </c>
      <c r="E575" s="76" t="n">
        <v>60</v>
      </c>
      <c r="F575" s="76" t="inlineStr">
        <is>
          <t>Differs from upstream baseline</t>
        </is>
      </c>
      <c r="G575" s="76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6" t="inlineStr">
        <is>
          <t>2026-09-30</t>
        </is>
      </c>
      <c r="B577" s="76" t="inlineStr">
        <is>
          <t>Pokemon Stats</t>
        </is>
      </c>
      <c r="C577" s="76" t="inlineStr">
        <is>
          <t>Haunter baseSpDefense</t>
        </is>
      </c>
      <c r="D577" s="76" t="n">
        <v>55</v>
      </c>
      <c r="E577" s="76" t="n">
        <v>75</v>
      </c>
      <c r="F577" s="76" t="inlineStr">
        <is>
          <t>Differs from upstream baseline</t>
        </is>
      </c>
      <c r="G577" s="76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6" t="inlineStr">
        <is>
          <t>2026-09-30</t>
        </is>
      </c>
      <c r="B579" s="76" t="inlineStr">
        <is>
          <t>Pokemon Stats</t>
        </is>
      </c>
      <c r="C579" s="76" t="inlineStr">
        <is>
          <t>Haxorus baseAttack</t>
        </is>
      </c>
      <c r="D579" s="76" t="n">
        <v>147</v>
      </c>
      <c r="E579" s="76" t="n">
        <v>163</v>
      </c>
      <c r="F579" s="76" t="inlineStr">
        <is>
          <t>Differs from upstream baseline</t>
        </is>
      </c>
      <c r="G579" s="76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6" t="inlineStr">
        <is>
          <t>2026-09-30</t>
        </is>
      </c>
      <c r="B581" s="76" t="inlineStr">
        <is>
          <t>Pokemon Stats</t>
        </is>
      </c>
      <c r="C581" s="76" t="inlineStr">
        <is>
          <t>Haxorus baseSpeed</t>
        </is>
      </c>
      <c r="D581" s="76" t="n">
        <v>97</v>
      </c>
      <c r="E581" s="76" t="n">
        <v>111</v>
      </c>
      <c r="F581" s="76" t="inlineStr">
        <is>
          <t>Differs from upstream baseline</t>
        </is>
      </c>
      <c r="G581" s="76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6" t="inlineStr">
        <is>
          <t>2026-09-30</t>
        </is>
      </c>
      <c r="B583" s="76" t="inlineStr">
        <is>
          <t>Pokemon Stats</t>
        </is>
      </c>
      <c r="C583" s="76" t="inlineStr">
        <is>
          <t>Heatmor baseDefense</t>
        </is>
      </c>
      <c r="D583" s="76" t="n">
        <v>66</v>
      </c>
      <c r="E583" s="76" t="n">
        <v>69</v>
      </c>
      <c r="F583" s="76" t="inlineStr">
        <is>
          <t>Differs from upstream baseline</t>
        </is>
      </c>
      <c r="G583" s="76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6" t="inlineStr">
        <is>
          <t>2026-09-30</t>
        </is>
      </c>
      <c r="B585" s="76" t="inlineStr">
        <is>
          <t>Pokemon Stats</t>
        </is>
      </c>
      <c r="C585" s="76" t="inlineStr">
        <is>
          <t>Heatmor baseSpDefense</t>
        </is>
      </c>
      <c r="D585" s="76" t="n">
        <v>66</v>
      </c>
      <c r="E585" s="76" t="n">
        <v>69</v>
      </c>
      <c r="F585" s="76" t="inlineStr">
        <is>
          <t>Differs from upstream baseline</t>
        </is>
      </c>
      <c r="G585" s="76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6" t="inlineStr">
        <is>
          <t>2026-09-30</t>
        </is>
      </c>
      <c r="B587" s="76" t="inlineStr">
        <is>
          <t>Pokemon Stats</t>
        </is>
      </c>
      <c r="C587" s="76" t="inlineStr">
        <is>
          <t>Heliolisk baseAttack</t>
        </is>
      </c>
      <c r="D587" s="76" t="n">
        <v>55</v>
      </c>
      <c r="E587" s="76" t="n">
        <v>30</v>
      </c>
      <c r="F587" s="76" t="inlineStr">
        <is>
          <t>Differs from upstream baseline</t>
        </is>
      </c>
      <c r="G587" s="76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6" t="inlineStr">
        <is>
          <t>2026-09-30</t>
        </is>
      </c>
      <c r="B589" s="76" t="inlineStr">
        <is>
          <t>Pokemon Stats</t>
        </is>
      </c>
      <c r="C589" s="76" t="inlineStr">
        <is>
          <t>Heliolisk baseSpeed</t>
        </is>
      </c>
      <c r="D589" s="76" t="n">
        <v>109</v>
      </c>
      <c r="E589" s="76" t="n">
        <v>130</v>
      </c>
      <c r="F589" s="76" t="inlineStr">
        <is>
          <t>Differs from upstream baseline</t>
        </is>
      </c>
      <c r="G589" s="76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6" t="inlineStr">
        <is>
          <t>2026-09-30</t>
        </is>
      </c>
      <c r="B591" s="76" t="inlineStr">
        <is>
          <t>Pokemon Stats</t>
        </is>
      </c>
      <c r="C591" s="76" t="inlineStr">
        <is>
          <t>Helioptile baseAttack</t>
        </is>
      </c>
      <c r="D591" s="76" t="n">
        <v>38</v>
      </c>
      <c r="E591" s="76" t="n">
        <v>40</v>
      </c>
      <c r="F591" s="76" t="inlineStr">
        <is>
          <t>Differs from upstream baseline</t>
        </is>
      </c>
      <c r="G591" s="76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6" t="inlineStr">
        <is>
          <t>2026-09-30</t>
        </is>
      </c>
      <c r="B593" s="76" t="inlineStr">
        <is>
          <t>Pokemon Stats</t>
        </is>
      </c>
      <c r="C593" s="76" t="inlineStr">
        <is>
          <t>Helioptile baseSpDefense</t>
        </is>
      </c>
      <c r="D593" s="76" t="n">
        <v>43</v>
      </c>
      <c r="E593" s="76" t="n">
        <v>46</v>
      </c>
      <c r="F593" s="76" t="inlineStr">
        <is>
          <t>Differs from upstream baseline</t>
        </is>
      </c>
      <c r="G593" s="76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6" t="inlineStr">
        <is>
          <t>2026-09-30</t>
        </is>
      </c>
      <c r="B595" s="76" t="inlineStr">
        <is>
          <t>Pokemon Stats</t>
        </is>
      </c>
      <c r="C595" s="76" t="inlineStr">
        <is>
          <t>Herdier baseAttack</t>
        </is>
      </c>
      <c r="D595" s="76" t="n">
        <v>80</v>
      </c>
      <c r="E595" s="76" t="n">
        <v>87</v>
      </c>
      <c r="F595" s="76" t="inlineStr">
        <is>
          <t>Differs from upstream baseline</t>
        </is>
      </c>
      <c r="G595" s="76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6" t="inlineStr">
        <is>
          <t>2026-09-30</t>
        </is>
      </c>
      <c r="B597" s="76" t="inlineStr">
        <is>
          <t>Pokemon Stats</t>
        </is>
      </c>
      <c r="C597" s="76" t="inlineStr">
        <is>
          <t>Herdier baseSpeed</t>
        </is>
      </c>
      <c r="D597" s="76" t="n">
        <v>60</v>
      </c>
      <c r="E597" s="76" t="n">
        <v>66</v>
      </c>
      <c r="F597" s="76" t="inlineStr">
        <is>
          <t>Differs from upstream baseline</t>
        </is>
      </c>
      <c r="G597" s="76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6" t="inlineStr">
        <is>
          <t>2026-09-30</t>
        </is>
      </c>
      <c r="B599" s="76" t="inlineStr">
        <is>
          <t>Abilities</t>
        </is>
      </c>
      <c r="C599" s="76" t="inlineStr">
        <is>
          <t>Hippowdon abilities</t>
        </is>
      </c>
      <c r="D599" s="76" t="inlineStr">
        <is>
          <t>Sand Stream / Sand Force</t>
        </is>
      </c>
      <c r="E599" s="76" t="inlineStr">
        <is>
          <t>Sand Stream / Thick Fat / Sand Force</t>
        </is>
      </c>
      <c r="F599" s="76" t="inlineStr">
        <is>
          <t>Differs from upstream baseline</t>
        </is>
      </c>
      <c r="G599" s="76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6" t="inlineStr">
        <is>
          <t>2026-09-30</t>
        </is>
      </c>
      <c r="B601" s="76" t="inlineStr">
        <is>
          <t>Abilities</t>
        </is>
      </c>
      <c r="C601" s="76" t="inlineStr">
        <is>
          <t>Hitmonlee abilities</t>
        </is>
      </c>
      <c r="D601" s="76" t="inlineStr">
        <is>
          <t>Limber / Reckless / Unburden</t>
        </is>
      </c>
      <c r="E601" s="76" t="inlineStr">
        <is>
          <t>Quick Feet / Quick Feet / Unburden</t>
        </is>
      </c>
      <c r="F601" s="76" t="inlineStr">
        <is>
          <t>Differs from upstream baseline</t>
        </is>
      </c>
      <c r="G601" s="76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6" t="inlineStr">
        <is>
          <t>2026-09-30</t>
        </is>
      </c>
      <c r="B603" s="76" t="inlineStr">
        <is>
          <t>Pokemon Stats</t>
        </is>
      </c>
      <c r="C603" s="76" t="inlineStr">
        <is>
          <t>Honchkrow baseDefense</t>
        </is>
      </c>
      <c r="D603" s="76" t="n">
        <v>52</v>
      </c>
      <c r="E603" s="76" t="n">
        <v>62</v>
      </c>
      <c r="F603" s="76" t="inlineStr">
        <is>
          <t>Differs from upstream baseline</t>
        </is>
      </c>
      <c r="G603" s="76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6" t="inlineStr">
        <is>
          <t>2026-09-30</t>
        </is>
      </c>
      <c r="B605" s="76" t="inlineStr">
        <is>
          <t>Pokemon Stats</t>
        </is>
      </c>
      <c r="C605" s="76" t="inlineStr">
        <is>
          <t>Honchkrow baseSpDefense</t>
        </is>
      </c>
      <c r="D605" s="76" t="n">
        <v>52</v>
      </c>
      <c r="E605" s="76" t="n">
        <v>62</v>
      </c>
      <c r="F605" s="76" t="inlineStr">
        <is>
          <t>Differs from upstream baseline</t>
        </is>
      </c>
      <c r="G605" s="76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6" t="inlineStr">
        <is>
          <t>2026-09-30</t>
        </is>
      </c>
      <c r="B607" s="76" t="inlineStr">
        <is>
          <t>Abilities</t>
        </is>
      </c>
      <c r="C607" s="76" t="inlineStr">
        <is>
          <t>Honchkrow abilities</t>
        </is>
      </c>
      <c r="D607" s="76" t="inlineStr">
        <is>
          <t>Insomnia / Super Luck / Moxie</t>
        </is>
      </c>
      <c r="E607" s="76" t="inlineStr">
        <is>
          <t>Super Luck / Super Luck / Moxie</t>
        </is>
      </c>
      <c r="F607" s="76" t="inlineStr">
        <is>
          <t>Differs from upstream baseline</t>
        </is>
      </c>
      <c r="G607" s="76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6" t="inlineStr">
        <is>
          <t>2026-09-30</t>
        </is>
      </c>
      <c r="B609" s="76" t="inlineStr">
        <is>
          <t>Pokemon Stats</t>
        </is>
      </c>
      <c r="C609" s="76" t="inlineStr">
        <is>
          <t>Honedge baseSpAttack</t>
        </is>
      </c>
      <c r="D609" s="76" t="n">
        <v>35</v>
      </c>
      <c r="E609" s="76" t="n">
        <v>30</v>
      </c>
      <c r="F609" s="76" t="inlineStr">
        <is>
          <t>Differs from upstream baseline</t>
        </is>
      </c>
      <c r="G609" s="76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6" t="inlineStr">
        <is>
          <t>2026-09-30</t>
        </is>
      </c>
      <c r="B611" s="76" t="inlineStr">
        <is>
          <t>Abilities</t>
        </is>
      </c>
      <c r="C611" s="76" t="inlineStr">
        <is>
          <t>Hoothoot abilities</t>
        </is>
      </c>
      <c r="D611" s="76" t="inlineStr">
        <is>
          <t>Insomnia / Keen Eye / Tinted Lens</t>
        </is>
      </c>
      <c r="E611" s="76" t="inlineStr">
        <is>
          <t>Insomnia / Insomnia / Tinted Lens</t>
        </is>
      </c>
      <c r="F611" s="76" t="inlineStr">
        <is>
          <t>Differs from upstream baseline</t>
        </is>
      </c>
      <c r="G611" s="76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6" t="inlineStr">
        <is>
          <t>2026-09-30</t>
        </is>
      </c>
      <c r="B613" s="76" t="inlineStr">
        <is>
          <t>Abilities</t>
        </is>
      </c>
      <c r="C613" s="76" t="inlineStr">
        <is>
          <t>Horsea abilities</t>
        </is>
      </c>
      <c r="D613" s="76" t="inlineStr">
        <is>
          <t>Swift Swim / Sniper / Damp</t>
        </is>
      </c>
      <c r="E613" s="76" t="inlineStr">
        <is>
          <t>Swift Swim / Swift Swim / Damp</t>
        </is>
      </c>
      <c r="F613" s="76" t="inlineStr">
        <is>
          <t>Differs from upstream baseline</t>
        </is>
      </c>
      <c r="G613" s="76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6" t="inlineStr">
        <is>
          <t>2026-09-30</t>
        </is>
      </c>
      <c r="B615" s="76" t="inlineStr">
        <is>
          <t>Pokemon Stats</t>
        </is>
      </c>
      <c r="C615" s="76" t="inlineStr">
        <is>
          <t>Houndoom baseSpeed</t>
        </is>
      </c>
      <c r="D615" s="76" t="n">
        <v>95</v>
      </c>
      <c r="E615" s="76" t="n">
        <v>105</v>
      </c>
      <c r="F615" s="76" t="inlineStr">
        <is>
          <t>Differs from upstream baseline</t>
        </is>
      </c>
      <c r="G615" s="76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6" t="inlineStr">
        <is>
          <t>2026-09-30</t>
        </is>
      </c>
      <c r="B617" s="76" t="inlineStr">
        <is>
          <t>Pokemon Stats</t>
        </is>
      </c>
      <c r="C617" s="76" t="inlineStr">
        <is>
          <t>Houndoom baseSpAttack</t>
        </is>
      </c>
      <c r="D617" s="76" t="n">
        <v>140</v>
      </c>
      <c r="E617" s="76" t="n">
        <v>150</v>
      </c>
      <c r="F617" s="76" t="inlineStr">
        <is>
          <t>Differs from upstream baseline</t>
        </is>
      </c>
      <c r="G617" s="76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6" t="inlineStr">
        <is>
          <t>2026-09-30</t>
        </is>
      </c>
      <c r="B619" s="76" t="inlineStr">
        <is>
          <t>Abilities</t>
        </is>
      </c>
      <c r="C619" s="76" t="inlineStr">
        <is>
          <t>Houndour abilities</t>
        </is>
      </c>
      <c r="D619" s="76" t="inlineStr">
        <is>
          <t>Early Bird / Flash Fire / Unnerve</t>
        </is>
      </c>
      <c r="E619" s="76" t="inlineStr">
        <is>
          <t>Solar Power / Solar Power / Unnerve</t>
        </is>
      </c>
      <c r="F619" s="76" t="inlineStr">
        <is>
          <t>Differs from upstream baseline</t>
        </is>
      </c>
      <c r="G619" s="76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6" t="inlineStr">
        <is>
          <t>2026-09-30</t>
        </is>
      </c>
      <c r="B621" s="76" t="inlineStr">
        <is>
          <t>Pokemon Stats</t>
        </is>
      </c>
      <c r="C621" s="76" t="inlineStr">
        <is>
          <t>Huntail baseAttack</t>
        </is>
      </c>
      <c r="D621" s="76" t="n">
        <v>104</v>
      </c>
      <c r="E621" s="76" t="n">
        <v>114</v>
      </c>
      <c r="F621" s="76" t="inlineStr">
        <is>
          <t>Differs from upstream baseline</t>
        </is>
      </c>
      <c r="G621" s="76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6" t="inlineStr">
        <is>
          <t>2026-09-30</t>
        </is>
      </c>
      <c r="B623" s="76" t="inlineStr">
        <is>
          <t>Pokemon Stats</t>
        </is>
      </c>
      <c r="C623" s="76" t="inlineStr">
        <is>
          <t>Hypno baseAttack</t>
        </is>
      </c>
      <c r="D623" s="76" t="n">
        <v>73</v>
      </c>
      <c r="E623" s="76" t="n">
        <v>93</v>
      </c>
      <c r="F623" s="76" t="inlineStr">
        <is>
          <t>Differs from upstream baseline</t>
        </is>
      </c>
      <c r="G623" s="76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6" t="inlineStr">
        <is>
          <t>2026-09-30</t>
        </is>
      </c>
      <c r="B625" s="76" t="inlineStr">
        <is>
          <t>Abilities</t>
        </is>
      </c>
      <c r="C625" s="76" t="inlineStr">
        <is>
          <t>Hypno abilities</t>
        </is>
      </c>
      <c r="D625" s="76" t="inlineStr">
        <is>
          <t>Insomnia / Forewarn / Inner Focus</t>
        </is>
      </c>
      <c r="E625" s="76" t="inlineStr">
        <is>
          <t>Bad Dreams / Bad Dreams / Inner Focus</t>
        </is>
      </c>
      <c r="F625" s="76" t="inlineStr">
        <is>
          <t>Differs from upstream baseline</t>
        </is>
      </c>
      <c r="G625" s="76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6" t="inlineStr">
        <is>
          <t>2026-09-30</t>
        </is>
      </c>
      <c r="B627" s="76" t="inlineStr">
        <is>
          <t>Pokemon Stats</t>
        </is>
      </c>
      <c r="C627" s="76" t="inlineStr">
        <is>
          <t>Igglybuff baseDefense</t>
        </is>
      </c>
      <c r="D627" s="76" t="n">
        <v>15</v>
      </c>
      <c r="E627" s="76" t="n">
        <v>20</v>
      </c>
      <c r="F627" s="76" t="inlineStr">
        <is>
          <t>Differs from upstream baseline</t>
        </is>
      </c>
      <c r="G627" s="76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6" t="inlineStr">
        <is>
          <t>2026-09-30</t>
        </is>
      </c>
      <c r="B629" s="76" t="inlineStr">
        <is>
          <t>Pokemon Stats</t>
        </is>
      </c>
      <c r="C629" s="76" t="inlineStr">
        <is>
          <t>Igglybuff baseSpDefense</t>
        </is>
      </c>
      <c r="D629" s="76" t="n">
        <v>20</v>
      </c>
      <c r="E629" s="76" t="n">
        <v>25</v>
      </c>
      <c r="F629" s="76" t="inlineStr">
        <is>
          <t>Differs from upstream baseline</t>
        </is>
      </c>
      <c r="G629" s="76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6" t="inlineStr">
        <is>
          <t>2026-09-30</t>
        </is>
      </c>
      <c r="B631" s="76" t="inlineStr">
        <is>
          <t>Abilities</t>
        </is>
      </c>
      <c r="C631" s="76" t="inlineStr">
        <is>
          <t>Igglybuff abilities</t>
        </is>
      </c>
      <c r="D631" s="76" t="inlineStr">
        <is>
          <t>Cute Charm / Competitive / Friend Guard</t>
        </is>
      </c>
      <c r="E631" s="76" t="inlineStr">
        <is>
          <t>Cute Charm / Friend Guard</t>
        </is>
      </c>
      <c r="F631" s="76" t="inlineStr">
        <is>
          <t>Differs from upstream baseline</t>
        </is>
      </c>
      <c r="G631" s="76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6" t="inlineStr">
        <is>
          <t>2026-09-30</t>
        </is>
      </c>
      <c r="B633" s="76" t="inlineStr">
        <is>
          <t>Pokemon Stats</t>
        </is>
      </c>
      <c r="C633" s="76" t="inlineStr">
        <is>
          <t>Illumise baseAttack</t>
        </is>
      </c>
      <c r="D633" s="76" t="n">
        <v>47</v>
      </c>
      <c r="E633" s="76" t="n">
        <v>77</v>
      </c>
      <c r="F633" s="76" t="inlineStr">
        <is>
          <t>Differs from upstream baseline</t>
        </is>
      </c>
      <c r="G633" s="76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6" t="inlineStr">
        <is>
          <t>2026-09-30</t>
        </is>
      </c>
      <c r="B635" s="76" t="inlineStr">
        <is>
          <t>Pokemon Stats</t>
        </is>
      </c>
      <c r="C635" s="76" t="inlineStr">
        <is>
          <t>Illumise baseSpDefense</t>
        </is>
      </c>
      <c r="D635" s="76" t="n">
        <v>85</v>
      </c>
      <c r="E635" s="76" t="n">
        <v>75</v>
      </c>
      <c r="F635" s="76" t="inlineStr">
        <is>
          <t>Differs from upstream baseline</t>
        </is>
      </c>
      <c r="G635" s="76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6" t="inlineStr">
        <is>
          <t>2026-09-30</t>
        </is>
      </c>
      <c r="B637" s="76" t="inlineStr">
        <is>
          <t>Pokemon Stats</t>
        </is>
      </c>
      <c r="C637" s="76" t="inlineStr">
        <is>
          <t>Infernape baseHP</t>
        </is>
      </c>
      <c r="D637" s="76" t="n">
        <v>76</v>
      </c>
      <c r="E637" s="76" t="n">
        <v>77</v>
      </c>
      <c r="F637" s="76" t="inlineStr">
        <is>
          <t>Differs from upstream baseline</t>
        </is>
      </c>
      <c r="G637" s="76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6" t="inlineStr">
        <is>
          <t>2026-09-30</t>
        </is>
      </c>
      <c r="B639" s="76" t="inlineStr">
        <is>
          <t>Pokemon Stats</t>
        </is>
      </c>
      <c r="C639" s="76" t="inlineStr">
        <is>
          <t>Inkay baseAttack</t>
        </is>
      </c>
      <c r="D639" s="76" t="n">
        <v>54</v>
      </c>
      <c r="E639" s="76" t="n">
        <v>55</v>
      </c>
      <c r="F639" s="76" t="inlineStr">
        <is>
          <t>Differs from upstream baseline</t>
        </is>
      </c>
      <c r="G639" s="76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6" t="inlineStr">
        <is>
          <t>2026-09-30</t>
        </is>
      </c>
      <c r="B641" s="76" t="inlineStr">
        <is>
          <t>Pokemon Stats</t>
        </is>
      </c>
      <c r="C641" s="76" t="inlineStr">
        <is>
          <t>Inkay baseSpDefense</t>
        </is>
      </c>
      <c r="D641" s="76" t="n">
        <v>46</v>
      </c>
      <c r="E641" s="76" t="n">
        <v>50</v>
      </c>
      <c r="F641" s="76" t="inlineStr">
        <is>
          <t>Differs from upstream baseline</t>
        </is>
      </c>
      <c r="G641" s="76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6" t="inlineStr">
        <is>
          <t>2026-09-30</t>
        </is>
      </c>
      <c r="B643" s="76" t="inlineStr">
        <is>
          <t>Abilities</t>
        </is>
      </c>
      <c r="C643" s="76" t="inlineStr">
        <is>
          <t>Ivysaur abilities</t>
        </is>
      </c>
      <c r="D643" s="76" t="inlineStr">
        <is>
          <t>Overgrow / Chlorophyll</t>
        </is>
      </c>
      <c r="E643" s="76" t="inlineStr">
        <is>
          <t>Overgrow / Overgrow / Chlorophyll</t>
        </is>
      </c>
      <c r="F643" s="76" t="inlineStr">
        <is>
          <t>Differs from upstream baseline</t>
        </is>
      </c>
      <c r="G643" s="76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6" t="inlineStr">
        <is>
          <t>2026-09-30</t>
        </is>
      </c>
      <c r="B645" s="76" t="inlineStr">
        <is>
          <t>Pokemon Stats</t>
        </is>
      </c>
      <c r="C645" s="76" t="inlineStr">
        <is>
          <t>Jigglypuff baseDefense</t>
        </is>
      </c>
      <c r="D645" s="76" t="n">
        <v>20</v>
      </c>
      <c r="E645" s="76" t="n">
        <v>38</v>
      </c>
      <c r="F645" s="76" t="inlineStr">
        <is>
          <t>Differs from upstream baseline</t>
        </is>
      </c>
      <c r="G645" s="76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6" t="inlineStr">
        <is>
          <t>2026-09-30</t>
        </is>
      </c>
      <c r="B647" s="76" t="inlineStr">
        <is>
          <t>Pokemon Stats</t>
        </is>
      </c>
      <c r="C647" s="76" t="inlineStr">
        <is>
          <t>Jigglypuff baseSpDefense</t>
        </is>
      </c>
      <c r="D647" s="76" t="n">
        <v>25</v>
      </c>
      <c r="E647" s="76" t="n">
        <v>55</v>
      </c>
      <c r="F647" s="76" t="inlineStr">
        <is>
          <t>Differs from upstream baseline</t>
        </is>
      </c>
      <c r="G647" s="76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6" t="inlineStr">
        <is>
          <t>2026-09-30</t>
        </is>
      </c>
      <c r="B649" s="76" t="inlineStr">
        <is>
          <t>Abilities</t>
        </is>
      </c>
      <c r="C649" s="76" t="inlineStr">
        <is>
          <t>Jolteon abilities</t>
        </is>
      </c>
      <c r="D649" s="76" t="inlineStr">
        <is>
          <t>Volt Absorb / Volt Absorb / Quick Feet</t>
        </is>
      </c>
      <c r="E649" s="76" t="inlineStr">
        <is>
          <t>Static / Rough Skin / Quick Feet</t>
        </is>
      </c>
      <c r="F649" s="76" t="inlineStr">
        <is>
          <t>Differs from upstream baseline</t>
        </is>
      </c>
      <c r="G649" s="76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6" t="inlineStr">
        <is>
          <t>2026-09-30</t>
        </is>
      </c>
      <c r="B651" s="76" t="inlineStr">
        <is>
          <t>Abilities</t>
        </is>
      </c>
      <c r="C651" s="76" t="inlineStr">
        <is>
          <t>Jumpluff abilities</t>
        </is>
      </c>
      <c r="D651" s="76" t="inlineStr">
        <is>
          <t>Chlorophyll / Leaf Guard / Infiltrator</t>
        </is>
      </c>
      <c r="E651" s="76" t="inlineStr">
        <is>
          <t>Chlorophyll / Chlorophyll / Infiltrator</t>
        </is>
      </c>
      <c r="F651" s="76" t="inlineStr">
        <is>
          <t>Differs from upstream baseline</t>
        </is>
      </c>
      <c r="G651" s="76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6" t="inlineStr">
        <is>
          <t>2026-09-30</t>
        </is>
      </c>
      <c r="B653" s="76" t="inlineStr">
        <is>
          <t>Pokemon Stats</t>
        </is>
      </c>
      <c r="C653" s="76" t="inlineStr">
        <is>
          <t>Jynx baseSpDefense</t>
        </is>
      </c>
      <c r="D653" s="76" t="n">
        <v>95</v>
      </c>
      <c r="E653" s="76" t="n">
        <v>113</v>
      </c>
      <c r="F653" s="76" t="inlineStr">
        <is>
          <t>Differs from upstream baseline</t>
        </is>
      </c>
      <c r="G653" s="76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6" t="inlineStr">
        <is>
          <t>2026-09-30</t>
        </is>
      </c>
      <c r="B655" s="76" t="inlineStr">
        <is>
          <t>Pokemon Stats</t>
        </is>
      </c>
      <c r="C655" s="76" t="inlineStr">
        <is>
          <t>Kadabra baseHP</t>
        </is>
      </c>
      <c r="D655" s="76" t="n">
        <v>40</v>
      </c>
      <c r="E655" s="76" t="n">
        <v>55</v>
      </c>
      <c r="F655" s="76" t="inlineStr">
        <is>
          <t>Differs from upstream baseline</t>
        </is>
      </c>
      <c r="G655" s="76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6" t="inlineStr">
        <is>
          <t>2026-09-30</t>
        </is>
      </c>
      <c r="B657" s="76" t="inlineStr">
        <is>
          <t>Pokemon Stats</t>
        </is>
      </c>
      <c r="C657" s="76" t="inlineStr">
        <is>
          <t>Kadabra baseSpDefense</t>
        </is>
      </c>
      <c r="D657" s="76" t="n">
        <v>70</v>
      </c>
      <c r="E657" s="76" t="n">
        <v>85</v>
      </c>
      <c r="F657" s="76" t="inlineStr">
        <is>
          <t>Differs from upstream baseline</t>
        </is>
      </c>
      <c r="G657" s="76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6" t="inlineStr">
        <is>
          <t>2026-09-30</t>
        </is>
      </c>
      <c r="B659" s="76" t="inlineStr">
        <is>
          <t>Abilities</t>
        </is>
      </c>
      <c r="C659" s="76" t="inlineStr">
        <is>
          <t>Kadabra abilities</t>
        </is>
      </c>
      <c r="D659" s="76" t="inlineStr">
        <is>
          <t>Synchronize / Inner Focus / Magic Guard</t>
        </is>
      </c>
      <c r="E659" s="76" t="inlineStr">
        <is>
          <t>Magic Guard / Inner Focus / Magic Guard</t>
        </is>
      </c>
      <c r="F659" s="76" t="inlineStr">
        <is>
          <t>Differs from upstream baseline</t>
        </is>
      </c>
      <c r="G659" s="76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6" t="inlineStr">
        <is>
          <t>2026-09-30</t>
        </is>
      </c>
      <c r="B661" s="76" t="inlineStr">
        <is>
          <t>Abilities</t>
        </is>
      </c>
      <c r="C661" s="76" t="inlineStr">
        <is>
          <t>Kangaskhan abilities</t>
        </is>
      </c>
      <c r="D661" s="76" t="inlineStr">
        <is>
          <t>Early Bird / Scrappy / Inner Focus</t>
        </is>
      </c>
      <c r="E661" s="76" t="inlineStr">
        <is>
          <t>Scrappy / Scrappy / Inner Focus</t>
        </is>
      </c>
      <c r="F661" s="76" t="inlineStr">
        <is>
          <t>Differs from upstream baseline</t>
        </is>
      </c>
      <c r="G661" s="76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6" t="inlineStr">
        <is>
          <t>2026-09-30</t>
        </is>
      </c>
      <c r="B663" s="76" t="inlineStr">
        <is>
          <t>Pokemon Stats</t>
        </is>
      </c>
      <c r="C663" s="76" t="inlineStr">
        <is>
          <t>Karrablast baseAttack</t>
        </is>
      </c>
      <c r="D663" s="76" t="n">
        <v>75</v>
      </c>
      <c r="E663" s="76" t="n">
        <v>84</v>
      </c>
      <c r="F663" s="76" t="inlineStr">
        <is>
          <t>Differs from upstream baseline</t>
        </is>
      </c>
      <c r="G663" s="76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6" t="inlineStr">
        <is>
          <t>2026-09-30</t>
        </is>
      </c>
      <c r="B665" s="76" t="inlineStr">
        <is>
          <t>Pokemon Stats</t>
        </is>
      </c>
      <c r="C665" s="76" t="inlineStr">
        <is>
          <t>Karrablast baseSpAttack</t>
        </is>
      </c>
      <c r="D665" s="76" t="n">
        <v>40</v>
      </c>
      <c r="E665" s="76" t="n">
        <v>30</v>
      </c>
      <c r="F665" s="76" t="inlineStr">
        <is>
          <t>Differs from upstream baseline</t>
        </is>
      </c>
      <c r="G665" s="76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6" t="inlineStr">
        <is>
          <t>2026-09-30</t>
        </is>
      </c>
      <c r="B667" s="76" t="inlineStr">
        <is>
          <t>Pokemon Stats</t>
        </is>
      </c>
      <c r="C667" s="76" t="inlineStr">
        <is>
          <t>Karrablast baseSpeed</t>
        </is>
      </c>
      <c r="D667" s="76" t="n">
        <v>60</v>
      </c>
      <c r="E667" s="76" t="n">
        <v>67</v>
      </c>
      <c r="F667" s="76" t="inlineStr">
        <is>
          <t>Differs from upstream baseline</t>
        </is>
      </c>
      <c r="G667" s="76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6" t="inlineStr">
        <is>
          <t>2026-09-30</t>
        </is>
      </c>
      <c r="B669" s="76" t="inlineStr">
        <is>
          <t>Pokemon Stats</t>
        </is>
      </c>
      <c r="C669" s="76" t="inlineStr">
        <is>
          <t>Kecleon baseHP</t>
        </is>
      </c>
      <c r="D669" s="76" t="n">
        <v>60</v>
      </c>
      <c r="E669" s="76" t="n">
        <v>65</v>
      </c>
      <c r="F669" s="76" t="inlineStr">
        <is>
          <t>Differs from upstream baseline</t>
        </is>
      </c>
      <c r="G669" s="76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6" t="inlineStr">
        <is>
          <t>2026-09-30</t>
        </is>
      </c>
      <c r="B671" s="76" t="inlineStr">
        <is>
          <t>Pokemon Stats</t>
        </is>
      </c>
      <c r="C671" s="76" t="inlineStr">
        <is>
          <t>Kecleon baseSpDefense</t>
        </is>
      </c>
      <c r="D671" s="76" t="n">
        <v>120</v>
      </c>
      <c r="E671" s="76" t="n">
        <v>135</v>
      </c>
      <c r="F671" s="76" t="inlineStr">
        <is>
          <t>Differs from upstream baseline</t>
        </is>
      </c>
      <c r="G671" s="76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6" t="inlineStr">
        <is>
          <t>2026-09-30</t>
        </is>
      </c>
      <c r="B673" s="76" t="inlineStr">
        <is>
          <t>Pokemon Stats</t>
        </is>
      </c>
      <c r="C673" s="76" t="inlineStr">
        <is>
          <t>Keldeo baseAttack</t>
        </is>
      </c>
      <c r="D673" s="76" t="n">
        <v>72</v>
      </c>
      <c r="E673" s="76" t="n">
        <v>32</v>
      </c>
      <c r="F673" s="76" t="inlineStr">
        <is>
          <t>Differs from upstream baseline</t>
        </is>
      </c>
      <c r="G673" s="76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6" t="inlineStr">
        <is>
          <t>2026-09-30</t>
        </is>
      </c>
      <c r="B675" s="76" t="inlineStr">
        <is>
          <t>Pokemon Stats</t>
        </is>
      </c>
      <c r="C675" s="76" t="inlineStr">
        <is>
          <t>Keldeo baseSpeed</t>
        </is>
      </c>
      <c r="D675" s="76" t="n">
        <v>108</v>
      </c>
      <c r="E675" s="76" t="n">
        <v>126</v>
      </c>
      <c r="F675" s="76" t="inlineStr">
        <is>
          <t>Differs from upstream baseline</t>
        </is>
      </c>
      <c r="G675" s="76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6" t="inlineStr">
        <is>
          <t>2026-09-30</t>
        </is>
      </c>
      <c r="B677" s="76" t="inlineStr">
        <is>
          <t>Pokemon Stats</t>
        </is>
      </c>
      <c r="C677" s="76" t="inlineStr">
        <is>
          <t>Kingambit baseSpAttack</t>
        </is>
      </c>
      <c r="D677" s="76" t="n">
        <v>60</v>
      </c>
      <c r="E677" s="76" t="n">
        <v>30</v>
      </c>
      <c r="F677" s="76" t="inlineStr">
        <is>
          <t>Differs from upstream baseline</t>
        </is>
      </c>
      <c r="G677" s="76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6" t="inlineStr">
        <is>
          <t>2026-09-30</t>
        </is>
      </c>
      <c r="B679" s="76" t="inlineStr">
        <is>
          <t>Abilities</t>
        </is>
      </c>
      <c r="C679" s="76" t="inlineStr">
        <is>
          <t>Kingdra abilities</t>
        </is>
      </c>
      <c r="D679" s="76" t="inlineStr">
        <is>
          <t>Swift Swim / Sniper / Damp</t>
        </is>
      </c>
      <c r="E679" s="76" t="inlineStr">
        <is>
          <t>Swift Swim / Swift Swim / Damp</t>
        </is>
      </c>
      <c r="F679" s="76" t="inlineStr">
        <is>
          <t>Differs from upstream baseline</t>
        </is>
      </c>
      <c r="G679" s="76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6" t="inlineStr">
        <is>
          <t>2026-09-30</t>
        </is>
      </c>
      <c r="B681" s="76" t="inlineStr">
        <is>
          <t>Abilities</t>
        </is>
      </c>
      <c r="C681" s="76" t="inlineStr">
        <is>
          <t>Kirlia abilities</t>
        </is>
      </c>
      <c r="D681" s="76" t="inlineStr">
        <is>
          <t>Synchronize / Trace / Telepathy</t>
        </is>
      </c>
      <c r="E681" s="76" t="inlineStr">
        <is>
          <t>Trace / Trace / Telepathy</t>
        </is>
      </c>
      <c r="F681" s="76" t="inlineStr">
        <is>
          <t>Differs from upstream baseline</t>
        </is>
      </c>
      <c r="G681" s="76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6" t="inlineStr">
        <is>
          <t>2026-09-30</t>
        </is>
      </c>
      <c r="B683" s="76" t="inlineStr">
        <is>
          <t>Pokemon Stats</t>
        </is>
      </c>
      <c r="C683" s="76" t="inlineStr">
        <is>
          <t>Kleavor baseAttack</t>
        </is>
      </c>
      <c r="D683" s="76" t="n">
        <v>135</v>
      </c>
      <c r="E683" s="76" t="n">
        <v>143</v>
      </c>
      <c r="F683" s="76" t="inlineStr">
        <is>
          <t>Differs from upstream baseline</t>
        </is>
      </c>
      <c r="G683" s="76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6" t="inlineStr">
        <is>
          <t>2026-09-30</t>
        </is>
      </c>
      <c r="B685" s="76" t="inlineStr">
        <is>
          <t>Pokemon Stats</t>
        </is>
      </c>
      <c r="C685" s="76" t="inlineStr">
        <is>
          <t>Kleavor baseSpeed</t>
        </is>
      </c>
      <c r="D685" s="76" t="n">
        <v>85</v>
      </c>
      <c r="E685" s="76" t="n">
        <v>92</v>
      </c>
      <c r="F685" s="76" t="inlineStr">
        <is>
          <t>Differs from upstream baseline</t>
        </is>
      </c>
      <c r="G685" s="76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6" t="inlineStr">
        <is>
          <t>2026-09-30</t>
        </is>
      </c>
      <c r="B687" s="76" t="inlineStr">
        <is>
          <t>Pokemon Stats</t>
        </is>
      </c>
      <c r="C687" s="76" t="inlineStr">
        <is>
          <t>Klefki baseAttack</t>
        </is>
      </c>
      <c r="D687" s="76" t="n">
        <v>80</v>
      </c>
      <c r="E687" s="76" t="n">
        <v>87</v>
      </c>
      <c r="F687" s="76" t="inlineStr">
        <is>
          <t>Differs from upstream baseline</t>
        </is>
      </c>
      <c r="G687" s="76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6" t="inlineStr">
        <is>
          <t>2026-09-30</t>
        </is>
      </c>
      <c r="B689" s="76" t="inlineStr">
        <is>
          <t>Pokemon Stats</t>
        </is>
      </c>
      <c r="C689" s="76" t="inlineStr">
        <is>
          <t>Klinklang baseHP</t>
        </is>
      </c>
      <c r="D689" s="76" t="n">
        <v>60</v>
      </c>
      <c r="E689" s="76" t="n">
        <v>70</v>
      </c>
      <c r="F689" s="76" t="inlineStr">
        <is>
          <t>Differs from upstream baseline</t>
        </is>
      </c>
      <c r="G689" s="76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6" t="inlineStr">
        <is>
          <t>2026-09-30</t>
        </is>
      </c>
      <c r="B691" s="76" t="inlineStr">
        <is>
          <t>Abilities</t>
        </is>
      </c>
      <c r="C691" s="76" t="inlineStr">
        <is>
          <t>Koffing abilities</t>
        </is>
      </c>
      <c r="D691" s="76" t="inlineStr">
        <is>
          <t>Levitate / Neutralizing Gas / Stench</t>
        </is>
      </c>
      <c r="E691" s="76" t="inlineStr">
        <is>
          <t>Levitate / Stench</t>
        </is>
      </c>
      <c r="F691" s="76" t="inlineStr">
        <is>
          <t>Differs from upstream baseline</t>
        </is>
      </c>
      <c r="G691" s="76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6" t="inlineStr">
        <is>
          <t>2026-09-30</t>
        </is>
      </c>
      <c r="B693" s="76" t="inlineStr">
        <is>
          <t>Abilities</t>
        </is>
      </c>
      <c r="C693" s="76" t="inlineStr">
        <is>
          <t>Kricketune abilities</t>
        </is>
      </c>
      <c r="D693" s="76" t="inlineStr">
        <is>
          <t>Swarm / Technician</t>
        </is>
      </c>
      <c r="E693" s="76" t="inlineStr">
        <is>
          <t>Hyper Cutter / Technician</t>
        </is>
      </c>
      <c r="F693" s="76" t="inlineStr">
        <is>
          <t>Differs from upstream baseline</t>
        </is>
      </c>
      <c r="G693" s="76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6" t="inlineStr">
        <is>
          <t>2026-09-30</t>
        </is>
      </c>
      <c r="B695" s="76" t="inlineStr">
        <is>
          <t>Pokemon Stats</t>
        </is>
      </c>
      <c r="C695" s="76" t="inlineStr">
        <is>
          <t>Krokorok baseAttack</t>
        </is>
      </c>
      <c r="D695" s="76" t="n">
        <v>82</v>
      </c>
      <c r="E695" s="76" t="n">
        <v>91</v>
      </c>
      <c r="F695" s="76" t="inlineStr">
        <is>
          <t>Differs from upstream baseline</t>
        </is>
      </c>
      <c r="G695" s="76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6" t="inlineStr">
        <is>
          <t>2026-09-30</t>
        </is>
      </c>
      <c r="B697" s="76" t="inlineStr">
        <is>
          <t>Pokemon Stats</t>
        </is>
      </c>
      <c r="C697" s="76" t="inlineStr">
        <is>
          <t>Krokorok baseSpAttack</t>
        </is>
      </c>
      <c r="D697" s="76" t="n">
        <v>45</v>
      </c>
      <c r="E697" s="76" t="n">
        <v>30</v>
      </c>
      <c r="F697" s="76" t="inlineStr">
        <is>
          <t>Differs from upstream baseline</t>
        </is>
      </c>
      <c r="G697" s="76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6" t="inlineStr">
        <is>
          <t>2026-09-30</t>
        </is>
      </c>
      <c r="B699" s="76" t="inlineStr">
        <is>
          <t>Pokemon Stats</t>
        </is>
      </c>
      <c r="C699" s="76" t="inlineStr">
        <is>
          <t>Krokorok baseSpeed</t>
        </is>
      </c>
      <c r="D699" s="76" t="n">
        <v>74</v>
      </c>
      <c r="E699" s="76" t="n">
        <v>82</v>
      </c>
      <c r="F699" s="76" t="inlineStr">
        <is>
          <t>Differs from upstream baseline</t>
        </is>
      </c>
      <c r="G699" s="76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6" t="inlineStr">
        <is>
          <t>2026-09-30</t>
        </is>
      </c>
      <c r="B701" s="76" t="inlineStr">
        <is>
          <t>Pokemon Stats</t>
        </is>
      </c>
      <c r="C701" s="76" t="inlineStr">
        <is>
          <t>Krookodile baseSpAttack</t>
        </is>
      </c>
      <c r="D701" s="76" t="n">
        <v>65</v>
      </c>
      <c r="E701" s="76" t="n">
        <v>30</v>
      </c>
      <c r="F701" s="76" t="inlineStr">
        <is>
          <t>Differs from upstream baseline</t>
        </is>
      </c>
      <c r="G701" s="76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6" t="inlineStr">
        <is>
          <t>2026-09-30</t>
        </is>
      </c>
      <c r="B703" s="76" t="inlineStr">
        <is>
          <t>Abilities</t>
        </is>
      </c>
      <c r="C703" s="76" t="inlineStr">
        <is>
          <t>Kyogre abilities</t>
        </is>
      </c>
      <c r="D703" s="76" t="inlineStr">
        <is>
          <t>Primordial Sea / Primordial Sea</t>
        </is>
      </c>
      <c r="E703" s="76" t="inlineStr">
        <is>
          <t>Water Bubble / Water Bubble</t>
        </is>
      </c>
      <c r="F703" s="76" t="inlineStr">
        <is>
          <t>Differs from upstream baseline</t>
        </is>
      </c>
      <c r="G703" s="76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6" t="inlineStr">
        <is>
          <t>2026-09-30</t>
        </is>
      </c>
      <c r="B705" s="76" t="inlineStr">
        <is>
          <t>Pokemon Stats</t>
        </is>
      </c>
      <c r="C705" s="76" t="inlineStr">
        <is>
          <t>Lampent baseHP</t>
        </is>
      </c>
      <c r="D705" s="76" t="n">
        <v>60</v>
      </c>
      <c r="E705" s="76" t="n">
        <v>62</v>
      </c>
      <c r="F705" s="76" t="inlineStr">
        <is>
          <t>Differs from upstream baseline</t>
        </is>
      </c>
      <c r="G705" s="76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6" t="inlineStr">
        <is>
          <t>2026-09-30</t>
        </is>
      </c>
      <c r="B707" s="76" t="inlineStr">
        <is>
          <t>Pokemon Stats</t>
        </is>
      </c>
      <c r="C707" s="76" t="inlineStr">
        <is>
          <t>Lampent baseSpAttack</t>
        </is>
      </c>
      <c r="D707" s="76" t="n">
        <v>95</v>
      </c>
      <c r="E707" s="76" t="n">
        <v>102</v>
      </c>
      <c r="F707" s="76" t="inlineStr">
        <is>
          <t>Differs from upstream baseline</t>
        </is>
      </c>
      <c r="G707" s="76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6" t="inlineStr">
        <is>
          <t>2026-09-30</t>
        </is>
      </c>
      <c r="B709" s="76" t="inlineStr">
        <is>
          <t>Pokemon Stats</t>
        </is>
      </c>
      <c r="C709" s="76" t="inlineStr">
        <is>
          <t>Lampent baseSpeed</t>
        </is>
      </c>
      <c r="D709" s="76" t="n">
        <v>55</v>
      </c>
      <c r="E709" s="76" t="n">
        <v>62</v>
      </c>
      <c r="F709" s="76" t="inlineStr">
        <is>
          <t>Differs from upstream baseline</t>
        </is>
      </c>
      <c r="G709" s="76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6" t="inlineStr">
        <is>
          <t>2026-09-30</t>
        </is>
      </c>
      <c r="B711" s="76" t="inlineStr">
        <is>
          <t>Pokemon Stats</t>
        </is>
      </c>
      <c r="C711" s="76" t="inlineStr">
        <is>
          <t>Lapras baseAttack</t>
        </is>
      </c>
      <c r="D711" s="76" t="n">
        <v>85</v>
      </c>
      <c r="E711" s="76" t="n">
        <v>95</v>
      </c>
      <c r="F711" s="76" t="inlineStr">
        <is>
          <t>Differs from upstream baseline</t>
        </is>
      </c>
      <c r="G711" s="76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6" t="inlineStr">
        <is>
          <t>2026-09-30</t>
        </is>
      </c>
      <c r="B713" s="76" t="inlineStr">
        <is>
          <t>Abilities</t>
        </is>
      </c>
      <c r="C713" s="76" t="inlineStr">
        <is>
          <t>Lapras abilities</t>
        </is>
      </c>
      <c r="D713" s="76" t="inlineStr">
        <is>
          <t>Water Absorb / Shell Armor / Hydration</t>
        </is>
      </c>
      <c r="E713" s="76" t="inlineStr">
        <is>
          <t>Serene Grace / Shell Armor / Hydration</t>
        </is>
      </c>
      <c r="F713" s="76" t="inlineStr">
        <is>
          <t>Differs from upstream baseline</t>
        </is>
      </c>
      <c r="G713" s="76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6" t="inlineStr">
        <is>
          <t>2026-09-30</t>
        </is>
      </c>
      <c r="B715" s="76" t="inlineStr">
        <is>
          <t>Pokemon Stats</t>
        </is>
      </c>
      <c r="C715" s="76" t="inlineStr">
        <is>
          <t>Larvesta baseSpAttack</t>
        </is>
      </c>
      <c r="D715" s="76" t="n">
        <v>50</v>
      </c>
      <c r="E715" s="76" t="n">
        <v>30</v>
      </c>
      <c r="F715" s="76" t="inlineStr">
        <is>
          <t>Differs from upstream baseline</t>
        </is>
      </c>
      <c r="G715" s="76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6" t="inlineStr">
        <is>
          <t>2026-09-30</t>
        </is>
      </c>
      <c r="B717" s="76" t="inlineStr">
        <is>
          <t>Evolutions</t>
        </is>
      </c>
      <c r="C717" s="76" t="inlineStr">
        <is>
          <t>Larvesta evolution</t>
        </is>
      </c>
      <c r="D717" s="76" t="inlineStr">
        <is>
          <t>Lv 59 -&gt; Volcarona</t>
        </is>
      </c>
      <c r="E717" s="76" t="inlineStr">
        <is>
          <t>Lv 48 -&gt; Volcarona</t>
        </is>
      </c>
      <c r="F717" s="76" t="inlineStr">
        <is>
          <t>Differs from upstream baseline</t>
        </is>
      </c>
      <c r="G717" s="76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6" t="inlineStr">
        <is>
          <t>2026-09-30</t>
        </is>
      </c>
      <c r="B719" s="76" t="inlineStr">
        <is>
          <t>Abilities</t>
        </is>
      </c>
      <c r="C719" s="76" t="inlineStr">
        <is>
          <t>Leafeon abilities</t>
        </is>
      </c>
      <c r="D719" s="76" t="inlineStr">
        <is>
          <t>Leaf Guard / Leaf Guard / Chlorophyll</t>
        </is>
      </c>
      <c r="E719" s="76" t="inlineStr">
        <is>
          <t>Magic Guard / Natural Cure / Chlorophyll</t>
        </is>
      </c>
      <c r="F719" s="76" t="inlineStr">
        <is>
          <t>Differs from upstream baseline</t>
        </is>
      </c>
      <c r="G719" s="76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6" t="inlineStr">
        <is>
          <t>2026-09-30</t>
        </is>
      </c>
      <c r="B721" s="76" t="inlineStr">
        <is>
          <t>Pokemon Stats</t>
        </is>
      </c>
      <c r="C721" s="76" t="inlineStr">
        <is>
          <t>Leavanny baseAttack</t>
        </is>
      </c>
      <c r="D721" s="76" t="n">
        <v>103</v>
      </c>
      <c r="E721" s="76" t="n">
        <v>113</v>
      </c>
      <c r="F721" s="76" t="inlineStr">
        <is>
          <t>Differs from upstream baseline</t>
        </is>
      </c>
      <c r="G721" s="76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6" t="inlineStr">
        <is>
          <t>2026-09-30</t>
        </is>
      </c>
      <c r="B723" s="76" t="inlineStr">
        <is>
          <t>Pokemon Stats</t>
        </is>
      </c>
      <c r="C723" s="76" t="inlineStr">
        <is>
          <t>Leavanny baseSpDefense</t>
        </is>
      </c>
      <c r="D723" s="76" t="n">
        <v>80</v>
      </c>
      <c r="E723" s="76" t="n">
        <v>85</v>
      </c>
      <c r="F723" s="76" t="inlineStr">
        <is>
          <t>Differs from upstream baseline</t>
        </is>
      </c>
      <c r="G723" s="76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6" t="inlineStr">
        <is>
          <t>2026-09-30</t>
        </is>
      </c>
      <c r="B725" s="76" t="inlineStr">
        <is>
          <t>Abilities</t>
        </is>
      </c>
      <c r="C725" s="76" t="inlineStr">
        <is>
          <t>Leavanny abilities</t>
        </is>
      </c>
      <c r="D725" s="76" t="inlineStr">
        <is>
          <t>Swarm / Chlorophyll / Overcoat</t>
        </is>
      </c>
      <c r="E725" s="76" t="inlineStr">
        <is>
          <t>Swarm / Chlorophyll / Sharpness</t>
        </is>
      </c>
      <c r="F725" s="76" t="inlineStr">
        <is>
          <t>Differs from upstream baseline</t>
        </is>
      </c>
      <c r="G725" s="76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6" t="inlineStr">
        <is>
          <t>2026-09-30</t>
        </is>
      </c>
      <c r="B727" s="76" t="inlineStr">
        <is>
          <t>Abilities</t>
        </is>
      </c>
      <c r="C727" s="76" t="inlineStr">
        <is>
          <t>Ledian abilities</t>
        </is>
      </c>
      <c r="D727" s="76" t="inlineStr">
        <is>
          <t>Swarm / Early Bird / Iron Fist</t>
        </is>
      </c>
      <c r="E727" s="76" t="inlineStr">
        <is>
          <t>Iron Fist / Iron Fist / Iron Fist</t>
        </is>
      </c>
      <c r="F727" s="76" t="inlineStr">
        <is>
          <t>Differs from upstream baseline</t>
        </is>
      </c>
      <c r="G727" s="76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6" t="inlineStr">
        <is>
          <t>2026-09-30</t>
        </is>
      </c>
      <c r="B729" s="76" t="inlineStr">
        <is>
          <t>Abilities</t>
        </is>
      </c>
      <c r="C729" s="76" t="inlineStr">
        <is>
          <t>Ledyba abilities</t>
        </is>
      </c>
      <c r="D729" s="76" t="inlineStr">
        <is>
          <t>Swarm / Early Bird / Rattled</t>
        </is>
      </c>
      <c r="E729" s="76" t="inlineStr">
        <is>
          <t>Swarm / Swarm / Rattled</t>
        </is>
      </c>
      <c r="F729" s="76" t="inlineStr">
        <is>
          <t>Differs from upstream baseline</t>
        </is>
      </c>
      <c r="G729" s="76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6" t="inlineStr">
        <is>
          <t>2026-09-30</t>
        </is>
      </c>
      <c r="B731" s="76" t="inlineStr">
        <is>
          <t>Pokemon Stats</t>
        </is>
      </c>
      <c r="C731" s="76" t="inlineStr">
        <is>
          <t>Lickitung baseAttack</t>
        </is>
      </c>
      <c r="D731" s="76" t="n">
        <v>55</v>
      </c>
      <c r="E731" s="76" t="n">
        <v>60</v>
      </c>
      <c r="F731" s="76" t="inlineStr">
        <is>
          <t>Differs from upstream baseline</t>
        </is>
      </c>
      <c r="G731" s="76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6" t="inlineStr">
        <is>
          <t>2026-09-30</t>
        </is>
      </c>
      <c r="B733" s="76" t="inlineStr">
        <is>
          <t>Pokemon Stats</t>
        </is>
      </c>
      <c r="C733" s="76" t="inlineStr">
        <is>
          <t>Liepard baseHP</t>
        </is>
      </c>
      <c r="D733" s="76" t="n">
        <v>64</v>
      </c>
      <c r="E733" s="76" t="n">
        <v>66</v>
      </c>
      <c r="F733" s="76" t="inlineStr">
        <is>
          <t>Differs from upstream baseline</t>
        </is>
      </c>
      <c r="G733" s="76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6" t="inlineStr">
        <is>
          <t>2026-09-30</t>
        </is>
      </c>
      <c r="B735" s="76" t="inlineStr">
        <is>
          <t>Pokemon Stats</t>
        </is>
      </c>
      <c r="C735" s="76" t="inlineStr">
        <is>
          <t>Liepard baseDefense</t>
        </is>
      </c>
      <c r="D735" s="76" t="n">
        <v>50</v>
      </c>
      <c r="E735" s="76" t="n">
        <v>59</v>
      </c>
      <c r="F735" s="76" t="inlineStr">
        <is>
          <t>Differs from upstream baseline</t>
        </is>
      </c>
      <c r="G735" s="76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6" t="inlineStr">
        <is>
          <t>2026-09-30</t>
        </is>
      </c>
      <c r="B737" s="76" t="inlineStr">
        <is>
          <t>Pokemon Stats</t>
        </is>
      </c>
      <c r="C737" s="76" t="inlineStr">
        <is>
          <t>Liepard baseSpeed</t>
        </is>
      </c>
      <c r="D737" s="76" t="n">
        <v>106</v>
      </c>
      <c r="E737" s="76" t="n">
        <v>116</v>
      </c>
      <c r="F737" s="76" t="inlineStr">
        <is>
          <t>Differs from upstream baseline</t>
        </is>
      </c>
      <c r="G737" s="76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6" t="inlineStr">
        <is>
          <t>2026-09-30</t>
        </is>
      </c>
      <c r="B739" s="76" t="inlineStr">
        <is>
          <t>Pokemon Stats</t>
        </is>
      </c>
      <c r="C739" s="76" t="inlineStr">
        <is>
          <t>Lilligant baseAttack</t>
        </is>
      </c>
      <c r="D739" s="76" t="n">
        <v>60</v>
      </c>
      <c r="E739" s="76" t="n">
        <v>30</v>
      </c>
      <c r="F739" s="76" t="inlineStr">
        <is>
          <t>Differs from upstream baseline</t>
        </is>
      </c>
      <c r="G739" s="76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6" t="inlineStr">
        <is>
          <t>2026-09-30</t>
        </is>
      </c>
      <c r="B741" s="76" t="inlineStr">
        <is>
          <t>Pokemon Stats</t>
        </is>
      </c>
      <c r="C741" s="76" t="inlineStr">
        <is>
          <t>Lilligant baseSpeed</t>
        </is>
      </c>
      <c r="D741" s="76" t="n">
        <v>90</v>
      </c>
      <c r="E741" s="76" t="n">
        <v>114</v>
      </c>
      <c r="F741" s="76" t="inlineStr">
        <is>
          <t>Differs from upstream baseline</t>
        </is>
      </c>
      <c r="G741" s="76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6" t="inlineStr">
        <is>
          <t>2026-09-30</t>
        </is>
      </c>
      <c r="B743" s="76" t="inlineStr">
        <is>
          <t>Pokemon Stats</t>
        </is>
      </c>
      <c r="C743" s="76" t="inlineStr">
        <is>
          <t>Lilligant baseSpAttack</t>
        </is>
      </c>
      <c r="D743" s="76" t="n">
        <v>50</v>
      </c>
      <c r="E743" s="76" t="n">
        <v>30</v>
      </c>
      <c r="F743" s="76" t="inlineStr">
        <is>
          <t>Differs from upstream baseline</t>
        </is>
      </c>
      <c r="G743" s="76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6" t="inlineStr">
        <is>
          <t>2026-09-30</t>
        </is>
      </c>
      <c r="B745" s="76" t="inlineStr">
        <is>
          <t>Abilities</t>
        </is>
      </c>
      <c r="C745" s="76" t="inlineStr">
        <is>
          <t>Linoone abilities</t>
        </is>
      </c>
      <c r="D745" s="76" t="inlineStr">
        <is>
          <t>Pickup / Gluttony / Quick Feet</t>
        </is>
      </c>
      <c r="E745" s="76" t="inlineStr">
        <is>
          <t>Gluttony / Gluttony / Quick Feet</t>
        </is>
      </c>
      <c r="F745" s="76" t="inlineStr">
        <is>
          <t>Differs from upstream baseline</t>
        </is>
      </c>
      <c r="G745" s="76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6" t="inlineStr">
        <is>
          <t>2026-09-30</t>
        </is>
      </c>
      <c r="B747" s="76" t="inlineStr">
        <is>
          <t>Pokemon Stats</t>
        </is>
      </c>
      <c r="C747" s="76" t="inlineStr">
        <is>
          <t>Lopunny baseSpDefense</t>
        </is>
      </c>
      <c r="D747" s="76" t="n">
        <v>96</v>
      </c>
      <c r="E747" s="76" t="n">
        <v>116</v>
      </c>
      <c r="F747" s="76" t="inlineStr">
        <is>
          <t>Differs from upstream baseline</t>
        </is>
      </c>
      <c r="G747" s="76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6" t="inlineStr">
        <is>
          <t>2026-09-30</t>
        </is>
      </c>
      <c r="B749" s="76" t="inlineStr">
        <is>
          <t>Pokemon Stats</t>
        </is>
      </c>
      <c r="C749" s="76" t="inlineStr">
        <is>
          <t>Lopunny baseAttack</t>
        </is>
      </c>
      <c r="D749" s="76" t="n">
        <v>136</v>
      </c>
      <c r="E749" s="76" t="n">
        <v>146</v>
      </c>
      <c r="F749" s="76" t="inlineStr">
        <is>
          <t>Differs from upstream baseline</t>
        </is>
      </c>
      <c r="G749" s="76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6" t="inlineStr">
        <is>
          <t>2026-09-30</t>
        </is>
      </c>
      <c r="B751" s="76" t="inlineStr">
        <is>
          <t>Abilities</t>
        </is>
      </c>
      <c r="C751" s="76" t="inlineStr">
        <is>
          <t>Lucario abilities</t>
        </is>
      </c>
      <c r="D751" s="76" t="inlineStr">
        <is>
          <t>Steadfast / Inner Focus / Justified</t>
        </is>
      </c>
      <c r="E751" s="76" t="inlineStr">
        <is>
          <t>Iron Fist / Adaptability / Justified</t>
        </is>
      </c>
      <c r="F751" s="76" t="inlineStr">
        <is>
          <t>Differs from upstream baseline</t>
        </is>
      </c>
      <c r="G751" s="76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6" t="inlineStr">
        <is>
          <t>2026-09-30</t>
        </is>
      </c>
      <c r="B753" s="76" t="inlineStr">
        <is>
          <t>Pokemon Stats</t>
        </is>
      </c>
      <c r="C753" s="76" t="inlineStr">
        <is>
          <t>Lumineon baseAttack</t>
        </is>
      </c>
      <c r="D753" s="76" t="n">
        <v>69</v>
      </c>
      <c r="E753" s="76" t="n">
        <v>85</v>
      </c>
      <c r="F753" s="76" t="inlineStr">
        <is>
          <t>Differs from upstream baseline</t>
        </is>
      </c>
      <c r="G753" s="76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6" t="inlineStr">
        <is>
          <t>2026-09-30</t>
        </is>
      </c>
      <c r="B755" s="76" t="inlineStr">
        <is>
          <t>Abilities</t>
        </is>
      </c>
      <c r="C755" s="76" t="inlineStr">
        <is>
          <t>Lumineon abilities</t>
        </is>
      </c>
      <c r="D755" s="76" t="inlineStr">
        <is>
          <t>Swift Swim / Storm Drain / Water Veil</t>
        </is>
      </c>
      <c r="E755" s="76" t="inlineStr">
        <is>
          <t>Swift Swim / Chlorophyll / Water Veil</t>
        </is>
      </c>
      <c r="F755" s="76" t="inlineStr">
        <is>
          <t>Differs from upstream baseline</t>
        </is>
      </c>
      <c r="G755" s="76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6" t="inlineStr">
        <is>
          <t>2026-09-30</t>
        </is>
      </c>
      <c r="B757" s="76" t="inlineStr">
        <is>
          <t>Abilities</t>
        </is>
      </c>
      <c r="C757" s="76" t="inlineStr">
        <is>
          <t>Luxio abilities</t>
        </is>
      </c>
      <c r="D757" s="76" t="inlineStr">
        <is>
          <t>Rivalry / Intimidate / Guts</t>
        </is>
      </c>
      <c r="E757" s="76" t="inlineStr">
        <is>
          <t>Hyper Cutter / Hyper Cutter / Guts</t>
        </is>
      </c>
      <c r="F757" s="76" t="inlineStr">
        <is>
          <t>Differs from upstream baseline</t>
        </is>
      </c>
      <c r="G757" s="76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6" t="inlineStr">
        <is>
          <t>2026-09-30</t>
        </is>
      </c>
      <c r="B759" s="76" t="inlineStr">
        <is>
          <t>Pokemon Stats</t>
        </is>
      </c>
      <c r="C759" s="76" t="inlineStr">
        <is>
          <t>Luxray baseSpeed</t>
        </is>
      </c>
      <c r="D759" s="76" t="n">
        <v>70</v>
      </c>
      <c r="E759" s="76" t="n">
        <v>95</v>
      </c>
      <c r="F759" s="76" t="inlineStr">
        <is>
          <t>Differs from upstream baseline</t>
        </is>
      </c>
      <c r="G759" s="76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6" t="inlineStr">
        <is>
          <t>2026-09-30</t>
        </is>
      </c>
      <c r="B761" s="76" t="inlineStr">
        <is>
          <t>Pokemon Stats</t>
        </is>
      </c>
      <c r="C761" s="76" t="inlineStr">
        <is>
          <t>Machamp baseAttack</t>
        </is>
      </c>
      <c r="D761" s="76" t="n">
        <v>130</v>
      </c>
      <c r="E761" s="76" t="n">
        <v>140</v>
      </c>
      <c r="F761" s="76" t="inlineStr">
        <is>
          <t>Differs from upstream baseline</t>
        </is>
      </c>
      <c r="G761" s="76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6" t="inlineStr">
        <is>
          <t>2026-09-30</t>
        </is>
      </c>
      <c r="B763" s="76" t="inlineStr">
        <is>
          <t>Pokemon Stats</t>
        </is>
      </c>
      <c r="C763" s="76" t="inlineStr">
        <is>
          <t>Machoke baseAttack</t>
        </is>
      </c>
      <c r="D763" s="76" t="n">
        <v>100</v>
      </c>
      <c r="E763" s="76" t="n">
        <v>55</v>
      </c>
      <c r="F763" s="76" t="inlineStr">
        <is>
          <t>Differs from upstream baseline</t>
        </is>
      </c>
      <c r="G763" s="76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6" t="inlineStr">
        <is>
          <t>2026-09-30</t>
        </is>
      </c>
      <c r="B765" s="76" t="inlineStr">
        <is>
          <t>Abilities</t>
        </is>
      </c>
      <c r="C765" s="76" t="inlineStr">
        <is>
          <t>Machoke abilities</t>
        </is>
      </c>
      <c r="D765" s="76" t="inlineStr">
        <is>
          <t>Guts / No Guard / Steadfast</t>
        </is>
      </c>
      <c r="E765" s="76" t="inlineStr">
        <is>
          <t>Huge Power / Huge Power / Steadfast</t>
        </is>
      </c>
      <c r="F765" s="76" t="inlineStr">
        <is>
          <t>Differs from upstream baseline</t>
        </is>
      </c>
      <c r="G765" s="76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6" t="inlineStr">
        <is>
          <t>2026-09-30</t>
        </is>
      </c>
      <c r="B767" s="76" t="inlineStr">
        <is>
          <t>Abilities</t>
        </is>
      </c>
      <c r="C767" s="76" t="inlineStr">
        <is>
          <t>Machop abilities</t>
        </is>
      </c>
      <c r="D767" s="76" t="inlineStr">
        <is>
          <t>Guts / No Guard / Steadfast</t>
        </is>
      </c>
      <c r="E767" s="76" t="inlineStr">
        <is>
          <t>No Guard / No Guard / Steadfast</t>
        </is>
      </c>
      <c r="F767" s="76" t="inlineStr">
        <is>
          <t>Differs from upstream baseline</t>
        </is>
      </c>
      <c r="G767" s="76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6" t="inlineStr">
        <is>
          <t>2026-09-30</t>
        </is>
      </c>
      <c r="B769" s="76" t="inlineStr">
        <is>
          <t>Pokemon Stats</t>
        </is>
      </c>
      <c r="C769" s="76" t="inlineStr">
        <is>
          <t>Magcargo baseAttack</t>
        </is>
      </c>
      <c r="D769" s="76" t="n">
        <v>50</v>
      </c>
      <c r="E769" s="76" t="n">
        <v>80</v>
      </c>
      <c r="F769" s="76" t="inlineStr">
        <is>
          <t>Differs from upstream baseline</t>
        </is>
      </c>
      <c r="G769" s="76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6" t="inlineStr">
        <is>
          <t>2026-09-30</t>
        </is>
      </c>
      <c r="B771" s="76" t="inlineStr">
        <is>
          <t>Pokemon Stats</t>
        </is>
      </c>
      <c r="C771" s="76" t="inlineStr">
        <is>
          <t>Magcargo baseSpDefense</t>
        </is>
      </c>
      <c r="D771" s="76" t="n">
        <v>80</v>
      </c>
      <c r="E771" s="76" t="n">
        <v>100</v>
      </c>
      <c r="F771" s="76" t="inlineStr">
        <is>
          <t>Differs from upstream baseline</t>
        </is>
      </c>
      <c r="G771" s="76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6" t="inlineStr">
        <is>
          <t>2026-09-30</t>
        </is>
      </c>
      <c r="B773" s="76" t="inlineStr">
        <is>
          <t>Abilities</t>
        </is>
      </c>
      <c r="C773" s="76" t="inlineStr">
        <is>
          <t>Magmar abilities</t>
        </is>
      </c>
      <c r="D773" s="76" t="inlineStr">
        <is>
          <t>Flame Body / Vital Spirit</t>
        </is>
      </c>
      <c r="E773" s="76" t="inlineStr">
        <is>
          <t>Flame Body / Flame Body / Vital Spirit</t>
        </is>
      </c>
      <c r="F773" s="76" t="inlineStr">
        <is>
          <t>Differs from upstream baseline</t>
        </is>
      </c>
      <c r="G773" s="76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6" t="inlineStr">
        <is>
          <t>2026-09-30</t>
        </is>
      </c>
      <c r="B775" s="76" t="inlineStr">
        <is>
          <t>Abilities</t>
        </is>
      </c>
      <c r="C775" s="76" t="inlineStr">
        <is>
          <t>Magmortar abilities</t>
        </is>
      </c>
      <c r="D775" s="76" t="inlineStr">
        <is>
          <t>Flame Body / Vital Spirit</t>
        </is>
      </c>
      <c r="E775" s="76" t="inlineStr">
        <is>
          <t>Flame Body / Flame Body / Vital Spirit</t>
        </is>
      </c>
      <c r="F775" s="76" t="inlineStr">
        <is>
          <t>Differs from upstream baseline</t>
        </is>
      </c>
      <c r="G775" s="76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6" t="inlineStr">
        <is>
          <t>2026-09-30</t>
        </is>
      </c>
      <c r="B777" s="76" t="inlineStr">
        <is>
          <t>Abilities</t>
        </is>
      </c>
      <c r="C777" s="76" t="inlineStr">
        <is>
          <t>Magneton abilities</t>
        </is>
      </c>
      <c r="D777" s="76" t="inlineStr">
        <is>
          <t>Magnet Pull / Sturdy / Analytic</t>
        </is>
      </c>
      <c r="E777" s="76" t="inlineStr">
        <is>
          <t>Magnet Pull / Magnet Pull / Analytic</t>
        </is>
      </c>
      <c r="F777" s="76" t="inlineStr">
        <is>
          <t>Differs from upstream baseline</t>
        </is>
      </c>
      <c r="G777" s="76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6" t="inlineStr">
        <is>
          <t>2026-09-30</t>
        </is>
      </c>
      <c r="B779" s="76" t="inlineStr">
        <is>
          <t>Abilities</t>
        </is>
      </c>
      <c r="C779" s="76" t="inlineStr">
        <is>
          <t>Makuhita abilities</t>
        </is>
      </c>
      <c r="D779" s="76" t="inlineStr">
        <is>
          <t>Thick Fat / Guts / Sheer Force</t>
        </is>
      </c>
      <c r="E779" s="76" t="inlineStr">
        <is>
          <t>Guts / Guts / Sheer Force</t>
        </is>
      </c>
      <c r="F779" s="76" t="inlineStr">
        <is>
          <t>Differs from upstream baseline</t>
        </is>
      </c>
      <c r="G779" s="76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6" t="inlineStr">
        <is>
          <t>2026-09-30</t>
        </is>
      </c>
      <c r="B781" s="76" t="inlineStr">
        <is>
          <t>Pokemon Stats</t>
        </is>
      </c>
      <c r="C781" s="76" t="inlineStr">
        <is>
          <t>Malamar baseAttack</t>
        </is>
      </c>
      <c r="D781" s="76" t="n">
        <v>92</v>
      </c>
      <c r="E781" s="76" t="n">
        <v>102</v>
      </c>
      <c r="F781" s="76" t="inlineStr">
        <is>
          <t>Differs from upstream baseline</t>
        </is>
      </c>
      <c r="G781" s="76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6" t="inlineStr">
        <is>
          <t>2026-09-30</t>
        </is>
      </c>
      <c r="B783" s="76" t="inlineStr">
        <is>
          <t>Pokemon Stats</t>
        </is>
      </c>
      <c r="C783" s="76" t="inlineStr">
        <is>
          <t>Mamoswine baseSpDefense</t>
        </is>
      </c>
      <c r="D783" s="76" t="n">
        <v>60</v>
      </c>
      <c r="E783" s="76" t="n">
        <v>80</v>
      </c>
      <c r="F783" s="76" t="inlineStr">
        <is>
          <t>Differs from upstream baseline</t>
        </is>
      </c>
      <c r="G783" s="76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6" t="inlineStr">
        <is>
          <t>2026-09-30</t>
        </is>
      </c>
      <c r="B785" s="76" t="inlineStr">
        <is>
          <t>Abilities</t>
        </is>
      </c>
      <c r="C785" s="76" t="inlineStr">
        <is>
          <t>Manectric abilities</t>
        </is>
      </c>
      <c r="D785" s="76" t="inlineStr">
        <is>
          <t>Static / Lightning Rod / Minus</t>
        </is>
      </c>
      <c r="E785" s="76" t="inlineStr">
        <is>
          <t>Lightning Rod / Lightning Rod / Minus</t>
        </is>
      </c>
      <c r="F785" s="76" t="inlineStr">
        <is>
          <t>Differs from upstream baseline</t>
        </is>
      </c>
      <c r="G785" s="76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6" t="inlineStr">
        <is>
          <t>2026-09-30</t>
        </is>
      </c>
      <c r="B787" s="76" t="inlineStr">
        <is>
          <t>Pokemon Stats</t>
        </is>
      </c>
      <c r="C787" s="76" t="inlineStr">
        <is>
          <t>Mantine baseDefense</t>
        </is>
      </c>
      <c r="D787" s="76" t="n">
        <v>70</v>
      </c>
      <c r="E787" s="76" t="n">
        <v>80</v>
      </c>
      <c r="F787" s="76" t="inlineStr">
        <is>
          <t>Differs from upstream baseline</t>
        </is>
      </c>
      <c r="G787" s="76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6" t="inlineStr">
        <is>
          <t>2026-09-30</t>
        </is>
      </c>
      <c r="B789" s="76" t="inlineStr">
        <is>
          <t>Abilities</t>
        </is>
      </c>
      <c r="C789" s="76" t="inlineStr">
        <is>
          <t>Mantyke abilities</t>
        </is>
      </c>
      <c r="D789" s="76" t="inlineStr">
        <is>
          <t>Swift Swim / Water Absorb / Water Veil</t>
        </is>
      </c>
      <c r="E789" s="76" t="inlineStr">
        <is>
          <t>Swift Swim / Swift Swim / Water Veil</t>
        </is>
      </c>
      <c r="F789" s="76" t="inlineStr">
        <is>
          <t>Differs from upstream baseline</t>
        </is>
      </c>
      <c r="G789" s="76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6" t="inlineStr">
        <is>
          <t>2026-09-30</t>
        </is>
      </c>
      <c r="B791" s="76" t="inlineStr">
        <is>
          <t>Pokemon Stats</t>
        </is>
      </c>
      <c r="C791" s="76" t="inlineStr">
        <is>
          <t>Maractus baseHP</t>
        </is>
      </c>
      <c r="D791" s="76" t="n">
        <v>75</v>
      </c>
      <c r="E791" s="76" t="n">
        <v>90</v>
      </c>
      <c r="F791" s="76" t="inlineStr">
        <is>
          <t>Differs from upstream baseline</t>
        </is>
      </c>
      <c r="G791" s="76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6" t="inlineStr">
        <is>
          <t>2026-09-30</t>
        </is>
      </c>
      <c r="B793" s="76" t="inlineStr">
        <is>
          <t>Pokemon Stats</t>
        </is>
      </c>
      <c r="C793" s="76" t="inlineStr">
        <is>
          <t>Maractus baseDefense</t>
        </is>
      </c>
      <c r="D793" s="76" t="n">
        <v>67</v>
      </c>
      <c r="E793" s="76" t="n">
        <v>92</v>
      </c>
      <c r="F793" s="76" t="inlineStr">
        <is>
          <t>Differs from upstream baseline</t>
        </is>
      </c>
      <c r="G793" s="76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6" t="inlineStr">
        <is>
          <t>2026-09-30</t>
        </is>
      </c>
      <c r="B795" s="76" t="inlineStr">
        <is>
          <t>Pokemon Stats</t>
        </is>
      </c>
      <c r="C795" s="76" t="inlineStr">
        <is>
          <t>Maractus baseSpDefense</t>
        </is>
      </c>
      <c r="D795" s="76" t="n">
        <v>67</v>
      </c>
      <c r="E795" s="76" t="n">
        <v>74</v>
      </c>
      <c r="F795" s="76" t="inlineStr">
        <is>
          <t>Differs from upstream baseline</t>
        </is>
      </c>
      <c r="G795" s="76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6" t="inlineStr">
        <is>
          <t>2026-09-30</t>
        </is>
      </c>
      <c r="B797" s="76" t="inlineStr">
        <is>
          <t>Abilities</t>
        </is>
      </c>
      <c r="C797" s="76" t="inlineStr">
        <is>
          <t>Maractus abilities</t>
        </is>
      </c>
      <c r="D797" s="76" t="inlineStr">
        <is>
          <t>Water Absorb / Chlorophyll / Storm Drain</t>
        </is>
      </c>
      <c r="E797" s="76" t="inlineStr">
        <is>
          <t>Water Absorb / Storm Drain / Chlorophyll</t>
        </is>
      </c>
      <c r="F797" s="76" t="inlineStr">
        <is>
          <t>Differs from upstream baseline</t>
        </is>
      </c>
      <c r="G797" s="76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6" t="inlineStr">
        <is>
          <t>2026-09-30</t>
        </is>
      </c>
      <c r="B799" s="76" t="inlineStr">
        <is>
          <t>Abilities</t>
        </is>
      </c>
      <c r="C799" s="76" t="inlineStr">
        <is>
          <t>Marill abilities</t>
        </is>
      </c>
      <c r="D799" s="76" t="inlineStr">
        <is>
          <t>Thick Fat / Huge Power / Sap Sipper</t>
        </is>
      </c>
      <c r="E799" s="76" t="inlineStr">
        <is>
          <t>Huge Power / Huge Power / Sap Sipper</t>
        </is>
      </c>
      <c r="F799" s="76" t="inlineStr">
        <is>
          <t>Differs from upstream baseline</t>
        </is>
      </c>
      <c r="G799" s="76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6" t="inlineStr">
        <is>
          <t>2026-09-30</t>
        </is>
      </c>
      <c r="B801" s="76" t="inlineStr">
        <is>
          <t>Abilities</t>
        </is>
      </c>
      <c r="C801" s="76" t="inlineStr">
        <is>
          <t>Marowak abilities</t>
        </is>
      </c>
      <c r="D801" s="76" t="inlineStr">
        <is>
          <t>Cursed Body / Lightning Rod / Rock Head</t>
        </is>
      </c>
      <c r="E801" s="76" t="inlineStr">
        <is>
          <t>Lightning Rod / Rock Head / Rock Head</t>
        </is>
      </c>
      <c r="F801" s="76" t="inlineStr">
        <is>
          <t>Differs from upstream baseline</t>
        </is>
      </c>
      <c r="G801" s="76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6" t="inlineStr">
        <is>
          <t>2026-09-30</t>
        </is>
      </c>
      <c r="B803" s="76" t="inlineStr">
        <is>
          <t>Abilities</t>
        </is>
      </c>
      <c r="C803" s="76" t="inlineStr">
        <is>
          <t>Marshtomp abilities</t>
        </is>
      </c>
      <c r="D803" s="76" t="inlineStr">
        <is>
          <t>Torrent / Damp</t>
        </is>
      </c>
      <c r="E803" s="76" t="inlineStr">
        <is>
          <t>Torrent / Torrent / Damp</t>
        </is>
      </c>
      <c r="F803" s="76" t="inlineStr">
        <is>
          <t>Differs from upstream baseline</t>
        </is>
      </c>
      <c r="G803" s="76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6" t="inlineStr">
        <is>
          <t>2026-09-30</t>
        </is>
      </c>
      <c r="B805" s="76" t="inlineStr">
        <is>
          <t>Pokemon Stats</t>
        </is>
      </c>
      <c r="C805" s="76" t="inlineStr">
        <is>
          <t>Masquerain baseSpeed</t>
        </is>
      </c>
      <c r="D805" s="76" t="n">
        <v>80</v>
      </c>
      <c r="E805" s="76" t="n">
        <v>60</v>
      </c>
      <c r="F805" s="76" t="inlineStr">
        <is>
          <t>Differs from upstream baseline</t>
        </is>
      </c>
      <c r="G805" s="76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6" t="inlineStr">
        <is>
          <t>2026-09-30</t>
        </is>
      </c>
      <c r="B807" s="76" t="inlineStr">
        <is>
          <t>Abilities</t>
        </is>
      </c>
      <c r="C807" s="76" t="inlineStr">
        <is>
          <t>Mawile abilities</t>
        </is>
      </c>
      <c r="D807" s="76" t="inlineStr">
        <is>
          <t>Hyper Cutter / Intimidate / Sheer Force</t>
        </is>
      </c>
      <c r="E807" s="76" t="inlineStr">
        <is>
          <t>Intimidate / Intimidate / Sheer Force</t>
        </is>
      </c>
      <c r="F807" s="76" t="inlineStr">
        <is>
          <t>Differs from upstream baseline</t>
        </is>
      </c>
      <c r="G807" s="76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6" t="inlineStr">
        <is>
          <t>2026-09-30</t>
        </is>
      </c>
      <c r="B809" s="76" t="inlineStr">
        <is>
          <t>Pokemon Stats</t>
        </is>
      </c>
      <c r="C809" s="76" t="inlineStr">
        <is>
          <t>Medicham baseAttack</t>
        </is>
      </c>
      <c r="D809" s="76" t="n">
        <v>60</v>
      </c>
      <c r="E809" s="76" t="n">
        <v>75</v>
      </c>
      <c r="F809" s="76" t="inlineStr">
        <is>
          <t>Differs from upstream baseline</t>
        </is>
      </c>
      <c r="G809" s="76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6" t="inlineStr">
        <is>
          <t>2026-09-30</t>
        </is>
      </c>
      <c r="B811" s="76" t="inlineStr">
        <is>
          <t>Pokemon Stats</t>
        </is>
      </c>
      <c r="C811" s="76" t="inlineStr">
        <is>
          <t>Meditite baseAttack</t>
        </is>
      </c>
      <c r="D811" s="76" t="n">
        <v>40</v>
      </c>
      <c r="E811" s="76" t="n">
        <v>45</v>
      </c>
      <c r="F811" s="76" t="inlineStr">
        <is>
          <t>Differs from upstream baseline</t>
        </is>
      </c>
      <c r="G811" s="76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6" t="inlineStr">
        <is>
          <t>2026-09-30</t>
        </is>
      </c>
      <c r="B813" s="76" t="inlineStr">
        <is>
          <t>Pokemon Stats</t>
        </is>
      </c>
      <c r="C813" s="76" t="inlineStr">
        <is>
          <t>Meganium baseAttack</t>
        </is>
      </c>
      <c r="D813" s="76" t="n">
        <v>82</v>
      </c>
      <c r="E813" s="76" t="n">
        <v>89</v>
      </c>
      <c r="F813" s="76" t="inlineStr">
        <is>
          <t>Differs from upstream baseline</t>
        </is>
      </c>
      <c r="G813" s="76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6" t="inlineStr">
        <is>
          <t>2026-09-30</t>
        </is>
      </c>
      <c r="B815" s="76" t="inlineStr">
        <is>
          <t>Pokemon Stats</t>
        </is>
      </c>
      <c r="C815" s="76" t="inlineStr">
        <is>
          <t>Meganium baseSpAttack</t>
        </is>
      </c>
      <c r="D815" s="76" t="n">
        <v>83</v>
      </c>
      <c r="E815" s="76" t="n">
        <v>100</v>
      </c>
      <c r="F815" s="76" t="inlineStr">
        <is>
          <t>Differs from upstream baseline</t>
        </is>
      </c>
      <c r="G815" s="76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6" t="inlineStr">
        <is>
          <t>2026-09-30</t>
        </is>
      </c>
      <c r="B817" s="76" t="inlineStr">
        <is>
          <t>Abilities</t>
        </is>
      </c>
      <c r="C817" s="76" t="inlineStr">
        <is>
          <t>Meganium abilities</t>
        </is>
      </c>
      <c r="D817" s="76" t="inlineStr">
        <is>
          <t>Overgrow / Leaf Guard</t>
        </is>
      </c>
      <c r="E817" s="76" t="inlineStr">
        <is>
          <t>Thick Fat / Leaf Guard</t>
        </is>
      </c>
      <c r="F817" s="76" t="inlineStr">
        <is>
          <t>Differs from upstream baseline</t>
        </is>
      </c>
      <c r="G817" s="76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6" t="inlineStr">
        <is>
          <t>2026-09-30</t>
        </is>
      </c>
      <c r="B819" s="76" t="inlineStr">
        <is>
          <t>Pokemon Stats</t>
        </is>
      </c>
      <c r="C819" s="76" t="inlineStr">
        <is>
          <t>Meloetta baseSpAttack</t>
        </is>
      </c>
      <c r="D819" s="76" t="n">
        <v>128</v>
      </c>
      <c r="E819" s="76" t="n">
        <v>150</v>
      </c>
      <c r="F819" s="76" t="inlineStr">
        <is>
          <t>Differs from upstream baseline</t>
        </is>
      </c>
      <c r="G819" s="76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6" t="inlineStr">
        <is>
          <t>2026-09-30</t>
        </is>
      </c>
      <c r="B821" s="76" t="inlineStr">
        <is>
          <t>Pokemon Stats</t>
        </is>
      </c>
      <c r="C821" s="76" t="inlineStr">
        <is>
          <t>Meloetta baseAttack</t>
        </is>
      </c>
      <c r="D821" s="76" t="n">
        <v>128</v>
      </c>
      <c r="E821" s="76" t="n">
        <v>150</v>
      </c>
      <c r="F821" s="76" t="inlineStr">
        <is>
          <t>Differs from upstream baseline</t>
        </is>
      </c>
      <c r="G821" s="76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6" t="inlineStr">
        <is>
          <t>2026-09-30</t>
        </is>
      </c>
      <c r="B823" s="76" t="inlineStr">
        <is>
          <t>Pokemon Stats</t>
        </is>
      </c>
      <c r="C823" s="76" t="inlineStr">
        <is>
          <t>Meloetta baseSpeed</t>
        </is>
      </c>
      <c r="D823" s="76" t="n">
        <v>128</v>
      </c>
      <c r="E823" s="76" t="n">
        <v>146</v>
      </c>
      <c r="F823" s="76" t="inlineStr">
        <is>
          <t>Differs from upstream baseline</t>
        </is>
      </c>
      <c r="G823" s="76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6" t="inlineStr">
        <is>
          <t>2026-09-30</t>
        </is>
      </c>
      <c r="B825" s="76" t="inlineStr">
        <is>
          <t>Pokemon Stats</t>
        </is>
      </c>
      <c r="C825" s="76" t="inlineStr">
        <is>
          <t>Meowstic baseSpAttack</t>
        </is>
      </c>
      <c r="D825" s="76" t="n">
        <v>83</v>
      </c>
      <c r="E825" s="76" t="n">
        <v>103</v>
      </c>
      <c r="F825" s="76" t="inlineStr">
        <is>
          <t>Differs from upstream baseline</t>
        </is>
      </c>
      <c r="G825" s="76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6" t="inlineStr">
        <is>
          <t>2026-09-30</t>
        </is>
      </c>
      <c r="B827" s="76" t="inlineStr">
        <is>
          <t>Abilities</t>
        </is>
      </c>
      <c r="C827" s="76" t="inlineStr">
        <is>
          <t>Meowth abilities</t>
        </is>
      </c>
      <c r="D827" s="76" t="inlineStr">
        <is>
          <t>Pickup / Technician / Unnerve</t>
        </is>
      </c>
      <c r="E827" s="76" t="inlineStr">
        <is>
          <t>Super Luck / Limber / Unnerve</t>
        </is>
      </c>
      <c r="F827" s="76" t="inlineStr">
        <is>
          <t>Differs from upstream baseline</t>
        </is>
      </c>
      <c r="G827" s="76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6" t="inlineStr">
        <is>
          <t>2026-09-30</t>
        </is>
      </c>
      <c r="B829" s="76" t="inlineStr">
        <is>
          <t>Pokemon Stats</t>
        </is>
      </c>
      <c r="C829" s="76" t="inlineStr">
        <is>
          <t>Meowth baseAttack</t>
        </is>
      </c>
      <c r="D829" s="76" t="n">
        <v>35</v>
      </c>
      <c r="E829" s="76" t="n">
        <v>37</v>
      </c>
      <c r="F829" s="76" t="inlineStr">
        <is>
          <t>Differs from upstream baseline</t>
        </is>
      </c>
      <c r="G829" s="76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6" t="inlineStr">
        <is>
          <t>2026-09-30</t>
        </is>
      </c>
      <c r="B831" s="76" t="inlineStr">
        <is>
          <t>Pokemon Stats</t>
        </is>
      </c>
      <c r="C831" s="76" t="inlineStr">
        <is>
          <t>Meowth baseSpDefense</t>
        </is>
      </c>
      <c r="D831" s="76" t="n">
        <v>40</v>
      </c>
      <c r="E831" s="76" t="n">
        <v>44</v>
      </c>
      <c r="F831" s="76" t="inlineStr">
        <is>
          <t>Differs from upstream baseline</t>
        </is>
      </c>
      <c r="G831" s="76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6" t="inlineStr">
        <is>
          <t>2026-09-30</t>
        </is>
      </c>
      <c r="B833" s="76" t="inlineStr">
        <is>
          <t>Pokemon Stats</t>
        </is>
      </c>
      <c r="C833" s="76" t="inlineStr">
        <is>
          <t>Meowth baseSpAttack</t>
        </is>
      </c>
      <c r="D833" s="76" t="n">
        <v>40</v>
      </c>
      <c r="E833" s="76" t="n">
        <v>41</v>
      </c>
      <c r="F833" s="76" t="inlineStr">
        <is>
          <t>Differs from upstream baseline</t>
        </is>
      </c>
      <c r="G833" s="76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6" t="inlineStr">
        <is>
          <t>2026-09-30</t>
        </is>
      </c>
      <c r="B835" s="76" t="inlineStr">
        <is>
          <t>Pokemon Stats</t>
        </is>
      </c>
      <c r="C835" s="76" t="inlineStr">
        <is>
          <t>Meowth baseSpeed</t>
        </is>
      </c>
      <c r="D835" s="76" t="n">
        <v>40</v>
      </c>
      <c r="E835" s="76" t="n">
        <v>48</v>
      </c>
      <c r="F835" s="76" t="inlineStr">
        <is>
          <t>Differs from upstream baseline</t>
        </is>
      </c>
      <c r="G835" s="76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6" t="inlineStr">
        <is>
          <t>2026-09-30</t>
        </is>
      </c>
      <c r="B837" s="76" t="inlineStr">
        <is>
          <t>Pokemon Stats</t>
        </is>
      </c>
      <c r="C837" s="76" t="inlineStr">
        <is>
          <t>Mesprit baseDefense</t>
        </is>
      </c>
      <c r="D837" s="76" t="n">
        <v>105</v>
      </c>
      <c r="E837" s="76" t="n">
        <v>110</v>
      </c>
      <c r="F837" s="76" t="inlineStr">
        <is>
          <t>Differs from upstream baseline</t>
        </is>
      </c>
      <c r="G837" s="76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6" t="inlineStr">
        <is>
          <t>2026-09-30</t>
        </is>
      </c>
      <c r="B839" s="76" t="inlineStr">
        <is>
          <t>Pokemon Stats</t>
        </is>
      </c>
      <c r="C839" s="76" t="inlineStr">
        <is>
          <t>Mesprit baseSpDefense</t>
        </is>
      </c>
      <c r="D839" s="76" t="n">
        <v>105</v>
      </c>
      <c r="E839" s="76" t="n">
        <v>110</v>
      </c>
      <c r="F839" s="76" t="inlineStr">
        <is>
          <t>Differs from upstream baseline</t>
        </is>
      </c>
      <c r="G839" s="76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6" t="inlineStr">
        <is>
          <t>2026-09-30</t>
        </is>
      </c>
      <c r="B841" s="76" t="inlineStr">
        <is>
          <t>Pokemon Stats</t>
        </is>
      </c>
      <c r="C841" s="76" t="inlineStr">
        <is>
          <t>Metagross baseSpAttack</t>
        </is>
      </c>
      <c r="D841" s="76" t="n">
        <v>95</v>
      </c>
      <c r="E841" s="76" t="n">
        <v>100</v>
      </c>
      <c r="F841" s="76" t="inlineStr">
        <is>
          <t>Differs from upstream baseline</t>
        </is>
      </c>
      <c r="G841" s="76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6" t="inlineStr">
        <is>
          <t>2026-09-30</t>
        </is>
      </c>
      <c r="B843" s="76" t="inlineStr">
        <is>
          <t>Pokemon Stats</t>
        </is>
      </c>
      <c r="C843" s="76" t="inlineStr">
        <is>
          <t>Metang baseAttack</t>
        </is>
      </c>
      <c r="D843" s="76" t="n">
        <v>75</v>
      </c>
      <c r="E843" s="76" t="n">
        <v>85</v>
      </c>
      <c r="F843" s="76" t="inlineStr">
        <is>
          <t>Differs from upstream baseline</t>
        </is>
      </c>
      <c r="G843" s="76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6" t="inlineStr">
        <is>
          <t>2026-09-30</t>
        </is>
      </c>
      <c r="B845" s="76" t="inlineStr">
        <is>
          <t>Abilities</t>
        </is>
      </c>
      <c r="C845" s="76" t="inlineStr">
        <is>
          <t>Mew abilities</t>
        </is>
      </c>
      <c r="D845" s="76" t="inlineStr">
        <is>
          <t>Synchronize</t>
        </is>
      </c>
      <c r="E845" s="76" t="inlineStr">
        <is>
          <t>Simple / Magic Guard</t>
        </is>
      </c>
      <c r="F845" s="76" t="inlineStr">
        <is>
          <t>Differs from upstream baseline</t>
        </is>
      </c>
      <c r="G845" s="76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6" t="inlineStr">
        <is>
          <t>2026-09-30</t>
        </is>
      </c>
      <c r="B847" s="76" t="inlineStr">
        <is>
          <t>Evolutions</t>
        </is>
      </c>
      <c r="C847" s="76" t="inlineStr">
        <is>
          <t>Mienfoo evolution</t>
        </is>
      </c>
      <c r="D847" s="76" t="inlineStr">
        <is>
          <t>Lv 50 -&gt; Mienshao</t>
        </is>
      </c>
      <c r="E847" s="76" t="inlineStr">
        <is>
          <t>Lv 46 -&gt; Mienshao</t>
        </is>
      </c>
      <c r="F847" s="76" t="inlineStr">
        <is>
          <t>Differs from upstream baseline</t>
        </is>
      </c>
      <c r="G847" s="76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6" t="inlineStr">
        <is>
          <t>2026-09-30</t>
        </is>
      </c>
      <c r="B849" s="76" t="inlineStr">
        <is>
          <t>Pokemon Stats</t>
        </is>
      </c>
      <c r="C849" s="76" t="inlineStr">
        <is>
          <t>Mightyena baseSpDefense</t>
        </is>
      </c>
      <c r="D849" s="76" t="n">
        <v>60</v>
      </c>
      <c r="E849" s="76" t="n">
        <v>70</v>
      </c>
      <c r="F849" s="76" t="inlineStr">
        <is>
          <t>Differs from upstream baseline</t>
        </is>
      </c>
      <c r="G849" s="76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6" t="inlineStr">
        <is>
          <t>2026-09-30</t>
        </is>
      </c>
      <c r="B851" s="76" t="inlineStr">
        <is>
          <t>Abilities</t>
        </is>
      </c>
      <c r="C851" s="76" t="inlineStr">
        <is>
          <t>Milotic abilities</t>
        </is>
      </c>
      <c r="D851" s="76" t="inlineStr">
        <is>
          <t>Marvel Scale / Competitive / Cute Charm</t>
        </is>
      </c>
      <c r="E851" s="76" t="inlineStr">
        <is>
          <t>Filter / Marvel Scale / Cute Charm</t>
        </is>
      </c>
      <c r="F851" s="76" t="inlineStr">
        <is>
          <t>Differs from upstream baseline</t>
        </is>
      </c>
      <c r="G851" s="76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6" t="inlineStr">
        <is>
          <t>2026-09-30</t>
        </is>
      </c>
      <c r="B853" s="76" t="inlineStr">
        <is>
          <t>Abilities</t>
        </is>
      </c>
      <c r="C853" s="76" t="inlineStr">
        <is>
          <t>Miltank abilities</t>
        </is>
      </c>
      <c r="D853" s="76" t="inlineStr">
        <is>
          <t>Thick Fat / Scrappy / Sap Sipper</t>
        </is>
      </c>
      <c r="E853" s="76" t="inlineStr">
        <is>
          <t>Scrappy / Scrappy / Sap Sipper</t>
        </is>
      </c>
      <c r="F853" s="76" t="inlineStr">
        <is>
          <t>Differs from upstream baseline</t>
        </is>
      </c>
      <c r="G853" s="76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6" t="inlineStr">
        <is>
          <t>2026-09-30</t>
        </is>
      </c>
      <c r="B855" s="76" t="inlineStr">
        <is>
          <t>Pokemon Stats</t>
        </is>
      </c>
      <c r="C855" s="76" t="inlineStr">
        <is>
          <t>Minccino baseAttack</t>
        </is>
      </c>
      <c r="D855" s="76" t="n">
        <v>50</v>
      </c>
      <c r="E855" s="76" t="n">
        <v>51</v>
      </c>
      <c r="F855" s="76" t="inlineStr">
        <is>
          <t>Differs from upstream baseline</t>
        </is>
      </c>
      <c r="G855" s="76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6" t="inlineStr">
        <is>
          <t>2026-09-30</t>
        </is>
      </c>
      <c r="B857" s="76" t="inlineStr">
        <is>
          <t>Pokemon Stats</t>
        </is>
      </c>
      <c r="C857" s="76" t="inlineStr">
        <is>
          <t>Minccino baseSpDefense</t>
        </is>
      </c>
      <c r="D857" s="76" t="n">
        <v>40</v>
      </c>
      <c r="E857" s="76" t="n">
        <v>42</v>
      </c>
      <c r="F857" s="76" t="inlineStr">
        <is>
          <t>Differs from upstream baseline</t>
        </is>
      </c>
      <c r="G857" s="76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6" t="inlineStr">
        <is>
          <t>2026-09-30</t>
        </is>
      </c>
      <c r="B859" s="76" t="inlineStr">
        <is>
          <t>Pokemon Stats</t>
        </is>
      </c>
      <c r="C859" s="76" t="inlineStr">
        <is>
          <t>Moltres baseSpDefense</t>
        </is>
      </c>
      <c r="D859" s="76" t="n">
        <v>85</v>
      </c>
      <c r="E859" s="76" t="n">
        <v>105</v>
      </c>
      <c r="F859" s="76" t="inlineStr">
        <is>
          <t>Differs from upstream baseline</t>
        </is>
      </c>
      <c r="G859" s="76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6" t="inlineStr">
        <is>
          <t>2026-09-30</t>
        </is>
      </c>
      <c r="B861" s="76" t="inlineStr">
        <is>
          <t>Abilities</t>
        </is>
      </c>
      <c r="C861" s="76" t="inlineStr">
        <is>
          <t>Monferno abilities</t>
        </is>
      </c>
      <c r="D861" s="76" t="inlineStr">
        <is>
          <t>Blaze / Iron Fist</t>
        </is>
      </c>
      <c r="E861" s="76" t="inlineStr">
        <is>
          <t>Blaze / Blaze / Iron Fist</t>
        </is>
      </c>
      <c r="F861" s="76" t="inlineStr">
        <is>
          <t>Differs from upstream baseline</t>
        </is>
      </c>
      <c r="G861" s="76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6" t="inlineStr">
        <is>
          <t>2026-09-30</t>
        </is>
      </c>
      <c r="B863" s="76" t="inlineStr">
        <is>
          <t>Pokemon Stats</t>
        </is>
      </c>
      <c r="C863" s="76" t="inlineStr">
        <is>
          <t>Mr. Mime baseAttack</t>
        </is>
      </c>
      <c r="D863" s="76" t="n">
        <v>45</v>
      </c>
      <c r="E863" s="76" t="n">
        <v>25</v>
      </c>
      <c r="F863" s="76" t="inlineStr">
        <is>
          <t>Differs from upstream baseline</t>
        </is>
      </c>
      <c r="G863" s="76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6" t="inlineStr">
        <is>
          <t>2026-09-30</t>
        </is>
      </c>
      <c r="B865" s="76" t="inlineStr">
        <is>
          <t>Abilities</t>
        </is>
      </c>
      <c r="C865" s="76" t="inlineStr">
        <is>
          <t>Mr. Mime abilities</t>
        </is>
      </c>
      <c r="D865" s="76" t="inlineStr">
        <is>
          <t>Soundproof / Filter / Technician</t>
        </is>
      </c>
      <c r="E865" s="76" t="inlineStr">
        <is>
          <t>Filter / Filter / Technician</t>
        </is>
      </c>
      <c r="F865" s="76" t="inlineStr">
        <is>
          <t>Differs from upstream baseline</t>
        </is>
      </c>
      <c r="G865" s="76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6" t="inlineStr">
        <is>
          <t>2026-09-30</t>
        </is>
      </c>
      <c r="B867" s="76" t="inlineStr">
        <is>
          <t>Abilities</t>
        </is>
      </c>
      <c r="C867" s="76" t="inlineStr">
        <is>
          <t>Mudkip abilities</t>
        </is>
      </c>
      <c r="D867" s="76" t="inlineStr">
        <is>
          <t>Torrent / Damp</t>
        </is>
      </c>
      <c r="E867" s="76" t="inlineStr">
        <is>
          <t>Huge Power / Huge Power / Damp</t>
        </is>
      </c>
      <c r="F867" s="76" t="inlineStr">
        <is>
          <t>Differs from upstream baseline</t>
        </is>
      </c>
      <c r="G867" s="76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6" t="inlineStr">
        <is>
          <t>2026-09-30</t>
        </is>
      </c>
      <c r="B869" s="76" t="inlineStr">
        <is>
          <t>Abilities</t>
        </is>
      </c>
      <c r="C869" s="76" t="inlineStr">
        <is>
          <t>Muk abilities</t>
        </is>
      </c>
      <c r="D869" s="76" t="inlineStr">
        <is>
          <t>Poison Touch / Gluttony / Power Of Alchemy</t>
        </is>
      </c>
      <c r="E869" s="76" t="inlineStr">
        <is>
          <t>Aftermath / Aftermath / Power Of Alchemy</t>
        </is>
      </c>
      <c r="F869" s="76" t="inlineStr">
        <is>
          <t>Differs from upstream baseline</t>
        </is>
      </c>
      <c r="G869" s="76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6" t="inlineStr">
        <is>
          <t>2026-09-30</t>
        </is>
      </c>
      <c r="B871" s="76" t="inlineStr">
        <is>
          <t>Evolutions</t>
        </is>
      </c>
      <c r="C871" s="76" t="inlineStr">
        <is>
          <t>Munchlax evolution</t>
        </is>
      </c>
      <c r="D871" s="76" t="inlineStr">
        <is>
          <t>Friendship -&gt; Snorlax</t>
        </is>
      </c>
      <c r="E871" s="76" t="inlineStr">
        <is>
          <t>Lv 70 -&gt; Snorlax</t>
        </is>
      </c>
      <c r="F871" s="76" t="inlineStr">
        <is>
          <t>Differs from upstream baseline</t>
        </is>
      </c>
      <c r="G871" s="76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6" t="inlineStr">
        <is>
          <t>2026-09-30</t>
        </is>
      </c>
      <c r="B873" s="76" t="inlineStr">
        <is>
          <t>Pokemon Stats</t>
        </is>
      </c>
      <c r="C873" s="76" t="inlineStr">
        <is>
          <t>Munna baseDefense</t>
        </is>
      </c>
      <c r="D873" s="76" t="n">
        <v>45</v>
      </c>
      <c r="E873" s="76" t="n">
        <v>47</v>
      </c>
      <c r="F873" s="76" t="inlineStr">
        <is>
          <t>Differs from upstream baseline</t>
        </is>
      </c>
      <c r="G873" s="76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6" t="inlineStr">
        <is>
          <t>2026-09-30</t>
        </is>
      </c>
      <c r="B875" s="76" t="inlineStr">
        <is>
          <t>Abilities</t>
        </is>
      </c>
      <c r="C875" s="76" t="inlineStr">
        <is>
          <t>Murkrow abilities</t>
        </is>
      </c>
      <c r="D875" s="76" t="inlineStr">
        <is>
          <t>Insomnia / Super Luck / Prankster</t>
        </is>
      </c>
      <c r="E875" s="76" t="inlineStr">
        <is>
          <t>Super Luck / Super Luck / Prankster</t>
        </is>
      </c>
      <c r="F875" s="76" t="inlineStr">
        <is>
          <t>Differs from upstream baseline</t>
        </is>
      </c>
      <c r="G875" s="76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6" t="inlineStr">
        <is>
          <t>2026-09-30</t>
        </is>
      </c>
      <c r="B877" s="76" t="inlineStr">
        <is>
          <t>Pokemon Stats</t>
        </is>
      </c>
      <c r="C877" s="76" t="inlineStr">
        <is>
          <t>Musharna baseAttack</t>
        </is>
      </c>
      <c r="D877" s="76" t="n">
        <v>55</v>
      </c>
      <c r="E877" s="76" t="n">
        <v>30</v>
      </c>
      <c r="F877" s="76" t="inlineStr">
        <is>
          <t>Differs from upstream baseline</t>
        </is>
      </c>
      <c r="G877" s="76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6" t="inlineStr">
        <is>
          <t>2026-09-30</t>
        </is>
      </c>
      <c r="B879" s="76" t="inlineStr">
        <is>
          <t>Pokemon Stats</t>
        </is>
      </c>
      <c r="C879" s="76" t="inlineStr">
        <is>
          <t>Musharna baseSpAttack</t>
        </is>
      </c>
      <c r="D879" s="76" t="n">
        <v>107</v>
      </c>
      <c r="E879" s="76" t="n">
        <v>132</v>
      </c>
      <c r="F879" s="76" t="inlineStr">
        <is>
          <t>Differs from upstream baseline</t>
        </is>
      </c>
      <c r="G879" s="76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6" t="inlineStr">
        <is>
          <t>2026-09-30</t>
        </is>
      </c>
      <c r="B881" s="76" t="inlineStr">
        <is>
          <t>Abilities</t>
        </is>
      </c>
      <c r="C881" s="76" t="inlineStr">
        <is>
          <t>Natu abilities</t>
        </is>
      </c>
      <c r="D881" s="76" t="inlineStr">
        <is>
          <t>Synchronize / Early Bird / Magic Bounce</t>
        </is>
      </c>
      <c r="E881" s="76" t="inlineStr">
        <is>
          <t>Magic Guard / Magic Guard / Magic Bounce</t>
        </is>
      </c>
      <c r="F881" s="76" t="inlineStr">
        <is>
          <t>Differs from upstream baseline</t>
        </is>
      </c>
      <c r="G881" s="76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6" t="inlineStr">
        <is>
          <t>2026-09-30</t>
        </is>
      </c>
      <c r="B883" s="76" t="inlineStr">
        <is>
          <t>Pokemon Stats</t>
        </is>
      </c>
      <c r="C883" s="76" t="inlineStr">
        <is>
          <t>Nidoking baseSpAttack</t>
        </is>
      </c>
      <c r="D883" s="76" t="n">
        <v>85</v>
      </c>
      <c r="E883" s="76" t="n">
        <v>95</v>
      </c>
      <c r="F883" s="76" t="inlineStr">
        <is>
          <t>Differs from upstream baseline</t>
        </is>
      </c>
      <c r="G883" s="76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6" t="inlineStr">
        <is>
          <t>2026-09-30</t>
        </is>
      </c>
      <c r="B885" s="76" t="inlineStr">
        <is>
          <t>Abilities</t>
        </is>
      </c>
      <c r="C885" s="76" t="inlineStr">
        <is>
          <t>Nidoking abilities</t>
        </is>
      </c>
      <c r="D885" s="76" t="inlineStr">
        <is>
          <t>Poison Point / Rivalry / Sheer Force</t>
        </is>
      </c>
      <c r="E885" s="76" t="inlineStr">
        <is>
          <t>Mold Breaker / Mold Breaker / Sheer Force</t>
        </is>
      </c>
      <c r="F885" s="76" t="inlineStr">
        <is>
          <t>Differs from upstream baseline</t>
        </is>
      </c>
      <c r="G885" s="76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6" t="inlineStr">
        <is>
          <t>2026-09-30</t>
        </is>
      </c>
      <c r="B887" s="76" t="inlineStr">
        <is>
          <t>Pokemon Stats</t>
        </is>
      </c>
      <c r="C887" s="76" t="inlineStr">
        <is>
          <t>Nidoqueen baseSpAttack</t>
        </is>
      </c>
      <c r="D887" s="76" t="n">
        <v>75</v>
      </c>
      <c r="E887" s="76" t="n">
        <v>85</v>
      </c>
      <c r="F887" s="76" t="inlineStr">
        <is>
          <t>Differs from upstream baseline</t>
        </is>
      </c>
      <c r="G887" s="76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6" t="inlineStr">
        <is>
          <t>2026-09-30</t>
        </is>
      </c>
      <c r="B889" s="76" t="inlineStr">
        <is>
          <t>Abilities</t>
        </is>
      </c>
      <c r="C889" s="76" t="inlineStr">
        <is>
          <t>Nidoqueen abilities</t>
        </is>
      </c>
      <c r="D889" s="76" t="inlineStr">
        <is>
          <t>Poison Point / Rivalry / Sheer Force</t>
        </is>
      </c>
      <c r="E889" s="76" t="inlineStr">
        <is>
          <t>Battle Armor / Battle Armor / Sheer Force</t>
        </is>
      </c>
      <c r="F889" s="76" t="inlineStr">
        <is>
          <t>Differs from upstream baseline</t>
        </is>
      </c>
      <c r="G889" s="76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6" t="inlineStr">
        <is>
          <t>2026-09-30</t>
        </is>
      </c>
      <c r="B891" s="76" t="inlineStr">
        <is>
          <t>Pokemon Stats</t>
        </is>
      </c>
      <c r="C891" s="76" t="inlineStr">
        <is>
          <t>Ninetales baseAttack</t>
        </is>
      </c>
      <c r="D891" s="76" t="n">
        <v>76</v>
      </c>
      <c r="E891" s="76" t="n">
        <v>89</v>
      </c>
      <c r="F891" s="76" t="inlineStr">
        <is>
          <t>Differs from upstream baseline</t>
        </is>
      </c>
      <c r="G891" s="76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6" t="inlineStr">
        <is>
          <t>2026-09-30</t>
        </is>
      </c>
      <c r="B893" s="76" t="inlineStr">
        <is>
          <t>Pokemon Stats</t>
        </is>
      </c>
      <c r="C893" s="76" t="inlineStr">
        <is>
          <t>Ninetales baseSpAttack</t>
        </is>
      </c>
      <c r="D893" s="76" t="n">
        <v>81</v>
      </c>
      <c r="E893" s="76" t="n">
        <v>109</v>
      </c>
      <c r="F893" s="76" t="inlineStr">
        <is>
          <t>Differs from upstream baseline</t>
        </is>
      </c>
      <c r="G893" s="76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6" t="inlineStr">
        <is>
          <t>2026-09-30</t>
        </is>
      </c>
      <c r="B895" s="76" t="inlineStr">
        <is>
          <t>Abilities</t>
        </is>
      </c>
      <c r="C895" s="76" t="inlineStr">
        <is>
          <t>Ninetales abilities</t>
        </is>
      </c>
      <c r="D895" s="76" t="inlineStr">
        <is>
          <t>Flash Fire / Drought</t>
        </is>
      </c>
      <c r="E895" s="76" t="inlineStr">
        <is>
          <t>Magic Guard / Magic Bounce</t>
        </is>
      </c>
      <c r="F895" s="76" t="inlineStr">
        <is>
          <t>Differs from upstream baseline</t>
        </is>
      </c>
      <c r="G895" s="76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6" t="inlineStr">
        <is>
          <t>2026-09-30</t>
        </is>
      </c>
      <c r="B897" s="76" t="inlineStr">
        <is>
          <t>Pokemon Stats</t>
        </is>
      </c>
      <c r="C897" s="76" t="inlineStr">
        <is>
          <t>Ninjask baseAttack</t>
        </is>
      </c>
      <c r="D897" s="76" t="n">
        <v>90</v>
      </c>
      <c r="E897" s="76" t="n">
        <v>100</v>
      </c>
      <c r="F897" s="76" t="inlineStr">
        <is>
          <t>Differs from upstream baseline</t>
        </is>
      </c>
      <c r="G897" s="76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6" t="inlineStr">
        <is>
          <t>2026-09-30</t>
        </is>
      </c>
      <c r="B899" s="76" t="inlineStr">
        <is>
          <t>Abilities</t>
        </is>
      </c>
      <c r="C899" s="76" t="inlineStr">
        <is>
          <t>Noctowl abilities</t>
        </is>
      </c>
      <c r="D899" s="76" t="inlineStr">
        <is>
          <t>Insomnia / Keen Eye / Tinted Lens</t>
        </is>
      </c>
      <c r="E899" s="76" t="inlineStr">
        <is>
          <t>Tinted Lens / Tinted Lens / Tinted Lens</t>
        </is>
      </c>
      <c r="F899" s="76" t="inlineStr">
        <is>
          <t>Differs from upstream baseline</t>
        </is>
      </c>
      <c r="G899" s="76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6" t="inlineStr">
        <is>
          <t>2026-09-30</t>
        </is>
      </c>
      <c r="B901" s="76" t="inlineStr">
        <is>
          <t>Pokemon Stats</t>
        </is>
      </c>
      <c r="C901" s="76" t="inlineStr">
        <is>
          <t>Noibat baseAttack</t>
        </is>
      </c>
      <c r="D901" s="76" t="n">
        <v>30</v>
      </c>
      <c r="E901" s="76" t="n">
        <v>39</v>
      </c>
      <c r="F901" s="76" t="inlineStr">
        <is>
          <t>Differs from upstream baseline</t>
        </is>
      </c>
      <c r="G901" s="76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6" t="inlineStr">
        <is>
          <t>2026-09-30</t>
        </is>
      </c>
      <c r="B903" s="76" t="inlineStr">
        <is>
          <t>Pokemon Stats</t>
        </is>
      </c>
      <c r="C903" s="76" t="inlineStr">
        <is>
          <t>Noibat baseSpDefense</t>
        </is>
      </c>
      <c r="D903" s="76" t="n">
        <v>40</v>
      </c>
      <c r="E903" s="76" t="n">
        <v>54</v>
      </c>
      <c r="F903" s="76" t="inlineStr">
        <is>
          <t>Differs from upstream baseline</t>
        </is>
      </c>
      <c r="G903" s="76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6" t="inlineStr">
        <is>
          <t>2026-09-30</t>
        </is>
      </c>
      <c r="B905" s="76" t="inlineStr">
        <is>
          <t>Pokemon Stats</t>
        </is>
      </c>
      <c r="C905" s="76" t="inlineStr">
        <is>
          <t>Noivern baseSpAttack</t>
        </is>
      </c>
      <c r="D905" s="76" t="n">
        <v>97</v>
      </c>
      <c r="E905" s="76" t="n">
        <v>107</v>
      </c>
      <c r="F905" s="76" t="inlineStr">
        <is>
          <t>Differs from upstream baseline</t>
        </is>
      </c>
      <c r="G905" s="76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6" t="inlineStr">
        <is>
          <t>2026-09-30</t>
        </is>
      </c>
      <c r="B907" s="76" t="inlineStr">
        <is>
          <t>Abilities</t>
        </is>
      </c>
      <c r="C907" s="76" t="inlineStr">
        <is>
          <t>Numel abilities</t>
        </is>
      </c>
      <c r="D907" s="76" t="inlineStr">
        <is>
          <t>Oblivious / Simple / Own Tempo</t>
        </is>
      </c>
      <c r="E907" s="76" t="inlineStr">
        <is>
          <t>Drought / Simple / Own Tempo</t>
        </is>
      </c>
      <c r="F907" s="76" t="inlineStr">
        <is>
          <t>Differs from upstream baseline</t>
        </is>
      </c>
      <c r="G907" s="76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6" t="inlineStr">
        <is>
          <t>2026-09-30</t>
        </is>
      </c>
      <c r="B909" s="76" t="inlineStr">
        <is>
          <t>Pokemon Stats</t>
        </is>
      </c>
      <c r="C909" s="76" t="inlineStr">
        <is>
          <t>Octillery baseHP</t>
        </is>
      </c>
      <c r="D909" s="76" t="n">
        <v>75</v>
      </c>
      <c r="E909" s="76" t="n">
        <v>84</v>
      </c>
      <c r="F909" s="76" t="inlineStr">
        <is>
          <t>Differs from upstream baseline</t>
        </is>
      </c>
      <c r="G909" s="76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6" t="inlineStr">
        <is>
          <t>2026-09-30</t>
        </is>
      </c>
      <c r="B911" s="76" t="inlineStr">
        <is>
          <t>Pokemon Stats</t>
        </is>
      </c>
      <c r="C911" s="76" t="inlineStr">
        <is>
          <t>Octillery baseDefense</t>
        </is>
      </c>
      <c r="D911" s="76" t="n">
        <v>75</v>
      </c>
      <c r="E911" s="76" t="n">
        <v>88</v>
      </c>
      <c r="F911" s="76" t="inlineStr">
        <is>
          <t>Differs from upstream baseline</t>
        </is>
      </c>
      <c r="G911" s="76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6" t="inlineStr">
        <is>
          <t>2026-09-30</t>
        </is>
      </c>
      <c r="B913" s="76" t="inlineStr">
        <is>
          <t>Pokemon Stats</t>
        </is>
      </c>
      <c r="C913" s="76" t="inlineStr">
        <is>
          <t>Octillery baseSpDefense</t>
        </is>
      </c>
      <c r="D913" s="76" t="n">
        <v>75</v>
      </c>
      <c r="E913" s="76" t="n">
        <v>88</v>
      </c>
      <c r="F913" s="76" t="inlineStr">
        <is>
          <t>Differs from upstream baseline</t>
        </is>
      </c>
      <c r="G913" s="76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6" t="inlineStr">
        <is>
          <t>2026-09-30</t>
        </is>
      </c>
      <c r="B915" s="76" t="inlineStr">
        <is>
          <t>Abilities</t>
        </is>
      </c>
      <c r="C915" s="76" t="inlineStr">
        <is>
          <t>Octillery abilities</t>
        </is>
      </c>
      <c r="D915" s="76" t="inlineStr">
        <is>
          <t>Suction Cups / Sniper / Moody</t>
        </is>
      </c>
      <c r="E915" s="76" t="inlineStr">
        <is>
          <t>Rock Head / Rock Head / Moody</t>
        </is>
      </c>
      <c r="F915" s="76" t="inlineStr">
        <is>
          <t>Differs from upstream baseline</t>
        </is>
      </c>
      <c r="G915" s="76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6" t="inlineStr">
        <is>
          <t>2026-09-30</t>
        </is>
      </c>
      <c r="B917" s="76" t="inlineStr">
        <is>
          <t>Pokemon Stats</t>
        </is>
      </c>
      <c r="C917" s="76" t="inlineStr">
        <is>
          <t>Onix baseAttack</t>
        </is>
      </c>
      <c r="D917" s="76" t="n">
        <v>45</v>
      </c>
      <c r="E917" s="76" t="n">
        <v>80</v>
      </c>
      <c r="F917" s="76" t="inlineStr">
        <is>
          <t>Differs from upstream baseline</t>
        </is>
      </c>
      <c r="G917" s="76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6" t="inlineStr">
        <is>
          <t>2026-09-30</t>
        </is>
      </c>
      <c r="B919" s="76" t="inlineStr">
        <is>
          <t>Pokemon Stats</t>
        </is>
      </c>
      <c r="C919" s="76" t="inlineStr">
        <is>
          <t>Onix baseSpDefense</t>
        </is>
      </c>
      <c r="D919" s="76" t="n">
        <v>45</v>
      </c>
      <c r="E919" s="76" t="n">
        <v>55</v>
      </c>
      <c r="F919" s="76" t="inlineStr">
        <is>
          <t>Differs from upstream baseline</t>
        </is>
      </c>
      <c r="G919" s="76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6" t="inlineStr">
        <is>
          <t>2026-09-30</t>
        </is>
      </c>
      <c r="B921" s="76" t="inlineStr">
        <is>
          <t>Pokemon Stats</t>
        </is>
      </c>
      <c r="C921" s="76" t="inlineStr">
        <is>
          <t>Overqwil baseAttack</t>
        </is>
      </c>
      <c r="D921" s="76" t="n">
        <v>115</v>
      </c>
      <c r="E921" s="76" t="n">
        <v>134</v>
      </c>
      <c r="F921" s="76" t="inlineStr">
        <is>
          <t>Differs from upstream baseline</t>
        </is>
      </c>
      <c r="G921" s="76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6" t="inlineStr">
        <is>
          <t>2026-09-30</t>
        </is>
      </c>
      <c r="B923" s="76" t="inlineStr">
        <is>
          <t>Pokemon Stats</t>
        </is>
      </c>
      <c r="C923" s="76" t="inlineStr">
        <is>
          <t>Overqwil baseSpeed</t>
        </is>
      </c>
      <c r="D923" s="76" t="n">
        <v>85</v>
      </c>
      <c r="E923" s="76" t="n">
        <v>101</v>
      </c>
      <c r="F923" s="76" t="inlineStr">
        <is>
          <t>Differs from upstream baseline</t>
        </is>
      </c>
      <c r="G923" s="76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6" t="inlineStr">
        <is>
          <t>2026-09-30</t>
        </is>
      </c>
      <c r="B925" s="76" t="inlineStr">
        <is>
          <t>Pokemon Stats</t>
        </is>
      </c>
      <c r="C925" s="76" t="inlineStr">
        <is>
          <t>Pachirisu baseSpAttack</t>
        </is>
      </c>
      <c r="D925" s="76" t="n">
        <v>45</v>
      </c>
      <c r="E925" s="76" t="n">
        <v>65</v>
      </c>
      <c r="F925" s="76" t="inlineStr">
        <is>
          <t>Differs from upstream baseline</t>
        </is>
      </c>
      <c r="G925" s="76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6" t="inlineStr">
        <is>
          <t>2026-09-30</t>
        </is>
      </c>
      <c r="B927" s="76" t="inlineStr">
        <is>
          <t>Pokemon Stats</t>
        </is>
      </c>
      <c r="C927" s="76" t="inlineStr">
        <is>
          <t>Pancham baseAttack</t>
        </is>
      </c>
      <c r="D927" s="76" t="n">
        <v>82</v>
      </c>
      <c r="E927" s="76" t="n">
        <v>98</v>
      </c>
      <c r="F927" s="76" t="inlineStr">
        <is>
          <t>Differs from upstream baseline</t>
        </is>
      </c>
      <c r="G927" s="76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6" t="inlineStr">
        <is>
          <t>2026-09-30</t>
        </is>
      </c>
      <c r="B929" s="76" t="inlineStr">
        <is>
          <t>Evolutions</t>
        </is>
      </c>
      <c r="C929" s="76" t="inlineStr">
        <is>
          <t>Pancham evolution</t>
        </is>
      </c>
      <c r="D929" s="76" t="inlineStr">
        <is>
          <t>Level Dark Type Mon In Party 32 -&gt; Pangoro</t>
        </is>
      </c>
      <c r="E929" s="76" t="inlineStr">
        <is>
          <t>Lv 32 -&gt; Pangoro</t>
        </is>
      </c>
      <c r="F929" s="76" t="inlineStr">
        <is>
          <t>Differs from upstream baseline</t>
        </is>
      </c>
      <c r="G929" s="76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6" t="inlineStr">
        <is>
          <t>2026-09-30</t>
        </is>
      </c>
      <c r="B931" s="76" t="inlineStr">
        <is>
          <t>Pokemon Stats</t>
        </is>
      </c>
      <c r="C931" s="76" t="inlineStr">
        <is>
          <t>Pangoro baseSpAttack</t>
        </is>
      </c>
      <c r="D931" s="76" t="n">
        <v>69</v>
      </c>
      <c r="E931" s="76" t="n">
        <v>30</v>
      </c>
      <c r="F931" s="76" t="inlineStr">
        <is>
          <t>Differs from upstream baseline</t>
        </is>
      </c>
      <c r="G931" s="76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6" t="inlineStr">
        <is>
          <t>2026-09-30</t>
        </is>
      </c>
      <c r="B933" s="76" t="inlineStr">
        <is>
          <t>Abilities</t>
        </is>
      </c>
      <c r="C933" s="76" t="inlineStr">
        <is>
          <t>Paras abilities</t>
        </is>
      </c>
      <c r="D933" s="76" t="inlineStr">
        <is>
          <t>Effect Spore / Dry Skin / Damp</t>
        </is>
      </c>
      <c r="E933" s="76" t="inlineStr">
        <is>
          <t>Dry Skin / Dry Skin / Damp</t>
        </is>
      </c>
      <c r="F933" s="76" t="inlineStr">
        <is>
          <t>Differs from upstream baseline</t>
        </is>
      </c>
      <c r="G933" s="76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6" t="inlineStr">
        <is>
          <t>2026-09-30</t>
        </is>
      </c>
      <c r="B935" s="76" t="inlineStr">
        <is>
          <t>Pokemon Stats</t>
        </is>
      </c>
      <c r="C935" s="76" t="inlineStr">
        <is>
          <t>Patrat baseHP</t>
        </is>
      </c>
      <c r="D935" s="76" t="n">
        <v>45</v>
      </c>
      <c r="E935" s="76" t="n">
        <v>51</v>
      </c>
      <c r="F935" s="76" t="inlineStr">
        <is>
          <t>Differs from upstream baseline</t>
        </is>
      </c>
      <c r="G935" s="76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6" t="inlineStr">
        <is>
          <t>2026-09-30</t>
        </is>
      </c>
      <c r="B937" s="76" t="inlineStr">
        <is>
          <t>Pokemon Stats</t>
        </is>
      </c>
      <c r="C937" s="76" t="inlineStr">
        <is>
          <t>Patrat baseSpAttack</t>
        </is>
      </c>
      <c r="D937" s="76" t="n">
        <v>35</v>
      </c>
      <c r="E937" s="76" t="n">
        <v>38</v>
      </c>
      <c r="F937" s="76" t="inlineStr">
        <is>
          <t>Differs from upstream baseline</t>
        </is>
      </c>
      <c r="G937" s="76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6" t="inlineStr">
        <is>
          <t>2026-09-30</t>
        </is>
      </c>
      <c r="B939" s="76" t="inlineStr">
        <is>
          <t>Pokemon Stats</t>
        </is>
      </c>
      <c r="C939" s="76" t="inlineStr">
        <is>
          <t>Patrat baseSpeed</t>
        </is>
      </c>
      <c r="D939" s="76" t="n">
        <v>42</v>
      </c>
      <c r="E939" s="76" t="n">
        <v>57</v>
      </c>
      <c r="F939" s="76" t="inlineStr">
        <is>
          <t>Differs from upstream baseline</t>
        </is>
      </c>
      <c r="G939" s="76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6" t="inlineStr">
        <is>
          <t>2026-09-30</t>
        </is>
      </c>
      <c r="B941" s="76" t="inlineStr">
        <is>
          <t>Pokemon Stats</t>
        </is>
      </c>
      <c r="C941" s="76" t="inlineStr">
        <is>
          <t>Pawniard baseSpAttack</t>
        </is>
      </c>
      <c r="D941" s="76" t="n">
        <v>40</v>
      </c>
      <c r="E941" s="76" t="n">
        <v>30</v>
      </c>
      <c r="F941" s="76" t="inlineStr">
        <is>
          <t>Differs from upstream baseline</t>
        </is>
      </c>
      <c r="G941" s="76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6" t="inlineStr">
        <is>
          <t>2026-09-30</t>
        </is>
      </c>
      <c r="B943" s="76" t="inlineStr">
        <is>
          <t>Evolutions</t>
        </is>
      </c>
      <c r="C943" s="76" t="inlineStr">
        <is>
          <t>Pawniard evolution</t>
        </is>
      </c>
      <c r="D943" s="76" t="inlineStr">
        <is>
          <t>Lv 52 -&gt; Bisharp</t>
        </is>
      </c>
      <c r="E943" s="76" t="inlineStr">
        <is>
          <t>Lv 44 -&gt; Bisharp</t>
        </is>
      </c>
      <c r="F943" s="76" t="inlineStr">
        <is>
          <t>Differs from upstream baseline</t>
        </is>
      </c>
      <c r="G943" s="76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6" t="inlineStr">
        <is>
          <t>2026-09-30</t>
        </is>
      </c>
      <c r="B945" s="76" t="inlineStr">
        <is>
          <t>Abilities</t>
        </is>
      </c>
      <c r="C945" s="76" t="inlineStr">
        <is>
          <t>Pelipper abilities</t>
        </is>
      </c>
      <c r="D945" s="76" t="inlineStr">
        <is>
          <t>Keen Eye / Drizzle / Rain Dish</t>
        </is>
      </c>
      <c r="E945" s="76" t="inlineStr">
        <is>
          <t>Unburden / Rain Dish</t>
        </is>
      </c>
      <c r="F945" s="76" t="inlineStr">
        <is>
          <t>Differs from upstream baseline</t>
        </is>
      </c>
      <c r="G945" s="76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6" t="inlineStr">
        <is>
          <t>2026-09-30</t>
        </is>
      </c>
      <c r="B947" s="76" t="inlineStr">
        <is>
          <t>Pokemon Stats</t>
        </is>
      </c>
      <c r="C947" s="76" t="inlineStr">
        <is>
          <t>Perrserker baseSpAttack</t>
        </is>
      </c>
      <c r="D947" s="76" t="n">
        <v>50</v>
      </c>
      <c r="E947" s="76" t="n">
        <v>30</v>
      </c>
      <c r="F947" s="76" t="inlineStr">
        <is>
          <t>Differs from upstream baseline</t>
        </is>
      </c>
      <c r="G947" s="76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6" t="inlineStr">
        <is>
          <t>2026-09-30</t>
        </is>
      </c>
      <c r="B949" s="76" t="inlineStr">
        <is>
          <t>Pokemon Stats</t>
        </is>
      </c>
      <c r="C949" s="76" t="inlineStr">
        <is>
          <t>Perrserker baseSpeed</t>
        </is>
      </c>
      <c r="D949" s="76" t="n">
        <v>50</v>
      </c>
      <c r="E949" s="76" t="n">
        <v>72</v>
      </c>
      <c r="F949" s="76" t="inlineStr">
        <is>
          <t>Differs from upstream baseline</t>
        </is>
      </c>
      <c r="G949" s="76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6" t="inlineStr">
        <is>
          <t>2026-09-30</t>
        </is>
      </c>
      <c r="B951" s="76" t="inlineStr">
        <is>
          <t>Abilities</t>
        </is>
      </c>
      <c r="C951" s="76" t="inlineStr">
        <is>
          <t>Persian abilities</t>
        </is>
      </c>
      <c r="D951" s="76" t="inlineStr">
        <is>
          <t>Limber / Technician / Unnerve</t>
        </is>
      </c>
      <c r="E951" s="76" t="inlineStr">
        <is>
          <t>Super Luck / Limber / Unnerve</t>
        </is>
      </c>
      <c r="F951" s="76" t="inlineStr">
        <is>
          <t>Differs from upstream baseline</t>
        </is>
      </c>
      <c r="G951" s="76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6" t="inlineStr">
        <is>
          <t>2026-09-30</t>
        </is>
      </c>
      <c r="B953" s="76" t="inlineStr">
        <is>
          <t>Pokemon Stats</t>
        </is>
      </c>
      <c r="C953" s="76" t="inlineStr">
        <is>
          <t>Persian baseAttack</t>
        </is>
      </c>
      <c r="D953" s="76" t="n">
        <v>60</v>
      </c>
      <c r="E953" s="76" t="n">
        <v>64</v>
      </c>
      <c r="F953" s="76" t="inlineStr">
        <is>
          <t>Differs from upstream baseline</t>
        </is>
      </c>
      <c r="G953" s="76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6" t="inlineStr">
        <is>
          <t>2026-09-30</t>
        </is>
      </c>
      <c r="B955" s="76" t="inlineStr">
        <is>
          <t>Pokemon Stats</t>
        </is>
      </c>
      <c r="C955" s="76" t="inlineStr">
        <is>
          <t>Persian baseSpAttack</t>
        </is>
      </c>
      <c r="D955" s="76" t="n">
        <v>75</v>
      </c>
      <c r="E955" s="76" t="n">
        <v>78</v>
      </c>
      <c r="F955" s="76" t="inlineStr">
        <is>
          <t>Differs from upstream baseline</t>
        </is>
      </c>
      <c r="G955" s="76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6" t="inlineStr">
        <is>
          <t>2026-09-30</t>
        </is>
      </c>
      <c r="B957" s="76" t="inlineStr">
        <is>
          <t>Pokemon Stats</t>
        </is>
      </c>
      <c r="C957" s="76" t="inlineStr">
        <is>
          <t>Petilil baseHP</t>
        </is>
      </c>
      <c r="D957" s="76" t="n">
        <v>45</v>
      </c>
      <c r="E957" s="76" t="n">
        <v>49</v>
      </c>
      <c r="F957" s="76" t="inlineStr">
        <is>
          <t>Differs from upstream baseline</t>
        </is>
      </c>
      <c r="G957" s="76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6" t="inlineStr">
        <is>
          <t>2026-09-30</t>
        </is>
      </c>
      <c r="B959" s="76" t="inlineStr">
        <is>
          <t>Pokemon Stats</t>
        </is>
      </c>
      <c r="C959" s="76" t="inlineStr">
        <is>
          <t>Petilil baseSpAttack</t>
        </is>
      </c>
      <c r="D959" s="76" t="n">
        <v>70</v>
      </c>
      <c r="E959" s="76" t="n">
        <v>74</v>
      </c>
      <c r="F959" s="76" t="inlineStr">
        <is>
          <t>Differs from upstream baseline</t>
        </is>
      </c>
      <c r="G959" s="76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6" t="inlineStr">
        <is>
          <t>2026-09-30</t>
        </is>
      </c>
      <c r="B961" s="76" t="inlineStr">
        <is>
          <t>Abilities</t>
        </is>
      </c>
      <c r="C961" s="76" t="inlineStr">
        <is>
          <t>Phanpy abilities</t>
        </is>
      </c>
      <c r="D961" s="76" t="inlineStr">
        <is>
          <t>Pickup / Sand Veil</t>
        </is>
      </c>
      <c r="E961" s="76" t="inlineStr">
        <is>
          <t>Dry Skin / Sand Veil</t>
        </is>
      </c>
      <c r="F961" s="76" t="inlineStr">
        <is>
          <t>Differs from upstream baseline</t>
        </is>
      </c>
      <c r="G961" s="76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6" t="inlineStr">
        <is>
          <t>2026-09-30</t>
        </is>
      </c>
      <c r="B963" s="76" t="inlineStr">
        <is>
          <t>Pokemon Stats</t>
        </is>
      </c>
      <c r="C963" s="76" t="inlineStr">
        <is>
          <t>Phione baseDefense</t>
        </is>
      </c>
      <c r="D963" s="76" t="n">
        <v>80</v>
      </c>
      <c r="E963" s="76" t="n">
        <v>90</v>
      </c>
      <c r="F963" s="76" t="inlineStr">
        <is>
          <t>Differs from upstream baseline</t>
        </is>
      </c>
      <c r="G963" s="76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6" t="inlineStr">
        <is>
          <t>2026-09-30</t>
        </is>
      </c>
      <c r="B965" s="76" t="inlineStr">
        <is>
          <t>Pokemon Stats</t>
        </is>
      </c>
      <c r="C965" s="76" t="inlineStr">
        <is>
          <t>Phione baseSpDefense</t>
        </is>
      </c>
      <c r="D965" s="76" t="n">
        <v>80</v>
      </c>
      <c r="E965" s="76" t="n">
        <v>90</v>
      </c>
      <c r="F965" s="76" t="inlineStr">
        <is>
          <t>Differs from upstream baseline</t>
        </is>
      </c>
      <c r="G965" s="76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6" t="inlineStr">
        <is>
          <t>2026-09-30</t>
        </is>
      </c>
      <c r="B967" s="76" t="inlineStr">
        <is>
          <t>Pokemon Stats</t>
        </is>
      </c>
      <c r="C967" s="76" t="inlineStr">
        <is>
          <t>Pidgeot baseAttack</t>
        </is>
      </c>
      <c r="D967" s="76" t="n">
        <v>80</v>
      </c>
      <c r="E967" s="76" t="n">
        <v>100</v>
      </c>
      <c r="F967" s="76" t="inlineStr">
        <is>
          <t>Differs from upstream baseline</t>
        </is>
      </c>
      <c r="G967" s="76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6" t="inlineStr">
        <is>
          <t>2026-09-30</t>
        </is>
      </c>
      <c r="B969" s="76" t="inlineStr">
        <is>
          <t>Abilities</t>
        </is>
      </c>
      <c r="C969" s="76" t="inlineStr">
        <is>
          <t>Pidgeot abilities</t>
        </is>
      </c>
      <c r="D969" s="76" t="inlineStr">
        <is>
          <t>Keen Eye / Tangled Feet / Big Pecks</t>
        </is>
      </c>
      <c r="E969" s="76" t="inlineStr">
        <is>
          <t>Intimidate / Intimidate / Big Pecks</t>
        </is>
      </c>
      <c r="F969" s="76" t="inlineStr">
        <is>
          <t>Differs from upstream baseline</t>
        </is>
      </c>
      <c r="G969" s="76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6" t="inlineStr">
        <is>
          <t>2026-09-30</t>
        </is>
      </c>
      <c r="B971" s="76" t="inlineStr">
        <is>
          <t>Pokemon Stats</t>
        </is>
      </c>
      <c r="C971" s="76" t="inlineStr">
        <is>
          <t>Pidgeot baseSpAttack</t>
        </is>
      </c>
      <c r="D971" s="76" t="n">
        <v>135</v>
      </c>
      <c r="E971" s="76" t="n">
        <v>165</v>
      </c>
      <c r="F971" s="76" t="inlineStr">
        <is>
          <t>Differs from upstream baseline</t>
        </is>
      </c>
      <c r="G971" s="76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6" t="inlineStr">
        <is>
          <t>2026-09-30</t>
        </is>
      </c>
      <c r="B973" s="76" t="inlineStr">
        <is>
          <t>Pokemon Stats</t>
        </is>
      </c>
      <c r="C973" s="76" t="inlineStr">
        <is>
          <t>Pidove baseAttack</t>
        </is>
      </c>
      <c r="D973" s="76" t="n">
        <v>55</v>
      </c>
      <c r="E973" s="76" t="n">
        <v>37</v>
      </c>
      <c r="F973" s="76" t="inlineStr">
        <is>
          <t>Differs from upstream baseline</t>
        </is>
      </c>
      <c r="G973" s="76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6" t="inlineStr">
        <is>
          <t>2026-09-30</t>
        </is>
      </c>
      <c r="B975" s="76" t="inlineStr">
        <is>
          <t>Pokemon Stats</t>
        </is>
      </c>
      <c r="C975" s="76" t="inlineStr">
        <is>
          <t>Pidove baseSpDefense</t>
        </is>
      </c>
      <c r="D975" s="76" t="n">
        <v>30</v>
      </c>
      <c r="E975" s="76" t="n">
        <v>39</v>
      </c>
      <c r="F975" s="76" t="inlineStr">
        <is>
          <t>Differs from upstream baseline</t>
        </is>
      </c>
      <c r="G975" s="76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6" t="inlineStr">
        <is>
          <t>2026-09-30</t>
        </is>
      </c>
      <c r="B977" s="76" t="inlineStr">
        <is>
          <t>Pokemon Stats</t>
        </is>
      </c>
      <c r="C977" s="76" t="inlineStr">
        <is>
          <t>Pikachu baseSpDefense</t>
        </is>
      </c>
      <c r="D977" s="76" t="n">
        <v>50</v>
      </c>
      <c r="E977" s="76" t="n">
        <v>40</v>
      </c>
      <c r="F977" s="76" t="inlineStr">
        <is>
          <t>Differs from upstream baseline</t>
        </is>
      </c>
      <c r="G977" s="76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6" t="inlineStr">
        <is>
          <t>2026-09-30</t>
        </is>
      </c>
      <c r="B979" s="76" t="inlineStr">
        <is>
          <t>Pokemon Stats</t>
        </is>
      </c>
      <c r="C979" s="76" t="inlineStr">
        <is>
          <t>Piloswine baseAttack</t>
        </is>
      </c>
      <c r="D979" s="76" t="n">
        <v>100</v>
      </c>
      <c r="E979" s="76" t="n">
        <v>110</v>
      </c>
      <c r="F979" s="76" t="inlineStr">
        <is>
          <t>Differs from upstream baseline</t>
        </is>
      </c>
      <c r="G979" s="76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6" t="inlineStr">
        <is>
          <t>2026-09-30</t>
        </is>
      </c>
      <c r="B981" s="76" t="inlineStr">
        <is>
          <t>Abilities</t>
        </is>
      </c>
      <c r="C981" s="76" t="inlineStr">
        <is>
          <t>Piloswine abilities</t>
        </is>
      </c>
      <c r="D981" s="76" t="inlineStr">
        <is>
          <t>Oblivious / Snow Cloak / Thick Fat</t>
        </is>
      </c>
      <c r="E981" s="76" t="inlineStr">
        <is>
          <t>Snow Cloak / Snow Cloak / Thick Fat</t>
        </is>
      </c>
      <c r="F981" s="76" t="inlineStr">
        <is>
          <t>Differs from upstream baseline</t>
        </is>
      </c>
      <c r="G981" s="76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6" t="inlineStr">
        <is>
          <t>2026-09-30</t>
        </is>
      </c>
      <c r="B983" s="76" t="inlineStr">
        <is>
          <t>Pokemon Stats</t>
        </is>
      </c>
      <c r="C983" s="76" t="inlineStr">
        <is>
          <t>Piplup baseAttack</t>
        </is>
      </c>
      <c r="D983" s="76" t="n">
        <v>51</v>
      </c>
      <c r="E983" s="76" t="n">
        <v>61</v>
      </c>
      <c r="F983" s="76" t="inlineStr">
        <is>
          <t>Differs from upstream baseline</t>
        </is>
      </c>
      <c r="G983" s="76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6" t="inlineStr">
        <is>
          <t>2026-09-30</t>
        </is>
      </c>
      <c r="B985" s="76" t="inlineStr">
        <is>
          <t>Abilities</t>
        </is>
      </c>
      <c r="C985" s="76" t="inlineStr">
        <is>
          <t>Piplup abilities</t>
        </is>
      </c>
      <c r="D985" s="76" t="inlineStr">
        <is>
          <t>Torrent / Competitive</t>
        </is>
      </c>
      <c r="E985" s="76" t="inlineStr">
        <is>
          <t>Torrent / Torrent / Competitive</t>
        </is>
      </c>
      <c r="F985" s="76" t="inlineStr">
        <is>
          <t>Differs from upstream baseline</t>
        </is>
      </c>
      <c r="G985" s="76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6" t="inlineStr">
        <is>
          <t>2026-09-30</t>
        </is>
      </c>
      <c r="B987" s="76" t="inlineStr">
        <is>
          <t>Pokemon Stats</t>
        </is>
      </c>
      <c r="C987" s="76" t="inlineStr">
        <is>
          <t>Politoed baseSpeed</t>
        </is>
      </c>
      <c r="D987" s="76" t="n">
        <v>70</v>
      </c>
      <c r="E987" s="76" t="n">
        <v>90</v>
      </c>
      <c r="F987" s="76" t="inlineStr">
        <is>
          <t>Differs from upstream baseline</t>
        </is>
      </c>
      <c r="G987" s="76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6" t="inlineStr">
        <is>
          <t>2026-09-30</t>
        </is>
      </c>
      <c r="B989" s="76" t="inlineStr">
        <is>
          <t>Abilities</t>
        </is>
      </c>
      <c r="C989" s="76" t="inlineStr">
        <is>
          <t>Poliwag abilities</t>
        </is>
      </c>
      <c r="D989" s="76" t="inlineStr">
        <is>
          <t>Water Absorb / Damp / Swift Swim</t>
        </is>
      </c>
      <c r="E989" s="76" t="inlineStr">
        <is>
          <t>Swift Swim / Swift Swim / Swift Swim</t>
        </is>
      </c>
      <c r="F989" s="76" t="inlineStr">
        <is>
          <t>Differs from upstream baseline</t>
        </is>
      </c>
      <c r="G989" s="76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6" t="inlineStr">
        <is>
          <t>2026-09-30</t>
        </is>
      </c>
      <c r="B991" s="76" t="inlineStr">
        <is>
          <t>Evolutions</t>
        </is>
      </c>
      <c r="C991" s="76" t="inlineStr">
        <is>
          <t>Poliwhirl evolution</t>
        </is>
      </c>
      <c r="D991" s="76" t="inlineStr">
        <is>
          <t>Item (Water Stone) -&gt; Poliwrath; Trade Item (Kings Rock) -&gt; Politoed; Item (Kings Rock) -&gt; Politoed</t>
        </is>
      </c>
      <c r="E991" s="76" t="inlineStr">
        <is>
          <t>Item (Water Stone) -&gt; Poliwrath; Lv 36 -&gt; Politoed</t>
        </is>
      </c>
      <c r="F991" s="76" t="inlineStr">
        <is>
          <t>Differs from upstream baseline</t>
        </is>
      </c>
      <c r="G991" s="76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6" t="inlineStr">
        <is>
          <t>2026-09-30</t>
        </is>
      </c>
      <c r="B993" s="76" t="inlineStr">
        <is>
          <t>Abilities</t>
        </is>
      </c>
      <c r="C993" s="76" t="inlineStr">
        <is>
          <t>Poliwrath abilities</t>
        </is>
      </c>
      <c r="D993" s="76" t="inlineStr">
        <is>
          <t>Water Absorb / Damp / Swift Swim</t>
        </is>
      </c>
      <c r="E993" s="76" t="inlineStr">
        <is>
          <t>Swift Swim / Swift Swim / Swift Swim</t>
        </is>
      </c>
      <c r="F993" s="76" t="inlineStr">
        <is>
          <t>Differs from upstream baseline</t>
        </is>
      </c>
      <c r="G993" s="76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6" t="inlineStr">
        <is>
          <t>2026-09-30</t>
        </is>
      </c>
      <c r="B995" s="76" t="inlineStr">
        <is>
          <t>Abilities</t>
        </is>
      </c>
      <c r="C995" s="76" t="inlineStr">
        <is>
          <t>Ponyta abilities</t>
        </is>
      </c>
      <c r="D995" s="76" t="inlineStr">
        <is>
          <t>Run Away / Pastel Veil / Anticipation</t>
        </is>
      </c>
      <c r="E995" s="76" t="inlineStr">
        <is>
          <t>Reckless / Reckless / Anticipation</t>
        </is>
      </c>
      <c r="F995" s="76" t="inlineStr">
        <is>
          <t>Differs from upstream baseline</t>
        </is>
      </c>
      <c r="G995" s="76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6" t="inlineStr">
        <is>
          <t>2026-09-30</t>
        </is>
      </c>
      <c r="B997" s="76" t="inlineStr">
        <is>
          <t>Abilities</t>
        </is>
      </c>
      <c r="C997" s="76" t="inlineStr">
        <is>
          <t>Porygon abilities</t>
        </is>
      </c>
      <c r="D997" s="76" t="inlineStr">
        <is>
          <t>Trace / Download / Analytic</t>
        </is>
      </c>
      <c r="E997" s="76" t="inlineStr">
        <is>
          <t>Download / Download / Analytic</t>
        </is>
      </c>
      <c r="F997" s="76" t="inlineStr">
        <is>
          <t>Differs from upstream baseline</t>
        </is>
      </c>
      <c r="G997" s="76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6" t="inlineStr">
        <is>
          <t>2026-09-30</t>
        </is>
      </c>
      <c r="B999" s="76" t="inlineStr">
        <is>
          <t>Abilities</t>
        </is>
      </c>
      <c r="C999" s="76" t="inlineStr">
        <is>
          <t>Porygon-Z abilities</t>
        </is>
      </c>
      <c r="D999" s="76" t="inlineStr">
        <is>
          <t>Adaptability / Download / Analytic</t>
        </is>
      </c>
      <c r="E999" s="76" t="inlineStr">
        <is>
          <t>Download / Download / Analytic</t>
        </is>
      </c>
      <c r="F999" s="76" t="inlineStr">
        <is>
          <t>Differs from upstream baseline</t>
        </is>
      </c>
      <c r="G999" s="76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6" t="inlineStr">
        <is>
          <t>2026-09-30</t>
        </is>
      </c>
      <c r="B1001" s="76" t="inlineStr">
        <is>
          <t>Pokemon Stats</t>
        </is>
      </c>
      <c r="C1001" s="76" t="inlineStr">
        <is>
          <t>Primeape baseAttack</t>
        </is>
      </c>
      <c r="D1001" s="76" t="n">
        <v>105</v>
      </c>
      <c r="E1001" s="76" t="n">
        <v>115</v>
      </c>
      <c r="F1001" s="76" t="inlineStr">
        <is>
          <t>Differs from upstream baseline</t>
        </is>
      </c>
      <c r="G1001" s="76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6" t="inlineStr">
        <is>
          <t>2026-09-30</t>
        </is>
      </c>
      <c r="B1003" s="76" t="inlineStr">
        <is>
          <t>Pokemon Stats</t>
        </is>
      </c>
      <c r="C1003" s="76" t="inlineStr">
        <is>
          <t>Primeape baseSpAttack</t>
        </is>
      </c>
      <c r="D1003" s="76" t="n">
        <v>60</v>
      </c>
      <c r="E1003" s="76" t="n">
        <v>50</v>
      </c>
      <c r="F1003" s="76" t="inlineStr">
        <is>
          <t>Differs from upstream baseline</t>
        </is>
      </c>
      <c r="G1003" s="76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6" t="inlineStr">
        <is>
          <t>2026-09-30</t>
        </is>
      </c>
      <c r="B1005" s="76" t="inlineStr">
        <is>
          <t>Abilities</t>
        </is>
      </c>
      <c r="C1005" s="76" t="inlineStr">
        <is>
          <t>Primeape abilities</t>
        </is>
      </c>
      <c r="D1005" s="76" t="inlineStr">
        <is>
          <t>Vital Spirit / Anger Point / Defiant</t>
        </is>
      </c>
      <c r="E1005" s="76" t="inlineStr">
        <is>
          <t>Reckless / Reckless / Defiant</t>
        </is>
      </c>
      <c r="F1005" s="76" t="inlineStr">
        <is>
          <t>Differs from upstream baseline</t>
        </is>
      </c>
      <c r="G1005" s="76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6" t="inlineStr">
        <is>
          <t>2026-09-30</t>
        </is>
      </c>
      <c r="B1007" s="76" t="inlineStr">
        <is>
          <t>Pokemon Stats</t>
        </is>
      </c>
      <c r="C1007" s="76" t="inlineStr">
        <is>
          <t>Prinplup baseSpAttack</t>
        </is>
      </c>
      <c r="D1007" s="76" t="n">
        <v>81</v>
      </c>
      <c r="E1007" s="76" t="n">
        <v>66</v>
      </c>
      <c r="F1007" s="76" t="inlineStr">
        <is>
          <t>Differs from upstream baseline</t>
        </is>
      </c>
      <c r="G1007" s="76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6" t="inlineStr">
        <is>
          <t>2026-09-30</t>
        </is>
      </c>
      <c r="B1009" s="76" t="inlineStr">
        <is>
          <t>Pokemon Stats</t>
        </is>
      </c>
      <c r="C1009" s="76" t="inlineStr">
        <is>
          <t>Probopass baseHP</t>
        </is>
      </c>
      <c r="D1009" s="76" t="n">
        <v>60</v>
      </c>
      <c r="E1009" s="76" t="n">
        <v>70</v>
      </c>
      <c r="F1009" s="76" t="inlineStr">
        <is>
          <t>Differs from upstream baseline</t>
        </is>
      </c>
      <c r="G1009" s="76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6" t="inlineStr">
        <is>
          <t>2026-09-30</t>
        </is>
      </c>
      <c r="B1011" s="76" t="inlineStr">
        <is>
          <t>Abilities</t>
        </is>
      </c>
      <c r="C1011" s="76" t="inlineStr">
        <is>
          <t>Probopass abilities</t>
        </is>
      </c>
      <c r="D1011" s="76" t="inlineStr">
        <is>
          <t>Sturdy / Magnet Pull / Sand Force</t>
        </is>
      </c>
      <c r="E1011" s="76" t="inlineStr">
        <is>
          <t>Solid Rock / Solid Rock / Sand Force</t>
        </is>
      </c>
      <c r="F1011" s="76" t="inlineStr">
        <is>
          <t>Differs from upstream baseline</t>
        </is>
      </c>
      <c r="G1011" s="76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6" t="inlineStr">
        <is>
          <t>2026-09-30</t>
        </is>
      </c>
      <c r="B1013" s="76" t="inlineStr">
        <is>
          <t>Abilities</t>
        </is>
      </c>
      <c r="C1013" s="76" t="inlineStr">
        <is>
          <t>Pupitar abilities</t>
        </is>
      </c>
      <c r="D1013" s="76" t="inlineStr">
        <is>
          <t>Shed Skin</t>
        </is>
      </c>
      <c r="E1013" s="76" t="inlineStr">
        <is>
          <t>Shed Skin / Shed Skin</t>
        </is>
      </c>
      <c r="F1013" s="76" t="inlineStr">
        <is>
          <t>Differs from upstream baseline</t>
        </is>
      </c>
      <c r="G1013" s="76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6" t="inlineStr">
        <is>
          <t>2026-09-30</t>
        </is>
      </c>
      <c r="B1015" s="76" t="inlineStr">
        <is>
          <t>Pokemon Stats</t>
        </is>
      </c>
      <c r="C1015" s="76" t="inlineStr">
        <is>
          <t>Purrloin baseAttack</t>
        </is>
      </c>
      <c r="D1015" s="76" t="n">
        <v>50</v>
      </c>
      <c r="E1015" s="76" t="n">
        <v>53</v>
      </c>
      <c r="F1015" s="76" t="inlineStr">
        <is>
          <t>Differs from upstream baseline</t>
        </is>
      </c>
      <c r="G1015" s="76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6" t="inlineStr">
        <is>
          <t>2026-09-30</t>
        </is>
      </c>
      <c r="B1017" s="76" t="inlineStr">
        <is>
          <t>Pokemon Stats</t>
        </is>
      </c>
      <c r="C1017" s="76" t="inlineStr">
        <is>
          <t>Purrloin baseSpDefense</t>
        </is>
      </c>
      <c r="D1017" s="76" t="n">
        <v>37</v>
      </c>
      <c r="E1017" s="76" t="n">
        <v>45</v>
      </c>
      <c r="F1017" s="76" t="inlineStr">
        <is>
          <t>Differs from upstream baseline</t>
        </is>
      </c>
      <c r="G1017" s="76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6" t="inlineStr">
        <is>
          <t>2026-09-30</t>
        </is>
      </c>
      <c r="B1019" s="76" t="inlineStr">
        <is>
          <t>Pokemon Stats</t>
        </is>
      </c>
      <c r="C1019" s="76" t="inlineStr">
        <is>
          <t>Purugly baseDefense</t>
        </is>
      </c>
      <c r="D1019" s="76" t="n">
        <v>64</v>
      </c>
      <c r="E1019" s="76" t="n">
        <v>74</v>
      </c>
      <c r="F1019" s="76" t="inlineStr">
        <is>
          <t>Differs from upstream baseline</t>
        </is>
      </c>
      <c r="G1019" s="76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6" t="inlineStr">
        <is>
          <t>2026-09-30</t>
        </is>
      </c>
      <c r="B1021" s="76" t="inlineStr">
        <is>
          <t>Abilities</t>
        </is>
      </c>
      <c r="C1021" s="76" t="inlineStr">
        <is>
          <t>Purugly abilities</t>
        </is>
      </c>
      <c r="D1021" s="76" t="inlineStr">
        <is>
          <t>Thick Fat / Own Tempo / Defiant</t>
        </is>
      </c>
      <c r="E1021" s="76" t="inlineStr">
        <is>
          <t>Limber / Thick Fat / Defiant</t>
        </is>
      </c>
      <c r="F1021" s="76" t="inlineStr">
        <is>
          <t>Differs from upstream baseline</t>
        </is>
      </c>
      <c r="G1021" s="76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6" t="inlineStr">
        <is>
          <t>2026-09-30</t>
        </is>
      </c>
      <c r="B1023" s="76" t="inlineStr">
        <is>
          <t>Pokemon Stats</t>
        </is>
      </c>
      <c r="C1023" s="76" t="inlineStr">
        <is>
          <t>Pyroar baseSpAttack</t>
        </is>
      </c>
      <c r="D1023" s="76" t="n">
        <v>109</v>
      </c>
      <c r="E1023" s="76" t="n">
        <v>140</v>
      </c>
      <c r="F1023" s="76" t="inlineStr">
        <is>
          <t>Differs from upstream baseline</t>
        </is>
      </c>
      <c r="G1023" s="76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6" t="inlineStr">
        <is>
          <t>2026-09-30</t>
        </is>
      </c>
      <c r="B1025" s="76" t="inlineStr">
        <is>
          <t>Abilities</t>
        </is>
      </c>
      <c r="C1025" s="76" t="inlineStr">
        <is>
          <t>Pyroar abilities</t>
        </is>
      </c>
      <c r="D1025" s="76" t="inlineStr">
        <is>
          <t>Rivalry / Unnerve / Moxie</t>
        </is>
      </c>
      <c r="E1025" s="76" t="inlineStr">
        <is>
          <t>Rivalry / Unnerve / Competitive</t>
        </is>
      </c>
      <c r="F1025" s="76" t="inlineStr">
        <is>
          <t>Differs from upstream baseline</t>
        </is>
      </c>
      <c r="G1025" s="76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6" t="inlineStr">
        <is>
          <t>2026-09-30</t>
        </is>
      </c>
      <c r="B1027" s="76" t="inlineStr">
        <is>
          <t>Pokemon Stats</t>
        </is>
      </c>
      <c r="C1027" s="76" t="inlineStr">
        <is>
          <t>Qwilfish baseHP</t>
        </is>
      </c>
      <c r="D1027" s="76" t="n">
        <v>65</v>
      </c>
      <c r="E1027" s="76" t="n">
        <v>75</v>
      </c>
      <c r="F1027" s="76" t="inlineStr">
        <is>
          <t>Differs from upstream baseline</t>
        </is>
      </c>
      <c r="G1027" s="76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6" t="inlineStr">
        <is>
          <t>2026-09-30</t>
        </is>
      </c>
      <c r="B1029" s="76" t="inlineStr">
        <is>
          <t>Pokemon Stats</t>
        </is>
      </c>
      <c r="C1029" s="76" t="inlineStr">
        <is>
          <t>Qwilfish baseDefense</t>
        </is>
      </c>
      <c r="D1029" s="76" t="n">
        <v>85</v>
      </c>
      <c r="E1029" s="76" t="n">
        <v>95</v>
      </c>
      <c r="F1029" s="76" t="inlineStr">
        <is>
          <t>Differs from upstream baseline</t>
        </is>
      </c>
      <c r="G1029" s="76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6" t="inlineStr">
        <is>
          <t>2026-09-30</t>
        </is>
      </c>
      <c r="B1031" s="76" t="inlineStr">
        <is>
          <t>Pokemon Stats</t>
        </is>
      </c>
      <c r="C1031" s="76" t="inlineStr">
        <is>
          <t>Qwilfish baseSpDefense</t>
        </is>
      </c>
      <c r="D1031" s="76" t="n">
        <v>55</v>
      </c>
      <c r="E1031" s="76" t="n">
        <v>65</v>
      </c>
      <c r="F1031" s="76" t="inlineStr">
        <is>
          <t>Differs from upstream baseline</t>
        </is>
      </c>
      <c r="G1031" s="76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6" t="inlineStr">
        <is>
          <t>2026-09-30</t>
        </is>
      </c>
      <c r="B1033" s="76" t="inlineStr">
        <is>
          <t>Pokemon Stats</t>
        </is>
      </c>
      <c r="C1033" s="76" t="inlineStr">
        <is>
          <t>Raichu baseDefense</t>
        </is>
      </c>
      <c r="D1033" s="76" t="n">
        <v>55</v>
      </c>
      <c r="E1033" s="76" t="n">
        <v>60</v>
      </c>
      <c r="F1033" s="76" t="inlineStr">
        <is>
          <t>Differs from upstream baseline</t>
        </is>
      </c>
      <c r="G1033" s="76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6" t="inlineStr">
        <is>
          <t>2026-09-30</t>
        </is>
      </c>
      <c r="B1035" s="76" t="inlineStr">
        <is>
          <t>Abilities</t>
        </is>
      </c>
      <c r="C1035" s="76" t="inlineStr">
        <is>
          <t>Raichu abilities</t>
        </is>
      </c>
      <c r="D1035" s="76" t="inlineStr">
        <is>
          <t>Static / Lightning Rod</t>
        </is>
      </c>
      <c r="E1035" s="76" t="inlineStr">
        <is>
          <t>Lightning Rod / Lightning Rod</t>
        </is>
      </c>
      <c r="F1035" s="76" t="inlineStr">
        <is>
          <t>Differs from upstream baseline</t>
        </is>
      </c>
      <c r="G1035" s="76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6" t="inlineStr">
        <is>
          <t>2026-09-30</t>
        </is>
      </c>
      <c r="B1037" s="76" t="inlineStr">
        <is>
          <t>Pokemon Stats</t>
        </is>
      </c>
      <c r="C1037" s="76" t="inlineStr">
        <is>
          <t>Raichu baseAttack</t>
        </is>
      </c>
      <c r="D1037" s="76" t="n">
        <v>85</v>
      </c>
      <c r="E1037" s="76" t="n">
        <v>86</v>
      </c>
      <c r="F1037" s="76" t="inlineStr">
        <is>
          <t>Differs from upstream baseline</t>
        </is>
      </c>
      <c r="G1037" s="76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6" t="inlineStr">
        <is>
          <t>2026-09-30</t>
        </is>
      </c>
      <c r="B1039" s="76" t="inlineStr">
        <is>
          <t>Pokemon Stats</t>
        </is>
      </c>
      <c r="C1039" s="76" t="inlineStr">
        <is>
          <t>Raikou baseSpAttack</t>
        </is>
      </c>
      <c r="D1039" s="76" t="n">
        <v>115</v>
      </c>
      <c r="E1039" s="76" t="n">
        <v>135</v>
      </c>
      <c r="F1039" s="76" t="inlineStr">
        <is>
          <t>Differs from upstream baseline</t>
        </is>
      </c>
      <c r="G1039" s="76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6" t="inlineStr">
        <is>
          <t>2026-09-30</t>
        </is>
      </c>
      <c r="B1041" s="76" t="inlineStr">
        <is>
          <t>Pokemon Stats</t>
        </is>
      </c>
      <c r="C1041" s="76" t="inlineStr">
        <is>
          <t>Rampardos baseAttack</t>
        </is>
      </c>
      <c r="D1041" s="76" t="n">
        <v>165</v>
      </c>
      <c r="E1041" s="76" t="n">
        <v>180</v>
      </c>
      <c r="F1041" s="76" t="inlineStr">
        <is>
          <t>Differs from upstream baseline</t>
        </is>
      </c>
      <c r="G1041" s="76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6" t="inlineStr">
        <is>
          <t>2026-09-30</t>
        </is>
      </c>
      <c r="B1043" s="76" t="inlineStr">
        <is>
          <t>Pokemon Stats</t>
        </is>
      </c>
      <c r="C1043" s="76" t="inlineStr">
        <is>
          <t>Rampardos baseSpAttack</t>
        </is>
      </c>
      <c r="D1043" s="76" t="n">
        <v>65</v>
      </c>
      <c r="E1043" s="76" t="n">
        <v>15</v>
      </c>
      <c r="F1043" s="76" t="inlineStr">
        <is>
          <t>Differs from upstream baseline</t>
        </is>
      </c>
      <c r="G1043" s="76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6" t="inlineStr">
        <is>
          <t>2026-09-30</t>
        </is>
      </c>
      <c r="B1045" s="76" t="inlineStr">
        <is>
          <t>Abilities</t>
        </is>
      </c>
      <c r="C1045" s="76" t="inlineStr">
        <is>
          <t>Rampardos abilities</t>
        </is>
      </c>
      <c r="D1045" s="76" t="inlineStr">
        <is>
          <t>Mold Breaker / Sheer Force</t>
        </is>
      </c>
      <c r="E1045" s="76" t="inlineStr">
        <is>
          <t>Rock Head / Mold Breaker / Sheer Force</t>
        </is>
      </c>
      <c r="F1045" s="76" t="inlineStr">
        <is>
          <t>Differs from upstream baseline</t>
        </is>
      </c>
      <c r="G1045" s="76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6" t="inlineStr">
        <is>
          <t>2026-09-30</t>
        </is>
      </c>
      <c r="B1047" s="76" t="inlineStr">
        <is>
          <t>Pokemon Stats</t>
        </is>
      </c>
      <c r="C1047" s="76" t="inlineStr">
        <is>
          <t>Rapidash baseAttack</t>
        </is>
      </c>
      <c r="D1047" s="76" t="n">
        <v>100</v>
      </c>
      <c r="E1047" s="76" t="n">
        <v>105</v>
      </c>
      <c r="F1047" s="76" t="inlineStr">
        <is>
          <t>Differs from upstream baseline</t>
        </is>
      </c>
      <c r="G1047" s="76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6" t="inlineStr">
        <is>
          <t>2026-09-30</t>
        </is>
      </c>
      <c r="B1049" s="76" t="inlineStr">
        <is>
          <t>Pokemon Stats</t>
        </is>
      </c>
      <c r="C1049" s="76" t="inlineStr">
        <is>
          <t>Rapidash baseSpAttack</t>
        </is>
      </c>
      <c r="D1049" s="76" t="n">
        <v>80</v>
      </c>
      <c r="E1049" s="76" t="n">
        <v>85</v>
      </c>
      <c r="F1049" s="76" t="inlineStr">
        <is>
          <t>Differs from upstream baseline</t>
        </is>
      </c>
      <c r="G1049" s="76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6" t="inlineStr">
        <is>
          <t>2026-09-30</t>
        </is>
      </c>
      <c r="B1051" s="76" t="inlineStr">
        <is>
          <t>Pokemon Stats</t>
        </is>
      </c>
      <c r="C1051" s="76" t="inlineStr">
        <is>
          <t>Rapidash baseSpeed</t>
        </is>
      </c>
      <c r="D1051" s="76" t="n">
        <v>105</v>
      </c>
      <c r="E1051" s="76" t="n">
        <v>110</v>
      </c>
      <c r="F1051" s="76" t="inlineStr">
        <is>
          <t>Differs from upstream baseline</t>
        </is>
      </c>
      <c r="G1051" s="76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6" t="inlineStr">
        <is>
          <t>2026-09-30</t>
        </is>
      </c>
      <c r="B1053" s="76" t="inlineStr">
        <is>
          <t>Abilities</t>
        </is>
      </c>
      <c r="C1053" s="76" t="inlineStr">
        <is>
          <t>Rapidash abilities</t>
        </is>
      </c>
      <c r="D1053" s="76" t="inlineStr">
        <is>
          <t>Run Away / Pastel Veil / Anticipation</t>
        </is>
      </c>
      <c r="E1053" s="76" t="inlineStr">
        <is>
          <t>Reckless / Reckless / Anticipation</t>
        </is>
      </c>
      <c r="F1053" s="76" t="inlineStr">
        <is>
          <t>Differs from upstream baseline</t>
        </is>
      </c>
      <c r="G1053" s="76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6" t="inlineStr">
        <is>
          <t>2026-09-30</t>
        </is>
      </c>
      <c r="B1055" s="76" t="inlineStr">
        <is>
          <t>Pokemon Stats</t>
        </is>
      </c>
      <c r="C1055" s="76" t="inlineStr">
        <is>
          <t>Raticate baseAttack</t>
        </is>
      </c>
      <c r="D1055" s="76" t="n">
        <v>71</v>
      </c>
      <c r="E1055" s="76" t="n">
        <v>113</v>
      </c>
      <c r="F1055" s="76" t="inlineStr">
        <is>
          <t>Differs from upstream baseline</t>
        </is>
      </c>
      <c r="G1055" s="76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6" t="inlineStr">
        <is>
          <t>2026-09-30</t>
        </is>
      </c>
      <c r="B1057" s="76" t="inlineStr">
        <is>
          <t>Pokemon Stats</t>
        </is>
      </c>
      <c r="C1057" s="76" t="inlineStr">
        <is>
          <t>Raticate baseSpAttack</t>
        </is>
      </c>
      <c r="D1057" s="76" t="n">
        <v>40</v>
      </c>
      <c r="E1057" s="76" t="n">
        <v>30</v>
      </c>
      <c r="F1057" s="76" t="inlineStr">
        <is>
          <t>Differs from upstream baseline</t>
        </is>
      </c>
      <c r="G1057" s="76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6" t="inlineStr">
        <is>
          <t>2026-09-30</t>
        </is>
      </c>
      <c r="B1059" s="76" t="inlineStr">
        <is>
          <t>Abilities</t>
        </is>
      </c>
      <c r="C1059" s="76" t="inlineStr">
        <is>
          <t>Rattata abilities</t>
        </is>
      </c>
      <c r="D1059" s="76" t="inlineStr">
        <is>
          <t>Run Away / Guts / Hustle</t>
        </is>
      </c>
      <c r="E1059" s="76" t="inlineStr">
        <is>
          <t>Guts / Guts / Hustle</t>
        </is>
      </c>
      <c r="F1059" s="76" t="inlineStr">
        <is>
          <t>Differs from upstream baseline</t>
        </is>
      </c>
      <c r="G1059" s="76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6" t="inlineStr">
        <is>
          <t>2026-09-30</t>
        </is>
      </c>
      <c r="B1061" s="76" t="inlineStr">
        <is>
          <t>Abilities</t>
        </is>
      </c>
      <c r="C1061" s="76" t="inlineStr">
        <is>
          <t>Rayquaza abilities</t>
        </is>
      </c>
      <c r="D1061" s="76" t="inlineStr">
        <is>
          <t>Delta Stream / Delta Stream / Delta Stream</t>
        </is>
      </c>
      <c r="E1061" s="76" t="inlineStr">
        <is>
          <t>Air Lock / Air Lock / Air Lock</t>
        </is>
      </c>
      <c r="F1061" s="76" t="inlineStr">
        <is>
          <t>Differs from upstream baseline</t>
        </is>
      </c>
      <c r="G1061" s="76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6" t="inlineStr">
        <is>
          <t>2026-09-30</t>
        </is>
      </c>
      <c r="B1063" s="76" t="inlineStr">
        <is>
          <t>Abilities</t>
        </is>
      </c>
      <c r="C1063" s="76" t="inlineStr">
        <is>
          <t>Regice abilities</t>
        </is>
      </c>
      <c r="D1063" s="76" t="inlineStr">
        <is>
          <t>Clear Body / Ice Body</t>
        </is>
      </c>
      <c r="E1063" s="76" t="inlineStr">
        <is>
          <t>Filter / Ice Body / Ice Body</t>
        </is>
      </c>
      <c r="F1063" s="76" t="inlineStr">
        <is>
          <t>Differs from upstream baseline</t>
        </is>
      </c>
      <c r="G1063" s="76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6" t="inlineStr">
        <is>
          <t>2026-09-30</t>
        </is>
      </c>
      <c r="B1065" s="76" t="inlineStr">
        <is>
          <t>Pokemon Stats</t>
        </is>
      </c>
      <c r="C1065" s="76" t="inlineStr">
        <is>
          <t>Regirock baseAttack</t>
        </is>
      </c>
      <c r="D1065" s="76" t="n">
        <v>100</v>
      </c>
      <c r="E1065" s="76" t="n">
        <v>120</v>
      </c>
      <c r="F1065" s="76" t="inlineStr">
        <is>
          <t>Differs from upstream baseline</t>
        </is>
      </c>
      <c r="G1065" s="76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6" t="inlineStr">
        <is>
          <t>2026-09-30</t>
        </is>
      </c>
      <c r="B1067" s="76" t="inlineStr">
        <is>
          <t>Pokemon Stats</t>
        </is>
      </c>
      <c r="C1067" s="76" t="inlineStr">
        <is>
          <t>Registeel baseAttack</t>
        </is>
      </c>
      <c r="D1067" s="76" t="n">
        <v>75</v>
      </c>
      <c r="E1067" s="76" t="n">
        <v>80</v>
      </c>
      <c r="F1067" s="76" t="inlineStr">
        <is>
          <t>Differs from upstream baseline</t>
        </is>
      </c>
      <c r="G1067" s="76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6" t="inlineStr">
        <is>
          <t>2026-09-30</t>
        </is>
      </c>
      <c r="B1069" s="76" t="inlineStr">
        <is>
          <t>Pokemon Stats</t>
        </is>
      </c>
      <c r="C1069" s="76" t="inlineStr">
        <is>
          <t>Registeel baseSpAttack</t>
        </is>
      </c>
      <c r="D1069" s="76" t="n">
        <v>75</v>
      </c>
      <c r="E1069" s="76" t="n">
        <v>35</v>
      </c>
      <c r="F1069" s="76" t="inlineStr">
        <is>
          <t>Differs from upstream baseline</t>
        </is>
      </c>
      <c r="G1069" s="76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6" t="inlineStr">
        <is>
          <t>2026-09-30</t>
        </is>
      </c>
      <c r="B1071" s="76" t="inlineStr">
        <is>
          <t>Pokemon Stats</t>
        </is>
      </c>
      <c r="C1071" s="76" t="inlineStr">
        <is>
          <t>Registeel baseSpeed</t>
        </is>
      </c>
      <c r="D1071" s="76" t="n">
        <v>50</v>
      </c>
      <c r="E1071" s="76" t="n">
        <v>5</v>
      </c>
      <c r="F1071" s="76" t="inlineStr">
        <is>
          <t>Differs from upstream baseline</t>
        </is>
      </c>
      <c r="G1071" s="76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6" t="inlineStr">
        <is>
          <t>2026-09-30</t>
        </is>
      </c>
      <c r="B1073" s="76" t="inlineStr">
        <is>
          <t>Abilities</t>
        </is>
      </c>
      <c r="C1073" s="76" t="inlineStr">
        <is>
          <t>Remoraid abilities</t>
        </is>
      </c>
      <c r="D1073" s="76" t="inlineStr">
        <is>
          <t>Hustle / Sniper / Moody</t>
        </is>
      </c>
      <c r="E1073" s="76" t="inlineStr">
        <is>
          <t>Sniper / Sniper / Moody</t>
        </is>
      </c>
      <c r="F1073" s="76" t="inlineStr">
        <is>
          <t>Differs from upstream baseline</t>
        </is>
      </c>
      <c r="G1073" s="76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6" t="inlineStr">
        <is>
          <t>2026-09-30</t>
        </is>
      </c>
      <c r="B1075" s="76" t="inlineStr">
        <is>
          <t>Pokemon Stats</t>
        </is>
      </c>
      <c r="C1075" s="76" t="inlineStr">
        <is>
          <t>Reuniclus baseDefense</t>
        </is>
      </c>
      <c r="D1075" s="76" t="n">
        <v>75</v>
      </c>
      <c r="E1075" s="76" t="n">
        <v>77</v>
      </c>
      <c r="F1075" s="76" t="inlineStr">
        <is>
          <t>Differs from upstream baseline</t>
        </is>
      </c>
      <c r="G1075" s="76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6" t="inlineStr">
        <is>
          <t>2026-09-30</t>
        </is>
      </c>
      <c r="B1077" s="76" t="inlineStr">
        <is>
          <t>Pokemon Stats</t>
        </is>
      </c>
      <c r="C1077" s="76" t="inlineStr">
        <is>
          <t>Reuniclus baseSpeed</t>
        </is>
      </c>
      <c r="D1077" s="76" t="n">
        <v>30</v>
      </c>
      <c r="E1077" s="76" t="n">
        <v>70</v>
      </c>
      <c r="F1077" s="76" t="inlineStr">
        <is>
          <t>Differs from upstream baseline</t>
        </is>
      </c>
      <c r="G1077" s="76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6" t="inlineStr">
        <is>
          <t>2026-09-30</t>
        </is>
      </c>
      <c r="B1079" s="76" t="inlineStr">
        <is>
          <t>Abilities</t>
        </is>
      </c>
      <c r="C1079" s="76" t="inlineStr">
        <is>
          <t>Riolu abilities</t>
        </is>
      </c>
      <c r="D1079" s="76" t="inlineStr">
        <is>
          <t>Steadfast / Inner Focus / Prankster</t>
        </is>
      </c>
      <c r="E1079" s="76" t="inlineStr">
        <is>
          <t>Adaptability / Adaptability / Prankster</t>
        </is>
      </c>
      <c r="F1079" s="76" t="inlineStr">
        <is>
          <t>Differs from upstream baseline</t>
        </is>
      </c>
      <c r="G1079" s="76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6" t="inlineStr">
        <is>
          <t>2026-09-30</t>
        </is>
      </c>
      <c r="B1081" s="76" t="inlineStr">
        <is>
          <t>Abilities</t>
        </is>
      </c>
      <c r="C1081" s="76" t="inlineStr">
        <is>
          <t>Roselia abilities</t>
        </is>
      </c>
      <c r="D1081" s="76" t="inlineStr">
        <is>
          <t>Natural Cure / Poison Point / Leaf Guard</t>
        </is>
      </c>
      <c r="E1081" s="76" t="inlineStr">
        <is>
          <t>Natural Cure / Natural Cure / Leaf Guard</t>
        </is>
      </c>
      <c r="F1081" s="76" t="inlineStr">
        <is>
          <t>Differs from upstream baseline</t>
        </is>
      </c>
      <c r="G1081" s="76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6" t="inlineStr">
        <is>
          <t>2026-09-30</t>
        </is>
      </c>
      <c r="B1083" s="76" t="inlineStr">
        <is>
          <t>Pokemon Stats</t>
        </is>
      </c>
      <c r="C1083" s="76" t="inlineStr">
        <is>
          <t>Roserade baseDefense</t>
        </is>
      </c>
      <c r="D1083" s="76" t="n">
        <v>65</v>
      </c>
      <c r="E1083" s="76" t="n">
        <v>55</v>
      </c>
      <c r="F1083" s="76" t="inlineStr">
        <is>
          <t>Differs from upstream baseline</t>
        </is>
      </c>
      <c r="G1083" s="76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6" t="inlineStr">
        <is>
          <t>2026-09-30</t>
        </is>
      </c>
      <c r="B1085" s="76" t="inlineStr">
        <is>
          <t>Pokemon Stats</t>
        </is>
      </c>
      <c r="C1085" s="76" t="inlineStr">
        <is>
          <t>Rotom baseAttack</t>
        </is>
      </c>
      <c r="D1085" s="76" t="n">
        <v>50</v>
      </c>
      <c r="E1085" s="76" t="n">
        <v>65</v>
      </c>
      <c r="F1085" s="76" t="inlineStr">
        <is>
          <t>Differs from upstream baseline</t>
        </is>
      </c>
      <c r="G1085" s="76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6" t="inlineStr">
        <is>
          <t>2026-09-30</t>
        </is>
      </c>
      <c r="B1087" s="76" t="inlineStr">
        <is>
          <t>Pokemon Stats</t>
        </is>
      </c>
      <c r="C1087" s="76" t="inlineStr">
        <is>
          <t>Rotom baseSpAttack</t>
        </is>
      </c>
      <c r="D1087" s="76" t="n">
        <v>95</v>
      </c>
      <c r="E1087" s="76" t="n">
        <v>105</v>
      </c>
      <c r="F1087" s="76" t="inlineStr">
        <is>
          <t>Differs from upstream baseline</t>
        </is>
      </c>
      <c r="G1087" s="76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6" t="inlineStr">
        <is>
          <t>2026-09-30</t>
        </is>
      </c>
      <c r="B1089" s="76" t="inlineStr">
        <is>
          <t>Pokemon Stats</t>
        </is>
      </c>
      <c r="C1089" s="76" t="inlineStr">
        <is>
          <t>Rotom baseSpeed</t>
        </is>
      </c>
      <c r="D1089" s="76" t="n">
        <v>86</v>
      </c>
      <c r="E1089" s="76" t="n">
        <v>91</v>
      </c>
      <c r="F1089" s="76" t="inlineStr">
        <is>
          <t>Differs from upstream baseline</t>
        </is>
      </c>
      <c r="G1089" s="76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6" t="inlineStr">
        <is>
          <t>2026-09-30</t>
        </is>
      </c>
      <c r="B1091" s="76" t="inlineStr">
        <is>
          <t>Pokemon Stats</t>
        </is>
      </c>
      <c r="C1091" s="76" t="inlineStr">
        <is>
          <t>Rufflet baseSpAttack</t>
        </is>
      </c>
      <c r="D1091" s="76" t="n">
        <v>37</v>
      </c>
      <c r="E1091" s="76" t="n">
        <v>30</v>
      </c>
      <c r="F1091" s="76" t="inlineStr">
        <is>
          <t>Differs from upstream baseline</t>
        </is>
      </c>
      <c r="G1091" s="76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6" t="inlineStr">
        <is>
          <t>2026-09-30</t>
        </is>
      </c>
      <c r="B1093" s="76" t="inlineStr">
        <is>
          <t>Evolutions</t>
        </is>
      </c>
      <c r="C1093" s="76" t="inlineStr">
        <is>
          <t>Rufflet evolution</t>
        </is>
      </c>
      <c r="D1093" s="76" t="inlineStr">
        <is>
          <t>Lv 54 -&gt; Braviary; None -&gt; Braviary Hisui</t>
        </is>
      </c>
      <c r="E1093" s="76" t="inlineStr">
        <is>
          <t>Lv 42 -&gt; Braviary; None -&gt; Braviary Hisui</t>
        </is>
      </c>
      <c r="F1093" s="76" t="inlineStr">
        <is>
          <t>Differs from upstream baseline</t>
        </is>
      </c>
      <c r="G1093" s="76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6" t="inlineStr">
        <is>
          <t>2026-09-30</t>
        </is>
      </c>
      <c r="B1095" s="76" t="inlineStr">
        <is>
          <t>Pokemon Stats</t>
        </is>
      </c>
      <c r="C1095" s="76" t="inlineStr">
        <is>
          <t>Runerigus baseSpAttack</t>
        </is>
      </c>
      <c r="D1095" s="76" t="n">
        <v>50</v>
      </c>
      <c r="E1095" s="76" t="n">
        <v>30</v>
      </c>
      <c r="F1095" s="76" t="inlineStr">
        <is>
          <t>Differs from upstream baseline</t>
        </is>
      </c>
      <c r="G1095" s="76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6" t="inlineStr">
        <is>
          <t>2026-09-30</t>
        </is>
      </c>
      <c r="B1097" s="76" t="inlineStr">
        <is>
          <t>Pokemon Stats</t>
        </is>
      </c>
      <c r="C1097" s="76" t="inlineStr">
        <is>
          <t>Sableye baseAttack</t>
        </is>
      </c>
      <c r="D1097" s="76" t="n">
        <v>75</v>
      </c>
      <c r="E1097" s="76" t="n">
        <v>105</v>
      </c>
      <c r="F1097" s="76" t="inlineStr">
        <is>
          <t>Differs from upstream baseline</t>
        </is>
      </c>
      <c r="G1097" s="76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6" t="inlineStr">
        <is>
          <t>2026-09-30</t>
        </is>
      </c>
      <c r="B1099" s="76" t="inlineStr">
        <is>
          <t>Pokemon Stats</t>
        </is>
      </c>
      <c r="C1099" s="76" t="inlineStr">
        <is>
          <t>Sableye baseSpDefense</t>
        </is>
      </c>
      <c r="D1099" s="76" t="n">
        <v>65</v>
      </c>
      <c r="E1099" s="76" t="n">
        <v>95</v>
      </c>
      <c r="F1099" s="76" t="inlineStr">
        <is>
          <t>Differs from upstream baseline</t>
        </is>
      </c>
      <c r="G1099" s="76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6" t="inlineStr">
        <is>
          <t>2026-09-30</t>
        </is>
      </c>
      <c r="B1101" s="76" t="inlineStr">
        <is>
          <t>Pokemon Stats</t>
        </is>
      </c>
      <c r="C1101" s="76" t="inlineStr">
        <is>
          <t>Sableye baseAttack</t>
        </is>
      </c>
      <c r="D1101" s="76" t="n">
        <v>85</v>
      </c>
      <c r="E1101" s="76" t="n">
        <v>115</v>
      </c>
      <c r="F1101" s="76" t="inlineStr">
        <is>
          <t>Differs from upstream baseline</t>
        </is>
      </c>
      <c r="G1101" s="76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6" t="inlineStr">
        <is>
          <t>2026-09-30</t>
        </is>
      </c>
      <c r="B1103" s="76" t="inlineStr">
        <is>
          <t>Pokemon Stats</t>
        </is>
      </c>
      <c r="C1103" s="76" t="inlineStr">
        <is>
          <t>Sableye baseSpDefense</t>
        </is>
      </c>
      <c r="D1103" s="76" t="n">
        <v>115</v>
      </c>
      <c r="E1103" s="76" t="n">
        <v>145</v>
      </c>
      <c r="F1103" s="76" t="inlineStr">
        <is>
          <t>Differs from upstream baseline</t>
        </is>
      </c>
      <c r="G1103" s="76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6" t="inlineStr">
        <is>
          <t>2026-09-30</t>
        </is>
      </c>
      <c r="B1105" s="76" t="inlineStr">
        <is>
          <t>Abilities</t>
        </is>
      </c>
      <c r="C1105" s="76" t="inlineStr">
        <is>
          <t>Salamence abilities</t>
        </is>
      </c>
      <c r="D1105" s="76" t="inlineStr">
        <is>
          <t>Intimidate / Moxie</t>
        </is>
      </c>
      <c r="E1105" s="76" t="inlineStr">
        <is>
          <t>Intimidate / Intimidate / Moxie</t>
        </is>
      </c>
      <c r="F1105" s="76" t="inlineStr">
        <is>
          <t>Differs from upstream baseline</t>
        </is>
      </c>
      <c r="G1105" s="76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6" t="inlineStr">
        <is>
          <t>2026-09-30</t>
        </is>
      </c>
      <c r="B1107" s="76" t="inlineStr">
        <is>
          <t>Pokemon Stats</t>
        </is>
      </c>
      <c r="C1107" s="76" t="inlineStr">
        <is>
          <t>Samurott baseSpeed</t>
        </is>
      </c>
      <c r="D1107" s="76" t="n">
        <v>70</v>
      </c>
      <c r="E1107" s="76" t="n">
        <v>80</v>
      </c>
      <c r="F1107" s="76" t="inlineStr">
        <is>
          <t>Differs from upstream baseline</t>
        </is>
      </c>
      <c r="G1107" s="76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6" t="inlineStr">
        <is>
          <t>2026-09-30</t>
        </is>
      </c>
      <c r="B1109" s="76" t="inlineStr">
        <is>
          <t>Pokemon Stats</t>
        </is>
      </c>
      <c r="C1109" s="76" t="inlineStr">
        <is>
          <t>Sandile baseAttack</t>
        </is>
      </c>
      <c r="D1109" s="76" t="n">
        <v>72</v>
      </c>
      <c r="E1109" s="76" t="n">
        <v>75</v>
      </c>
      <c r="F1109" s="76" t="inlineStr">
        <is>
          <t>Differs from upstream baseline</t>
        </is>
      </c>
      <c r="G1109" s="76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6" t="inlineStr">
        <is>
          <t>2026-09-30</t>
        </is>
      </c>
      <c r="B1111" s="76" t="inlineStr">
        <is>
          <t>Pokemon Stats</t>
        </is>
      </c>
      <c r="C1111" s="76" t="inlineStr">
        <is>
          <t>Sandile baseSpeed</t>
        </is>
      </c>
      <c r="D1111" s="76" t="n">
        <v>65</v>
      </c>
      <c r="E1111" s="76" t="n">
        <v>67</v>
      </c>
      <c r="F1111" s="76" t="inlineStr">
        <is>
          <t>Differs from upstream baseline</t>
        </is>
      </c>
      <c r="G1111" s="76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6" t="inlineStr">
        <is>
          <t>2026-09-30</t>
        </is>
      </c>
      <c r="B1113" s="76" t="inlineStr">
        <is>
          <t>Pokemon Stats</t>
        </is>
      </c>
      <c r="C1113" s="76" t="inlineStr">
        <is>
          <t>Sandshrew baseSpAttack</t>
        </is>
      </c>
      <c r="D1113" s="76" t="n">
        <v>20</v>
      </c>
      <c r="E1113" s="76" t="n">
        <v>10</v>
      </c>
      <c r="F1113" s="76" t="inlineStr">
        <is>
          <t>Differs from upstream baseline</t>
        </is>
      </c>
      <c r="G1113" s="76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6" t="inlineStr">
        <is>
          <t>2026-09-30</t>
        </is>
      </c>
      <c r="B1115" s="76" t="inlineStr">
        <is>
          <t>Abilities</t>
        </is>
      </c>
      <c r="C1115" s="76" t="inlineStr">
        <is>
          <t>Sandshrew abilities</t>
        </is>
      </c>
      <c r="D1115" s="76" t="inlineStr">
        <is>
          <t>Sand Veil / Sand Rush</t>
        </is>
      </c>
      <c r="E1115" s="76" t="inlineStr">
        <is>
          <t>Rough Skin / Rough Skin / Sand Rush</t>
        </is>
      </c>
      <c r="F1115" s="76" t="inlineStr">
        <is>
          <t>Differs from upstream baseline</t>
        </is>
      </c>
      <c r="G1115" s="76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6" t="inlineStr">
        <is>
          <t>2026-09-30</t>
        </is>
      </c>
      <c r="B1117" s="76" t="inlineStr">
        <is>
          <t>Pokemon Stats</t>
        </is>
      </c>
      <c r="C1117" s="76" t="inlineStr">
        <is>
          <t>Sandshrew baseSpDefense</t>
        </is>
      </c>
      <c r="D1117" s="76" t="n">
        <v>35</v>
      </c>
      <c r="E1117" s="76" t="n">
        <v>37</v>
      </c>
      <c r="F1117" s="76" t="inlineStr">
        <is>
          <t>Differs from upstream baseline</t>
        </is>
      </c>
      <c r="G1117" s="76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6" t="inlineStr">
        <is>
          <t>2026-09-30</t>
        </is>
      </c>
      <c r="B1119" s="76" t="inlineStr">
        <is>
          <t>Pokemon Stats</t>
        </is>
      </c>
      <c r="C1119" s="76" t="inlineStr">
        <is>
          <t>Sandslash baseDefense</t>
        </is>
      </c>
      <c r="D1119" s="76" t="n">
        <v>110</v>
      </c>
      <c r="E1119" s="76" t="n">
        <v>120</v>
      </c>
      <c r="F1119" s="76" t="inlineStr">
        <is>
          <t>Differs from upstream baseline</t>
        </is>
      </c>
      <c r="G1119" s="76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6" t="inlineStr">
        <is>
          <t>2026-09-30</t>
        </is>
      </c>
      <c r="B1121" s="76" t="inlineStr">
        <is>
          <t>Pokemon Stats</t>
        </is>
      </c>
      <c r="C1121" s="76" t="inlineStr">
        <is>
          <t>Sandslash baseSpDefense</t>
        </is>
      </c>
      <c r="D1121" s="76" t="n">
        <v>55</v>
      </c>
      <c r="E1121" s="76" t="n">
        <v>65</v>
      </c>
      <c r="F1121" s="76" t="inlineStr">
        <is>
          <t>Differs from upstream baseline</t>
        </is>
      </c>
      <c r="G1121" s="76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6" t="inlineStr">
        <is>
          <t>2026-09-30</t>
        </is>
      </c>
      <c r="B1123" s="76" t="inlineStr">
        <is>
          <t>Pokemon Stats</t>
        </is>
      </c>
      <c r="C1123" s="76" t="inlineStr">
        <is>
          <t>Sandslash baseSpAttack</t>
        </is>
      </c>
      <c r="D1123" s="76" t="n">
        <v>25</v>
      </c>
      <c r="E1123" s="76" t="n">
        <v>32</v>
      </c>
      <c r="F1123" s="76" t="inlineStr">
        <is>
          <t>Differs from upstream baseline</t>
        </is>
      </c>
      <c r="G1123" s="76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6" t="inlineStr">
        <is>
          <t>2026-09-30</t>
        </is>
      </c>
      <c r="B1125" s="76" t="inlineStr">
        <is>
          <t>Pokemon Stats</t>
        </is>
      </c>
      <c r="C1125" s="76" t="inlineStr">
        <is>
          <t>Sandslash baseSpeed</t>
        </is>
      </c>
      <c r="D1125" s="76" t="n">
        <v>65</v>
      </c>
      <c r="E1125" s="76" t="n">
        <v>68</v>
      </c>
      <c r="F1125" s="76" t="inlineStr">
        <is>
          <t>Differs from upstream baseline</t>
        </is>
      </c>
      <c r="G1125" s="76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6" t="inlineStr">
        <is>
          <t>2026-09-30</t>
        </is>
      </c>
      <c r="B1127" s="76" t="inlineStr">
        <is>
          <t>Pokemon Stats</t>
        </is>
      </c>
      <c r="C1127" s="76" t="inlineStr">
        <is>
          <t>Sawk baseDefense</t>
        </is>
      </c>
      <c r="D1127" s="76" t="n">
        <v>75</v>
      </c>
      <c r="E1127" s="76" t="n">
        <v>84</v>
      </c>
      <c r="F1127" s="76" t="inlineStr">
        <is>
          <t>Differs from upstream baseline</t>
        </is>
      </c>
      <c r="G1127" s="76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6" t="inlineStr">
        <is>
          <t>2026-09-30</t>
        </is>
      </c>
      <c r="B1129" s="76" t="inlineStr">
        <is>
          <t>Pokemon Stats</t>
        </is>
      </c>
      <c r="C1129" s="76" t="inlineStr">
        <is>
          <t>Sawk baseSpeed</t>
        </is>
      </c>
      <c r="D1129" s="76" t="n">
        <v>85</v>
      </c>
      <c r="E1129" s="76" t="n">
        <v>105</v>
      </c>
      <c r="F1129" s="76" t="inlineStr">
        <is>
          <t>Differs from upstream baseline</t>
        </is>
      </c>
      <c r="G1129" s="76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6" t="inlineStr">
        <is>
          <t>2026-09-30</t>
        </is>
      </c>
      <c r="B1131" s="76" t="inlineStr">
        <is>
          <t>Pokemon Stats</t>
        </is>
      </c>
      <c r="C1131" s="76" t="inlineStr">
        <is>
          <t>Sawsbuck baseSpAttack</t>
        </is>
      </c>
      <c r="D1131" s="76" t="n">
        <v>60</v>
      </c>
      <c r="E1131" s="76" t="n">
        <v>30</v>
      </c>
      <c r="F1131" s="76" t="inlineStr">
        <is>
          <t>Differs from upstream baseline</t>
        </is>
      </c>
      <c r="G1131" s="76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6" t="inlineStr">
        <is>
          <t>2026-09-30</t>
        </is>
      </c>
      <c r="B1133" s="76" t="inlineStr">
        <is>
          <t>Pokemon Stats</t>
        </is>
      </c>
      <c r="C1133" s="76" t="inlineStr">
        <is>
          <t>Sawsbuck baseAttack</t>
        </is>
      </c>
      <c r="D1133" s="76" t="n">
        <v>100</v>
      </c>
      <c r="E1133" s="76" t="n">
        <v>126</v>
      </c>
      <c r="F1133" s="76" t="inlineStr">
        <is>
          <t>Differs from upstream baseline</t>
        </is>
      </c>
      <c r="G1133" s="76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6" t="inlineStr">
        <is>
          <t>2026-09-30</t>
        </is>
      </c>
      <c r="B1135" s="76" t="inlineStr">
        <is>
          <t>Pokemon Stats</t>
        </is>
      </c>
      <c r="C1135" s="76" t="inlineStr">
        <is>
          <t>Sceptile baseAttack</t>
        </is>
      </c>
      <c r="D1135" s="76" t="n">
        <v>85</v>
      </c>
      <c r="E1135" s="76" t="n">
        <v>100</v>
      </c>
      <c r="F1135" s="76" t="inlineStr">
        <is>
          <t>Differs from upstream baseline</t>
        </is>
      </c>
      <c r="G1135" s="76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6" t="inlineStr">
        <is>
          <t>2026-09-30</t>
        </is>
      </c>
      <c r="B1137" s="76" t="inlineStr">
        <is>
          <t>Pokemon Stats</t>
        </is>
      </c>
      <c r="C1137" s="76" t="inlineStr">
        <is>
          <t>Sceptile baseSpDefense</t>
        </is>
      </c>
      <c r="D1137" s="76" t="n">
        <v>85</v>
      </c>
      <c r="E1137" s="76" t="n">
        <v>80</v>
      </c>
      <c r="F1137" s="76" t="inlineStr">
        <is>
          <t>Differs from upstream baseline</t>
        </is>
      </c>
      <c r="G1137" s="76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6" t="inlineStr">
        <is>
          <t>2026-09-30</t>
        </is>
      </c>
      <c r="B1139" s="76" t="inlineStr">
        <is>
          <t>Pokemon Stats</t>
        </is>
      </c>
      <c r="C1139" s="76" t="inlineStr">
        <is>
          <t>Sceptile baseSpAttack</t>
        </is>
      </c>
      <c r="D1139" s="76" t="n">
        <v>145</v>
      </c>
      <c r="E1139" s="76" t="n">
        <v>140</v>
      </c>
      <c r="F1139" s="76" t="inlineStr">
        <is>
          <t>Differs from upstream baseline</t>
        </is>
      </c>
      <c r="G1139" s="76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6" t="inlineStr">
        <is>
          <t>2026-09-30</t>
        </is>
      </c>
      <c r="B1141" s="76" t="inlineStr">
        <is>
          <t>Pokemon Stats</t>
        </is>
      </c>
      <c r="C1141" s="76" t="inlineStr">
        <is>
          <t>Scolipede baseHP</t>
        </is>
      </c>
      <c r="D1141" s="76" t="n">
        <v>60</v>
      </c>
      <c r="E1141" s="76" t="n">
        <v>75</v>
      </c>
      <c r="F1141" s="76" t="inlineStr">
        <is>
          <t>Differs from upstream baseline</t>
        </is>
      </c>
      <c r="G1141" s="76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6" t="inlineStr">
        <is>
          <t>2026-09-30</t>
        </is>
      </c>
      <c r="B1143" s="76" t="inlineStr">
        <is>
          <t>Pokemon Stats</t>
        </is>
      </c>
      <c r="C1143" s="76" t="inlineStr">
        <is>
          <t>Scolipede baseSpAttack</t>
        </is>
      </c>
      <c r="D1143" s="76" t="n">
        <v>55</v>
      </c>
      <c r="E1143" s="76" t="n">
        <v>30</v>
      </c>
      <c r="F1143" s="76" t="inlineStr">
        <is>
          <t>Differs from upstream baseline</t>
        </is>
      </c>
      <c r="G1143" s="76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6" t="inlineStr">
        <is>
          <t>2026-09-30</t>
        </is>
      </c>
      <c r="B1145" s="76" t="inlineStr">
        <is>
          <t>Pokemon Stats</t>
        </is>
      </c>
      <c r="C1145" s="76" t="inlineStr">
        <is>
          <t>Scolipede baseSpeed</t>
        </is>
      </c>
      <c r="D1145" s="76" t="n">
        <v>112</v>
      </c>
      <c r="E1145" s="76" t="n">
        <v>126</v>
      </c>
      <c r="F1145" s="76" t="inlineStr">
        <is>
          <t>Differs from upstream baseline</t>
        </is>
      </c>
      <c r="G1145" s="76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6" t="inlineStr">
        <is>
          <t>2026-09-30</t>
        </is>
      </c>
      <c r="B1147" s="76" t="inlineStr">
        <is>
          <t>Pokemon Stats</t>
        </is>
      </c>
      <c r="C1147" s="76" t="inlineStr">
        <is>
          <t>Scrafty baseSpAttack</t>
        </is>
      </c>
      <c r="D1147" s="76" t="n">
        <v>45</v>
      </c>
      <c r="E1147" s="76" t="n">
        <v>30</v>
      </c>
      <c r="F1147" s="76" t="inlineStr">
        <is>
          <t>Differs from upstream baseline</t>
        </is>
      </c>
      <c r="G1147" s="76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6" t="inlineStr">
        <is>
          <t>2026-09-30</t>
        </is>
      </c>
      <c r="B1149" s="76" t="inlineStr">
        <is>
          <t>Pokemon Stats</t>
        </is>
      </c>
      <c r="C1149" s="76" t="inlineStr">
        <is>
          <t>Scraggy baseAttack</t>
        </is>
      </c>
      <c r="D1149" s="76" t="n">
        <v>75</v>
      </c>
      <c r="E1149" s="76" t="n">
        <v>78</v>
      </c>
      <c r="F1149" s="76" t="inlineStr">
        <is>
          <t>Differs from upstream baseline</t>
        </is>
      </c>
      <c r="G1149" s="76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6" t="inlineStr">
        <is>
          <t>2026-09-30</t>
        </is>
      </c>
      <c r="B1151" s="76" t="inlineStr">
        <is>
          <t>Pokemon Stats</t>
        </is>
      </c>
      <c r="C1151" s="76" t="inlineStr">
        <is>
          <t>Scraggy baseSpeed</t>
        </is>
      </c>
      <c r="D1151" s="76" t="n">
        <v>48</v>
      </c>
      <c r="E1151" s="76" t="n">
        <v>50</v>
      </c>
      <c r="F1151" s="76" t="inlineStr">
        <is>
          <t>Differs from upstream baseline</t>
        </is>
      </c>
      <c r="G1151" s="76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6" t="inlineStr">
        <is>
          <t>2026-09-30</t>
        </is>
      </c>
      <c r="B1153" s="76" t="inlineStr">
        <is>
          <t>Abilities</t>
        </is>
      </c>
      <c r="C1153" s="76" t="inlineStr">
        <is>
          <t>Seadra abilities</t>
        </is>
      </c>
      <c r="D1153" s="76" t="inlineStr">
        <is>
          <t>Poison Point / Sniper / Damp</t>
        </is>
      </c>
      <c r="E1153" s="76" t="inlineStr">
        <is>
          <t>Sniper / Sniper / Damp</t>
        </is>
      </c>
      <c r="F1153" s="76" t="inlineStr">
        <is>
          <t>Differs from upstream baseline</t>
        </is>
      </c>
      <c r="G1153" s="76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6" t="inlineStr">
        <is>
          <t>2026-09-30</t>
        </is>
      </c>
      <c r="B1155" s="76" t="inlineStr">
        <is>
          <t>Pokemon Stats</t>
        </is>
      </c>
      <c r="C1155" s="76" t="inlineStr">
        <is>
          <t>Sealeo baseDefense</t>
        </is>
      </c>
      <c r="D1155" s="76" t="n">
        <v>70</v>
      </c>
      <c r="E1155" s="76" t="n">
        <v>90</v>
      </c>
      <c r="F1155" s="76" t="inlineStr">
        <is>
          <t>Differs from upstream baseline</t>
        </is>
      </c>
      <c r="G1155" s="76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6" t="inlineStr">
        <is>
          <t>2026-09-30</t>
        </is>
      </c>
      <c r="B1157" s="76" t="inlineStr">
        <is>
          <t>Abilities</t>
        </is>
      </c>
      <c r="C1157" s="76" t="inlineStr">
        <is>
          <t>Sealeo abilities</t>
        </is>
      </c>
      <c r="D1157" s="76" t="inlineStr">
        <is>
          <t>Thick Fat / Ice Body / Oblivious</t>
        </is>
      </c>
      <c r="E1157" s="76" t="inlineStr">
        <is>
          <t>Ice Body / Ice Body / Oblivious</t>
        </is>
      </c>
      <c r="F1157" s="76" t="inlineStr">
        <is>
          <t>Differs from upstream baseline</t>
        </is>
      </c>
      <c r="G1157" s="76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6" t="inlineStr">
        <is>
          <t>2026-09-30</t>
        </is>
      </c>
      <c r="B1159" s="76" t="inlineStr">
        <is>
          <t>Abilities</t>
        </is>
      </c>
      <c r="C1159" s="76" t="inlineStr">
        <is>
          <t>Seel abilities</t>
        </is>
      </c>
      <c r="D1159" s="76" t="inlineStr">
        <is>
          <t>Thick Fat / Hydration / Ice Body</t>
        </is>
      </c>
      <c r="E1159" s="76" t="inlineStr">
        <is>
          <t>Thick Fat / Thick Fat / Ice Body</t>
        </is>
      </c>
      <c r="F1159" s="76" t="inlineStr">
        <is>
          <t>Differs from upstream baseline</t>
        </is>
      </c>
      <c r="G1159" s="76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6" t="inlineStr">
        <is>
          <t>2026-09-30</t>
        </is>
      </c>
      <c r="B1161" s="76" t="inlineStr">
        <is>
          <t>Pokemon Stats</t>
        </is>
      </c>
      <c r="C1161" s="76" t="inlineStr">
        <is>
          <t>Seismitoad baseSpAttack</t>
        </is>
      </c>
      <c r="D1161" s="76" t="n">
        <v>85</v>
      </c>
      <c r="E1161" s="76" t="n">
        <v>96</v>
      </c>
      <c r="F1161" s="76" t="inlineStr">
        <is>
          <t>Differs from upstream baseline</t>
        </is>
      </c>
      <c r="G1161" s="76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6" t="inlineStr">
        <is>
          <t>2026-09-30</t>
        </is>
      </c>
      <c r="B1163" s="76" t="inlineStr">
        <is>
          <t>Pokemon Stats</t>
        </is>
      </c>
      <c r="C1163" s="76" t="inlineStr">
        <is>
          <t>Seismitoad baseSpeed</t>
        </is>
      </c>
      <c r="D1163" s="76" t="n">
        <v>74</v>
      </c>
      <c r="E1163" s="76" t="n">
        <v>76</v>
      </c>
      <c r="F1163" s="76" t="inlineStr">
        <is>
          <t>Differs from upstream baseline</t>
        </is>
      </c>
      <c r="G1163" s="76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6" t="inlineStr">
        <is>
          <t>2026-09-30</t>
        </is>
      </c>
      <c r="B1165" s="76" t="inlineStr">
        <is>
          <t>Abilities</t>
        </is>
      </c>
      <c r="C1165" s="76" t="inlineStr">
        <is>
          <t>Sentret abilities</t>
        </is>
      </c>
      <c r="D1165" s="76" t="inlineStr">
        <is>
          <t>Run Away / Keen Eye / Frisk</t>
        </is>
      </c>
      <c r="E1165" s="76" t="inlineStr">
        <is>
          <t>Adaptability / Adaptability / Frisk</t>
        </is>
      </c>
      <c r="F1165" s="76" t="inlineStr">
        <is>
          <t>Differs from upstream baseline</t>
        </is>
      </c>
      <c r="G1165" s="76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6" t="inlineStr">
        <is>
          <t>2026-09-30</t>
        </is>
      </c>
      <c r="B1167" s="76" t="inlineStr">
        <is>
          <t>Pokemon Stats</t>
        </is>
      </c>
      <c r="C1167" s="76" t="inlineStr">
        <is>
          <t>Seviper baseSpAttack</t>
        </is>
      </c>
      <c r="D1167" s="76" t="n">
        <v>100</v>
      </c>
      <c r="E1167" s="76" t="n">
        <v>60</v>
      </c>
      <c r="F1167" s="76" t="inlineStr">
        <is>
          <t>Differs from upstream baseline</t>
        </is>
      </c>
      <c r="G1167" s="76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6" t="inlineStr">
        <is>
          <t>2026-09-30</t>
        </is>
      </c>
      <c r="B1169" s="76" t="inlineStr">
        <is>
          <t>Abilities</t>
        </is>
      </c>
      <c r="C1169" s="76" t="inlineStr">
        <is>
          <t>Seviper abilities</t>
        </is>
      </c>
      <c r="D1169" s="76" t="inlineStr">
        <is>
          <t>Shed Skin / Infiltrator</t>
        </is>
      </c>
      <c r="E1169" s="76" t="inlineStr">
        <is>
          <t>Hyper Cutter / Shed Skin / Infiltrator</t>
        </is>
      </c>
      <c r="F1169" s="76" t="inlineStr">
        <is>
          <t>Differs from upstream baseline</t>
        </is>
      </c>
      <c r="G1169" s="76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6" t="inlineStr">
        <is>
          <t>2026-09-30</t>
        </is>
      </c>
      <c r="B1171" s="76" t="inlineStr">
        <is>
          <t>Pokemon Stats</t>
        </is>
      </c>
      <c r="C1171" s="76" t="inlineStr">
        <is>
          <t>Shedinja baseAttack</t>
        </is>
      </c>
      <c r="D1171" s="76" t="n">
        <v>90</v>
      </c>
      <c r="E1171" s="76" t="n">
        <v>100</v>
      </c>
      <c r="F1171" s="76" t="inlineStr">
        <is>
          <t>Differs from upstream baseline</t>
        </is>
      </c>
      <c r="G1171" s="76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6" t="inlineStr">
        <is>
          <t>2026-09-30</t>
        </is>
      </c>
      <c r="B1173" s="76" t="inlineStr">
        <is>
          <t>Pokemon Stats</t>
        </is>
      </c>
      <c r="C1173" s="76" t="inlineStr">
        <is>
          <t>Shedinja baseSpAttack</t>
        </is>
      </c>
      <c r="D1173" s="76" t="n">
        <v>30</v>
      </c>
      <c r="E1173" s="76" t="n">
        <v>100</v>
      </c>
      <c r="F1173" s="76" t="inlineStr">
        <is>
          <t>Differs from upstream baseline</t>
        </is>
      </c>
      <c r="G1173" s="76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6" t="inlineStr">
        <is>
          <t>2026-09-30</t>
        </is>
      </c>
      <c r="B1175" s="76" t="inlineStr">
        <is>
          <t>Pokemon Stats</t>
        </is>
      </c>
      <c r="C1175" s="76" t="inlineStr">
        <is>
          <t>Shedinja baseSpeed</t>
        </is>
      </c>
      <c r="D1175" s="76" t="n">
        <v>40</v>
      </c>
      <c r="E1175" s="76" t="n">
        <v>80</v>
      </c>
      <c r="F1175" s="76" t="inlineStr">
        <is>
          <t>Differs from upstream baseline</t>
        </is>
      </c>
      <c r="G1175" s="76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6" t="inlineStr">
        <is>
          <t>2026-09-30</t>
        </is>
      </c>
      <c r="B1177" s="76" t="inlineStr">
        <is>
          <t>Abilities</t>
        </is>
      </c>
      <c r="C1177" s="76" t="inlineStr">
        <is>
          <t>Shelgon abilities</t>
        </is>
      </c>
      <c r="D1177" s="76" t="inlineStr">
        <is>
          <t>Rock Head / Overcoat</t>
        </is>
      </c>
      <c r="E1177" s="76" t="inlineStr">
        <is>
          <t>Rock Head / Shell Armor / Overcoat</t>
        </is>
      </c>
      <c r="F1177" s="76" t="inlineStr">
        <is>
          <t>Differs from upstream baseline</t>
        </is>
      </c>
      <c r="G1177" s="76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6" t="inlineStr">
        <is>
          <t>2026-09-30</t>
        </is>
      </c>
      <c r="B1179" s="76" t="inlineStr">
        <is>
          <t>Abilities</t>
        </is>
      </c>
      <c r="C1179" s="76" t="inlineStr">
        <is>
          <t>Shellder abilities</t>
        </is>
      </c>
      <c r="D1179" s="76" t="inlineStr">
        <is>
          <t>Shell Armor / Skill Link / Overcoat</t>
        </is>
      </c>
      <c r="E1179" s="76" t="inlineStr">
        <is>
          <t>Filter / Shell Armor / Overcoat</t>
        </is>
      </c>
      <c r="F1179" s="76" t="inlineStr">
        <is>
          <t>Differs from upstream baseline</t>
        </is>
      </c>
      <c r="G1179" s="76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6" t="inlineStr">
        <is>
          <t>2026-09-30</t>
        </is>
      </c>
      <c r="B1181" s="76" t="inlineStr">
        <is>
          <t>Pokemon Stats</t>
        </is>
      </c>
      <c r="C1181" s="76" t="inlineStr">
        <is>
          <t>Shelmet baseHP</t>
        </is>
      </c>
      <c r="D1181" s="76" t="n">
        <v>50</v>
      </c>
      <c r="E1181" s="76" t="n">
        <v>63</v>
      </c>
      <c r="F1181" s="76" t="inlineStr">
        <is>
          <t>Differs from upstream baseline</t>
        </is>
      </c>
      <c r="G1181" s="76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6" t="inlineStr">
        <is>
          <t>2026-09-30</t>
        </is>
      </c>
      <c r="B1183" s="76" t="inlineStr">
        <is>
          <t>Pokemon Stats</t>
        </is>
      </c>
      <c r="C1183" s="76" t="inlineStr">
        <is>
          <t>Shelmet baseSpAttack</t>
        </is>
      </c>
      <c r="D1183" s="76" t="n">
        <v>40</v>
      </c>
      <c r="E1183" s="76" t="n">
        <v>44</v>
      </c>
      <c r="F1183" s="76" t="inlineStr">
        <is>
          <t>Differs from upstream baseline</t>
        </is>
      </c>
      <c r="G1183" s="76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6" t="inlineStr">
        <is>
          <t>2026-09-30</t>
        </is>
      </c>
      <c r="B1185" s="76" t="inlineStr">
        <is>
          <t>Evolutions</t>
        </is>
      </c>
      <c r="C1185" s="76" t="inlineStr">
        <is>
          <t>Shelmet evolution</t>
        </is>
      </c>
      <c r="D1185" s="76" t="inlineStr">
        <is>
          <t>Trade Specific Mon SPECIES_KARRABLAST -&gt; Accelgor</t>
        </is>
      </c>
      <c r="E1185" s="76" t="inlineStr">
        <is>
          <t>Lv 34 -&gt; Accelgor</t>
        </is>
      </c>
      <c r="F1185" s="76" t="inlineStr">
        <is>
          <t>Differs from upstream baseline</t>
        </is>
      </c>
      <c r="G1185" s="76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6" t="inlineStr">
        <is>
          <t>2026-09-30</t>
        </is>
      </c>
      <c r="B1187" s="76" t="inlineStr">
        <is>
          <t>Pokemon Stats</t>
        </is>
      </c>
      <c r="C1187" s="76" t="inlineStr">
        <is>
          <t>Shieldon baseAttack</t>
        </is>
      </c>
      <c r="D1187" s="76" t="n">
        <v>42</v>
      </c>
      <c r="E1187" s="76" t="n">
        <v>82</v>
      </c>
      <c r="F1187" s="76" t="inlineStr">
        <is>
          <t>Differs from upstream baseline</t>
        </is>
      </c>
      <c r="G1187" s="76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6" t="inlineStr">
        <is>
          <t>2026-09-30</t>
        </is>
      </c>
      <c r="B1189" s="76" t="inlineStr">
        <is>
          <t>Abilities</t>
        </is>
      </c>
      <c r="C1189" s="76" t="inlineStr">
        <is>
          <t>Shieldon abilities</t>
        </is>
      </c>
      <c r="D1189" s="76" t="inlineStr">
        <is>
          <t>Sturdy / Soundproof</t>
        </is>
      </c>
      <c r="E1189" s="76" t="inlineStr">
        <is>
          <t>Solid Rock / Battle Armor / Soundproof</t>
        </is>
      </c>
      <c r="F1189" s="76" t="inlineStr">
        <is>
          <t>Differs from upstream baseline</t>
        </is>
      </c>
      <c r="G1189" s="76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6" t="inlineStr">
        <is>
          <t>2026-09-30</t>
        </is>
      </c>
      <c r="B1191" s="76" t="inlineStr">
        <is>
          <t>Abilities</t>
        </is>
      </c>
      <c r="C1191" s="76" t="inlineStr">
        <is>
          <t>Shinx abilities</t>
        </is>
      </c>
      <c r="D1191" s="76" t="inlineStr">
        <is>
          <t>Rivalry / Intimidate / Guts</t>
        </is>
      </c>
      <c r="E1191" s="76" t="inlineStr">
        <is>
          <t>Rivalry / Rivalry / Guts</t>
        </is>
      </c>
      <c r="F1191" s="76" t="inlineStr">
        <is>
          <t>Differs from upstream baseline</t>
        </is>
      </c>
      <c r="G1191" s="76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6" t="inlineStr">
        <is>
          <t>2026-09-30</t>
        </is>
      </c>
      <c r="B1193" s="76" t="inlineStr">
        <is>
          <t>Pokemon Stats</t>
        </is>
      </c>
      <c r="C1193" s="76" t="inlineStr">
        <is>
          <t>Shuckle baseHP</t>
        </is>
      </c>
      <c r="D1193" s="76" t="n">
        <v>20</v>
      </c>
      <c r="E1193" s="76" t="n">
        <v>50</v>
      </c>
      <c r="F1193" s="76" t="inlineStr">
        <is>
          <t>Differs from upstream baseline</t>
        </is>
      </c>
      <c r="G1193" s="76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6" t="inlineStr">
        <is>
          <t>2026-09-30</t>
        </is>
      </c>
      <c r="B1195" s="76" t="inlineStr">
        <is>
          <t>Pokemon Stats</t>
        </is>
      </c>
      <c r="C1195" s="76" t="inlineStr">
        <is>
          <t>Shuppet baseAttack</t>
        </is>
      </c>
      <c r="D1195" s="76" t="n">
        <v>75</v>
      </c>
      <c r="E1195" s="76" t="n">
        <v>85</v>
      </c>
      <c r="F1195" s="76" t="inlineStr">
        <is>
          <t>Differs from upstream baseline</t>
        </is>
      </c>
      <c r="G1195" s="76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6" t="inlineStr">
        <is>
          <t>2026-09-30</t>
        </is>
      </c>
      <c r="B1197" s="76" t="inlineStr">
        <is>
          <t>Abilities</t>
        </is>
      </c>
      <c r="C1197" s="76" t="inlineStr">
        <is>
          <t>Shuppet abilities</t>
        </is>
      </c>
      <c r="D1197" s="76" t="inlineStr">
        <is>
          <t>Insomnia / Frisk / Cursed Body</t>
        </is>
      </c>
      <c r="E1197" s="76" t="inlineStr">
        <is>
          <t>Clear Body / Insomnia / Cursed Body</t>
        </is>
      </c>
      <c r="F1197" s="76" t="inlineStr">
        <is>
          <t>Differs from upstream baseline</t>
        </is>
      </c>
      <c r="G1197" s="76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6" t="inlineStr">
        <is>
          <t>2026-09-30</t>
        </is>
      </c>
      <c r="B1199" s="76" t="inlineStr">
        <is>
          <t>Pokemon Stats</t>
        </is>
      </c>
      <c r="C1199" s="76" t="inlineStr">
        <is>
          <t>Sigilyph baseAttack</t>
        </is>
      </c>
      <c r="D1199" s="76" t="n">
        <v>58</v>
      </c>
      <c r="E1199" s="76" t="n">
        <v>30</v>
      </c>
      <c r="F1199" s="76" t="inlineStr">
        <is>
          <t>Differs from upstream baseline</t>
        </is>
      </c>
      <c r="G1199" s="76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6" t="inlineStr">
        <is>
          <t>2026-09-30</t>
        </is>
      </c>
      <c r="B1201" s="76" t="inlineStr">
        <is>
          <t>Pokemon Stats</t>
        </is>
      </c>
      <c r="C1201" s="76" t="inlineStr">
        <is>
          <t>Sigilyph baseSpAttack</t>
        </is>
      </c>
      <c r="D1201" s="76" t="n">
        <v>103</v>
      </c>
      <c r="E1201" s="76" t="n">
        <v>120</v>
      </c>
      <c r="F1201" s="76" t="inlineStr">
        <is>
          <t>Differs from upstream baseline</t>
        </is>
      </c>
      <c r="G1201" s="76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6" t="inlineStr">
        <is>
          <t>2026-09-30</t>
        </is>
      </c>
      <c r="B1203" s="76" t="inlineStr">
        <is>
          <t>Abilities</t>
        </is>
      </c>
      <c r="C1203" s="76" t="inlineStr">
        <is>
          <t>Silcoon abilities</t>
        </is>
      </c>
      <c r="D1203" s="76" t="inlineStr">
        <is>
          <t>Shed Skin</t>
        </is>
      </c>
      <c r="E1203" s="76" t="inlineStr">
        <is>
          <t>Shed Skin / Shed Skin</t>
        </is>
      </c>
      <c r="F1203" s="76" t="inlineStr">
        <is>
          <t>Differs from upstream baseline</t>
        </is>
      </c>
      <c r="G1203" s="76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6" t="inlineStr">
        <is>
          <t>2026-09-30</t>
        </is>
      </c>
      <c r="B1205" s="76" t="inlineStr">
        <is>
          <t>Pokemon Stats</t>
        </is>
      </c>
      <c r="C1205" s="76" t="inlineStr">
        <is>
          <t>Simipour baseSpeed</t>
        </is>
      </c>
      <c r="D1205" s="76" t="n">
        <v>101</v>
      </c>
      <c r="E1205" s="76" t="n">
        <v>111</v>
      </c>
      <c r="F1205" s="76" t="inlineStr">
        <is>
          <t>Differs from upstream baseline</t>
        </is>
      </c>
      <c r="G1205" s="76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6" t="inlineStr">
        <is>
          <t>2026-09-30</t>
        </is>
      </c>
      <c r="B1207" s="76" t="inlineStr">
        <is>
          <t>Pokemon Stats</t>
        </is>
      </c>
      <c r="C1207" s="76" t="inlineStr">
        <is>
          <t>Simisage baseAttack</t>
        </is>
      </c>
      <c r="D1207" s="76" t="n">
        <v>98</v>
      </c>
      <c r="E1207" s="76" t="n">
        <v>108</v>
      </c>
      <c r="F1207" s="76" t="inlineStr">
        <is>
          <t>Differs from upstream baseline</t>
        </is>
      </c>
      <c r="G1207" s="76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6" t="inlineStr">
        <is>
          <t>2026-09-30</t>
        </is>
      </c>
      <c r="B1209" s="76" t="inlineStr">
        <is>
          <t>Abilities</t>
        </is>
      </c>
      <c r="C1209" s="76" t="inlineStr">
        <is>
          <t>Simisage abilities</t>
        </is>
      </c>
      <c r="D1209" s="76" t="inlineStr">
        <is>
          <t>Gluttony / Overgrow</t>
        </is>
      </c>
      <c r="E1209" s="76" t="inlineStr">
        <is>
          <t>Gluttony / Technician / Overgrow</t>
        </is>
      </c>
      <c r="F1209" s="76" t="inlineStr">
        <is>
          <t>Differs from upstream baseline</t>
        </is>
      </c>
      <c r="G1209" s="76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6" t="inlineStr">
        <is>
          <t>2026-09-30</t>
        </is>
      </c>
      <c r="B1211" s="76" t="inlineStr">
        <is>
          <t>Pokemon Stats</t>
        </is>
      </c>
      <c r="C1211" s="76" t="inlineStr">
        <is>
          <t>Simisear baseSpeed</t>
        </is>
      </c>
      <c r="D1211" s="76" t="n">
        <v>101</v>
      </c>
      <c r="E1211" s="76" t="n">
        <v>111</v>
      </c>
      <c r="F1211" s="76" t="inlineStr">
        <is>
          <t>Differs from upstream baseline</t>
        </is>
      </c>
      <c r="G1211" s="76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6" t="inlineStr">
        <is>
          <t>2026-09-30</t>
        </is>
      </c>
      <c r="B1213" s="76" t="inlineStr">
        <is>
          <t>Pokemon Stats</t>
        </is>
      </c>
      <c r="C1213" s="76" t="inlineStr">
        <is>
          <t>Sirfetch'd baseAttack</t>
        </is>
      </c>
      <c r="D1213" s="76" t="n">
        <v>135</v>
      </c>
      <c r="E1213" s="76" t="n">
        <v>156</v>
      </c>
      <c r="F1213" s="76" t="inlineStr">
        <is>
          <t>Differs from upstream baseline</t>
        </is>
      </c>
      <c r="G1213" s="76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6" t="inlineStr">
        <is>
          <t>2026-09-30</t>
        </is>
      </c>
      <c r="B1215" s="76" t="inlineStr">
        <is>
          <t>Pokemon Stats</t>
        </is>
      </c>
      <c r="C1215" s="76" t="inlineStr">
        <is>
          <t>Sirfetch'd baseSpeed</t>
        </is>
      </c>
      <c r="D1215" s="76" t="n">
        <v>65</v>
      </c>
      <c r="E1215" s="76" t="n">
        <v>82</v>
      </c>
      <c r="F1215" s="76" t="inlineStr">
        <is>
          <t>Differs from upstream baseline</t>
        </is>
      </c>
      <c r="G1215" s="76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6" t="inlineStr">
        <is>
          <t>2026-09-30</t>
        </is>
      </c>
      <c r="B1217" s="76" t="inlineStr">
        <is>
          <t>Pokemon Stats</t>
        </is>
      </c>
      <c r="C1217" s="76" t="inlineStr">
        <is>
          <t>Skarmory baseAttack</t>
        </is>
      </c>
      <c r="D1217" s="76" t="n">
        <v>80</v>
      </c>
      <c r="E1217" s="76" t="n">
        <v>85</v>
      </c>
      <c r="F1217" s="76" t="inlineStr">
        <is>
          <t>Differs from upstream baseline</t>
        </is>
      </c>
      <c r="G1217" s="76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6" t="inlineStr">
        <is>
          <t>2026-09-30</t>
        </is>
      </c>
      <c r="B1219" s="76" t="inlineStr">
        <is>
          <t>Abilities</t>
        </is>
      </c>
      <c r="C1219" s="76" t="inlineStr">
        <is>
          <t>Skarmory abilities</t>
        </is>
      </c>
      <c r="D1219" s="76" t="inlineStr">
        <is>
          <t>Keen Eye / Sturdy / Weak Armor</t>
        </is>
      </c>
      <c r="E1219" s="76" t="inlineStr">
        <is>
          <t>Filter / Filter / Weak Armor</t>
        </is>
      </c>
      <c r="F1219" s="76" t="inlineStr">
        <is>
          <t>Differs from upstream baseline</t>
        </is>
      </c>
      <c r="G1219" s="76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6" t="inlineStr">
        <is>
          <t>2026-09-30</t>
        </is>
      </c>
      <c r="B1221" s="76" t="inlineStr">
        <is>
          <t>Abilities</t>
        </is>
      </c>
      <c r="C1221" s="76" t="inlineStr">
        <is>
          <t>Skitty abilities</t>
        </is>
      </c>
      <c r="D1221" s="76" t="inlineStr">
        <is>
          <t>Cute Charm / Normalize / Wonder Skin</t>
        </is>
      </c>
      <c r="E1221" s="76" t="inlineStr">
        <is>
          <t>Cute Charm / Cute Charm / Wonder Skin</t>
        </is>
      </c>
      <c r="F1221" s="76" t="inlineStr">
        <is>
          <t>Differs from upstream baseline</t>
        </is>
      </c>
      <c r="G1221" s="76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6" t="inlineStr">
        <is>
          <t>2026-09-30</t>
        </is>
      </c>
      <c r="B1223" s="76" t="inlineStr">
        <is>
          <t>Evolutions</t>
        </is>
      </c>
      <c r="C1223" s="76" t="inlineStr">
        <is>
          <t>Skrelp evolution</t>
        </is>
      </c>
      <c r="D1223" s="76" t="inlineStr">
        <is>
          <t>Lv 48 -&gt; Dragalge</t>
        </is>
      </c>
      <c r="E1223" s="76" t="inlineStr">
        <is>
          <t>Lv 42 -&gt; Dragalge</t>
        </is>
      </c>
      <c r="F1223" s="76" t="inlineStr">
        <is>
          <t>Differs from upstream baseline</t>
        </is>
      </c>
      <c r="G1223" s="76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6" t="inlineStr">
        <is>
          <t>2026-09-30</t>
        </is>
      </c>
      <c r="B1225" s="76" t="inlineStr">
        <is>
          <t>Abilities</t>
        </is>
      </c>
      <c r="C1225" s="76" t="inlineStr">
        <is>
          <t>Skuntank abilities</t>
        </is>
      </c>
      <c r="D1225" s="76" t="inlineStr">
        <is>
          <t>Stench / Aftermath / Keen Eye</t>
        </is>
      </c>
      <c r="E1225" s="76" t="inlineStr">
        <is>
          <t>Aftermath / Aftermath / Keen Eye</t>
        </is>
      </c>
      <c r="F1225" s="76" t="inlineStr">
        <is>
          <t>Differs from upstream baseline</t>
        </is>
      </c>
      <c r="G1225" s="76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6" t="inlineStr">
        <is>
          <t>2026-09-30</t>
        </is>
      </c>
      <c r="B1227" s="76" t="inlineStr">
        <is>
          <t>Abilities</t>
        </is>
      </c>
      <c r="C1227" s="76" t="inlineStr">
        <is>
          <t>Slowbro abilities</t>
        </is>
      </c>
      <c r="D1227" s="76" t="inlineStr">
        <is>
          <t>Oblivious / Own Tempo / Regenerator</t>
        </is>
      </c>
      <c r="E1227" s="76" t="inlineStr">
        <is>
          <t>Simple / Shell Armor / Regenerator</t>
        </is>
      </c>
      <c r="F1227" s="76" t="inlineStr">
        <is>
          <t>Differs from upstream baseline</t>
        </is>
      </c>
      <c r="G1227" s="76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6" t="inlineStr">
        <is>
          <t>2026-09-30</t>
        </is>
      </c>
      <c r="B1229" s="76" t="inlineStr">
        <is>
          <t>Pokemon Stats</t>
        </is>
      </c>
      <c r="C1229" s="76" t="inlineStr">
        <is>
          <t>Slowking baseAttack</t>
        </is>
      </c>
      <c r="D1229" s="76" t="n">
        <v>65</v>
      </c>
      <c r="E1229" s="76" t="n">
        <v>30</v>
      </c>
      <c r="F1229" s="76" t="inlineStr">
        <is>
          <t>Differs from upstream baseline</t>
        </is>
      </c>
      <c r="G1229" s="76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6" t="inlineStr">
        <is>
          <t>2026-09-30</t>
        </is>
      </c>
      <c r="B1231" s="76" t="inlineStr">
        <is>
          <t>Abilities</t>
        </is>
      </c>
      <c r="C1231" s="76" t="inlineStr">
        <is>
          <t>Slowpoke abilities</t>
        </is>
      </c>
      <c r="D1231" s="76" t="inlineStr">
        <is>
          <t>Oblivious / Own Tempo / Regenerator</t>
        </is>
      </c>
      <c r="E1231" s="76" t="inlineStr">
        <is>
          <t>Simple / Unaware / Regenerator</t>
        </is>
      </c>
      <c r="F1231" s="76" t="inlineStr">
        <is>
          <t>Differs from upstream baseline</t>
        </is>
      </c>
      <c r="G1231" s="76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6" t="inlineStr">
        <is>
          <t>2026-09-30</t>
        </is>
      </c>
      <c r="B1233" s="76" t="inlineStr">
        <is>
          <t>Pokemon Stats</t>
        </is>
      </c>
      <c r="C1233" s="76" t="inlineStr">
        <is>
          <t>Slugma baseHP</t>
        </is>
      </c>
      <c r="D1233" s="76" t="n">
        <v>40</v>
      </c>
      <c r="E1233" s="76" t="n">
        <v>70</v>
      </c>
      <c r="F1233" s="76" t="inlineStr">
        <is>
          <t>Differs from upstream baseline</t>
        </is>
      </c>
      <c r="G1233" s="76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6" t="inlineStr">
        <is>
          <t>2026-09-30</t>
        </is>
      </c>
      <c r="B1235" s="76" t="inlineStr">
        <is>
          <t>Pokemon Stats</t>
        </is>
      </c>
      <c r="C1235" s="76" t="inlineStr">
        <is>
          <t>Slugma baseDefense</t>
        </is>
      </c>
      <c r="D1235" s="76" t="n">
        <v>40</v>
      </c>
      <c r="E1235" s="76" t="n">
        <v>80</v>
      </c>
      <c r="F1235" s="76" t="inlineStr">
        <is>
          <t>Differs from upstream baseline</t>
        </is>
      </c>
      <c r="G1235" s="76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6" t="inlineStr">
        <is>
          <t>2026-09-30</t>
        </is>
      </c>
      <c r="B1237" s="76" t="inlineStr">
        <is>
          <t>Pokemon Stats</t>
        </is>
      </c>
      <c r="C1237" s="76" t="inlineStr">
        <is>
          <t>Slugma baseSpDefense</t>
        </is>
      </c>
      <c r="D1237" s="76" t="n">
        <v>40</v>
      </c>
      <c r="E1237" s="76" t="n">
        <v>80</v>
      </c>
      <c r="F1237" s="76" t="inlineStr">
        <is>
          <t>Differs from upstream baseline</t>
        </is>
      </c>
      <c r="G1237" s="76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6" t="inlineStr">
        <is>
          <t>2026-09-30</t>
        </is>
      </c>
      <c r="B1239" s="76" t="inlineStr">
        <is>
          <t>Pokemon Stats</t>
        </is>
      </c>
      <c r="C1239" s="76" t="inlineStr">
        <is>
          <t>Slurpuff baseAttack</t>
        </is>
      </c>
      <c r="D1239" s="76" t="n">
        <v>80</v>
      </c>
      <c r="E1239" s="76" t="n">
        <v>90</v>
      </c>
      <c r="F1239" s="76" t="inlineStr">
        <is>
          <t>Differs from upstream baseline</t>
        </is>
      </c>
      <c r="G1239" s="76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6" t="inlineStr">
        <is>
          <t>2026-09-30</t>
        </is>
      </c>
      <c r="B1241" s="76" t="inlineStr">
        <is>
          <t>Abilities</t>
        </is>
      </c>
      <c r="C1241" s="76" t="inlineStr">
        <is>
          <t>Slurpuff abilities</t>
        </is>
      </c>
      <c r="D1241" s="76" t="inlineStr">
        <is>
          <t>Sweet Veil / Unburden</t>
        </is>
      </c>
      <c r="E1241" s="76" t="inlineStr">
        <is>
          <t>Sweet Veil / Unburden / Aroma Veil</t>
        </is>
      </c>
      <c r="F1241" s="76" t="inlineStr">
        <is>
          <t>Differs from upstream baseline</t>
        </is>
      </c>
      <c r="G1241" s="76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6" t="inlineStr">
        <is>
          <t>2026-09-30</t>
        </is>
      </c>
      <c r="B1243" s="76" t="inlineStr">
        <is>
          <t>Pokemon Stats</t>
        </is>
      </c>
      <c r="C1243" s="76" t="inlineStr">
        <is>
          <t>Smeargle baseAttack</t>
        </is>
      </c>
      <c r="D1243" s="76" t="n">
        <v>20</v>
      </c>
      <c r="E1243" s="76" t="n">
        <v>70</v>
      </c>
      <c r="F1243" s="76" t="inlineStr">
        <is>
          <t>Differs from upstream baseline</t>
        </is>
      </c>
      <c r="G1243" s="76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6" t="inlineStr">
        <is>
          <t>2026-09-30</t>
        </is>
      </c>
      <c r="B1245" s="76" t="inlineStr">
        <is>
          <t>Pokemon Stats</t>
        </is>
      </c>
      <c r="C1245" s="76" t="inlineStr">
        <is>
          <t>Smeargle baseSpAttack</t>
        </is>
      </c>
      <c r="D1245" s="76" t="n">
        <v>20</v>
      </c>
      <c r="E1245" s="76" t="n">
        <v>70</v>
      </c>
      <c r="F1245" s="76" t="inlineStr">
        <is>
          <t>Differs from upstream baseline</t>
        </is>
      </c>
      <c r="G1245" s="76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6" t="inlineStr">
        <is>
          <t>2026-09-30</t>
        </is>
      </c>
      <c r="B1247" s="76" t="inlineStr">
        <is>
          <t>Pokemon Stats</t>
        </is>
      </c>
      <c r="C1247" s="76" t="inlineStr">
        <is>
          <t>Smeargle baseSpeed</t>
        </is>
      </c>
      <c r="D1247" s="76" t="n">
        <v>75</v>
      </c>
      <c r="E1247" s="76" t="n">
        <v>95</v>
      </c>
      <c r="F1247" s="76" t="inlineStr">
        <is>
          <t>Differs from upstream baseline</t>
        </is>
      </c>
      <c r="G1247" s="76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6" t="inlineStr">
        <is>
          <t>2026-09-30</t>
        </is>
      </c>
      <c r="B1249" s="76" t="inlineStr">
        <is>
          <t>Abilities</t>
        </is>
      </c>
      <c r="C1249" s="76" t="inlineStr">
        <is>
          <t>Smoochum abilities</t>
        </is>
      </c>
      <c r="D1249" s="76" t="inlineStr">
        <is>
          <t>Oblivious / Forewarn / Hydration</t>
        </is>
      </c>
      <c r="E1249" s="76" t="inlineStr">
        <is>
          <t>Snow Cloak / Snow Cloak / Hydration</t>
        </is>
      </c>
      <c r="F1249" s="76" t="inlineStr">
        <is>
          <t>Differs from upstream baseline</t>
        </is>
      </c>
      <c r="G1249" s="76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6" t="inlineStr">
        <is>
          <t>2026-09-30</t>
        </is>
      </c>
      <c r="B1251" s="76" t="inlineStr">
        <is>
          <t>Pokemon Stats</t>
        </is>
      </c>
      <c r="C1251" s="76" t="inlineStr">
        <is>
          <t>Sneasler baseAttack</t>
        </is>
      </c>
      <c r="D1251" s="76" t="n">
        <v>130</v>
      </c>
      <c r="E1251" s="76" t="n">
        <v>136</v>
      </c>
      <c r="F1251" s="76" t="inlineStr">
        <is>
          <t>Differs from upstream baseline</t>
        </is>
      </c>
      <c r="G1251" s="76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6" t="inlineStr">
        <is>
          <t>2026-09-30</t>
        </is>
      </c>
      <c r="B1253" s="76" t="inlineStr">
        <is>
          <t>Pokemon Stats</t>
        </is>
      </c>
      <c r="C1253" s="76" t="inlineStr">
        <is>
          <t>Sneasler baseSpeed</t>
        </is>
      </c>
      <c r="D1253" s="76" t="n">
        <v>120</v>
      </c>
      <c r="E1253" s="76" t="n">
        <v>124</v>
      </c>
      <c r="F1253" s="76" t="inlineStr">
        <is>
          <t>Differs from upstream baseline</t>
        </is>
      </c>
      <c r="G1253" s="76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6" t="inlineStr">
        <is>
          <t>2026-09-30</t>
        </is>
      </c>
      <c r="B1255" s="76" t="inlineStr">
        <is>
          <t>Pokemon Stats</t>
        </is>
      </c>
      <c r="C1255" s="76" t="inlineStr">
        <is>
          <t>Snorlax baseDefense</t>
        </is>
      </c>
      <c r="D1255" s="76" t="n">
        <v>65</v>
      </c>
      <c r="E1255" s="76" t="n">
        <v>75</v>
      </c>
      <c r="F1255" s="76" t="inlineStr">
        <is>
          <t>Differs from upstream baseline</t>
        </is>
      </c>
      <c r="G1255" s="76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6" t="inlineStr">
        <is>
          <t>2026-09-30</t>
        </is>
      </c>
      <c r="B1257" s="76" t="inlineStr">
        <is>
          <t>Pokemon Stats</t>
        </is>
      </c>
      <c r="C1257" s="76" t="inlineStr">
        <is>
          <t>Snorunt baseSpAttack</t>
        </is>
      </c>
      <c r="D1257" s="76" t="n">
        <v>50</v>
      </c>
      <c r="E1257" s="76" t="n">
        <v>70</v>
      </c>
      <c r="F1257" s="76" t="inlineStr">
        <is>
          <t>Differs from upstream baseline</t>
        </is>
      </c>
      <c r="G1257" s="76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6" t="inlineStr">
        <is>
          <t>2026-09-30</t>
        </is>
      </c>
      <c r="B1259" s="76" t="inlineStr">
        <is>
          <t>Abilities</t>
        </is>
      </c>
      <c r="C1259" s="76" t="inlineStr">
        <is>
          <t>Snover abilities</t>
        </is>
      </c>
      <c r="D1259" s="76" t="inlineStr">
        <is>
          <t>Snow Warning / Soundproof</t>
        </is>
      </c>
      <c r="E1259" s="76" t="inlineStr">
        <is>
          <t>Snow Warning / Adaptability / Soundproof</t>
        </is>
      </c>
      <c r="F1259" s="76" t="inlineStr">
        <is>
          <t>Differs from upstream baseline</t>
        </is>
      </c>
      <c r="G1259" s="76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6" t="inlineStr">
        <is>
          <t>2026-09-30</t>
        </is>
      </c>
      <c r="B1261" s="76" t="inlineStr">
        <is>
          <t>Pokemon Stats</t>
        </is>
      </c>
      <c r="C1261" s="76" t="inlineStr">
        <is>
          <t>Solrock baseSpDefense</t>
        </is>
      </c>
      <c r="D1261" s="76" t="n">
        <v>65</v>
      </c>
      <c r="E1261" s="76" t="n">
        <v>75</v>
      </c>
      <c r="F1261" s="76" t="inlineStr">
        <is>
          <t>Differs from upstream baseline</t>
        </is>
      </c>
      <c r="G1261" s="76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6" t="inlineStr">
        <is>
          <t>2026-09-30</t>
        </is>
      </c>
      <c r="B1263" s="76" t="inlineStr">
        <is>
          <t>Pokemon Stats</t>
        </is>
      </c>
      <c r="C1263" s="76" t="inlineStr">
        <is>
          <t>Spinarak baseSpeed</t>
        </is>
      </c>
      <c r="D1263" s="76" t="n">
        <v>30</v>
      </c>
      <c r="E1263" s="76" t="n">
        <v>50</v>
      </c>
      <c r="F1263" s="76" t="inlineStr">
        <is>
          <t>Differs from upstream baseline</t>
        </is>
      </c>
      <c r="G1263" s="76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6" t="inlineStr">
        <is>
          <t>2026-09-30</t>
        </is>
      </c>
      <c r="B1265" s="76" t="inlineStr">
        <is>
          <t>Pokemon Stats</t>
        </is>
      </c>
      <c r="C1265" s="76" t="inlineStr">
        <is>
          <t>Spinda baseHP</t>
        </is>
      </c>
      <c r="D1265" s="76" t="n">
        <v>60</v>
      </c>
      <c r="E1265" s="76" t="n">
        <v>80</v>
      </c>
      <c r="F1265" s="76" t="inlineStr">
        <is>
          <t>Differs from upstream baseline</t>
        </is>
      </c>
      <c r="G1265" s="76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6" t="inlineStr">
        <is>
          <t>2026-09-30</t>
        </is>
      </c>
      <c r="B1267" s="76" t="inlineStr">
        <is>
          <t>Pokemon Stats</t>
        </is>
      </c>
      <c r="C1267" s="76" t="inlineStr">
        <is>
          <t>Spinda baseDefense</t>
        </is>
      </c>
      <c r="D1267" s="76" t="n">
        <v>60</v>
      </c>
      <c r="E1267" s="76" t="n">
        <v>80</v>
      </c>
      <c r="F1267" s="76" t="inlineStr">
        <is>
          <t>Differs from upstream baseline</t>
        </is>
      </c>
      <c r="G1267" s="76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6" t="inlineStr">
        <is>
          <t>2026-09-30</t>
        </is>
      </c>
      <c r="B1269" s="76" t="inlineStr">
        <is>
          <t>Pokemon Stats</t>
        </is>
      </c>
      <c r="C1269" s="76" t="inlineStr">
        <is>
          <t>Spinda baseSpDefense</t>
        </is>
      </c>
      <c r="D1269" s="76" t="n">
        <v>60</v>
      </c>
      <c r="E1269" s="76" t="n">
        <v>80</v>
      </c>
      <c r="F1269" s="76" t="inlineStr">
        <is>
          <t>Differs from upstream baseline</t>
        </is>
      </c>
      <c r="G1269" s="76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6" t="inlineStr">
        <is>
          <t>2026-09-30</t>
        </is>
      </c>
      <c r="B1271" s="76" t="inlineStr">
        <is>
          <t>Abilities</t>
        </is>
      </c>
      <c r="C1271" s="76" t="inlineStr">
        <is>
          <t>Spinda abilities</t>
        </is>
      </c>
      <c r="D1271" s="76" t="inlineStr">
        <is>
          <t>Own Tempo / Tangled Feet / Contrary</t>
        </is>
      </c>
      <c r="E1271" s="76" t="inlineStr">
        <is>
          <t>Tangled Feet / Tangled Feet / Contrary</t>
        </is>
      </c>
      <c r="F1271" s="76" t="inlineStr">
        <is>
          <t>Differs from upstream baseline</t>
        </is>
      </c>
      <c r="G1271" s="76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6" t="inlineStr">
        <is>
          <t>2026-09-30</t>
        </is>
      </c>
      <c r="B1273" s="76" t="inlineStr">
        <is>
          <t>Pokemon Stats</t>
        </is>
      </c>
      <c r="C1273" s="76" t="inlineStr">
        <is>
          <t>Spiritomb baseAttack</t>
        </is>
      </c>
      <c r="D1273" s="76" t="n">
        <v>92</v>
      </c>
      <c r="E1273" s="76" t="n">
        <v>108</v>
      </c>
      <c r="F1273" s="76" t="inlineStr">
        <is>
          <t>Differs from upstream baseline</t>
        </is>
      </c>
      <c r="G1273" s="76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6" t="inlineStr">
        <is>
          <t>2026-09-30</t>
        </is>
      </c>
      <c r="B1275" s="76" t="inlineStr">
        <is>
          <t>Pokemon Stats</t>
        </is>
      </c>
      <c r="C1275" s="76" t="inlineStr">
        <is>
          <t>Spoink baseAttack</t>
        </is>
      </c>
      <c r="D1275" s="76" t="n">
        <v>25</v>
      </c>
      <c r="E1275" s="76" t="n">
        <v>55</v>
      </c>
      <c r="F1275" s="76" t="inlineStr">
        <is>
          <t>Differs from upstream baseline</t>
        </is>
      </c>
      <c r="G1275" s="76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6" t="inlineStr">
        <is>
          <t>2026-09-30</t>
        </is>
      </c>
      <c r="B1277" s="76" t="inlineStr">
        <is>
          <t>Pokemon Stats</t>
        </is>
      </c>
      <c r="C1277" s="76" t="inlineStr">
        <is>
          <t>Stantler baseAttack</t>
        </is>
      </c>
      <c r="D1277" s="76" t="n">
        <v>95</v>
      </c>
      <c r="E1277" s="76" t="n">
        <v>105</v>
      </c>
      <c r="F1277" s="76" t="inlineStr">
        <is>
          <t>Differs from upstream baseline</t>
        </is>
      </c>
      <c r="G1277" s="76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6" t="inlineStr">
        <is>
          <t>2026-09-30</t>
        </is>
      </c>
      <c r="B1279" s="76" t="inlineStr">
        <is>
          <t>Pokemon Stats</t>
        </is>
      </c>
      <c r="C1279" s="76" t="inlineStr">
        <is>
          <t>Stantler baseSpAttack</t>
        </is>
      </c>
      <c r="D1279" s="76" t="n">
        <v>85</v>
      </c>
      <c r="E1279" s="76" t="n">
        <v>105</v>
      </c>
      <c r="F1279" s="76" t="inlineStr">
        <is>
          <t>Differs from upstream baseline</t>
        </is>
      </c>
      <c r="G1279" s="76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6" t="inlineStr">
        <is>
          <t>2026-09-30</t>
        </is>
      </c>
      <c r="B1281" s="76" t="inlineStr">
        <is>
          <t>Abilities</t>
        </is>
      </c>
      <c r="C1281" s="76" t="inlineStr">
        <is>
          <t>Stantler abilities</t>
        </is>
      </c>
      <c r="D1281" s="76" t="inlineStr">
        <is>
          <t>Intimidate / Frisk / Sap Sipper</t>
        </is>
      </c>
      <c r="E1281" s="76" t="inlineStr">
        <is>
          <t>Intimidate / Intimidate / Sap Sipper</t>
        </is>
      </c>
      <c r="F1281" s="76" t="inlineStr">
        <is>
          <t>Differs from upstream baseline</t>
        </is>
      </c>
      <c r="G1281" s="76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6" t="inlineStr">
        <is>
          <t>2026-09-30</t>
        </is>
      </c>
      <c r="B1283" s="76" t="inlineStr">
        <is>
          <t>Pokemon Stats</t>
        </is>
      </c>
      <c r="C1283" s="76" t="inlineStr">
        <is>
          <t>Staraptor baseSpeed</t>
        </is>
      </c>
      <c r="D1283" s="76" t="n">
        <v>100</v>
      </c>
      <c r="E1283" s="76" t="n">
        <v>105</v>
      </c>
      <c r="F1283" s="76" t="inlineStr">
        <is>
          <t>Differs from upstream baseline</t>
        </is>
      </c>
      <c r="G1283" s="76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6" t="inlineStr">
        <is>
          <t>2026-09-30</t>
        </is>
      </c>
      <c r="B1285" s="76" t="inlineStr">
        <is>
          <t>Abilities</t>
        </is>
      </c>
      <c r="C1285" s="76" t="inlineStr">
        <is>
          <t>Staravia abilities</t>
        </is>
      </c>
      <c r="D1285" s="76" t="inlineStr">
        <is>
          <t>Intimidate / Reckless</t>
        </is>
      </c>
      <c r="E1285" s="76" t="inlineStr">
        <is>
          <t>Reckless / Reckless</t>
        </is>
      </c>
      <c r="F1285" s="76" t="inlineStr">
        <is>
          <t>Differs from upstream baseline</t>
        </is>
      </c>
      <c r="G1285" s="76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6" t="inlineStr">
        <is>
          <t>2026-09-30</t>
        </is>
      </c>
      <c r="B1287" s="76" t="inlineStr">
        <is>
          <t>Pokemon Stats</t>
        </is>
      </c>
      <c r="C1287" s="76" t="inlineStr">
        <is>
          <t>Starmie baseSpDefense</t>
        </is>
      </c>
      <c r="D1287" s="76" t="n">
        <v>85</v>
      </c>
      <c r="E1287" s="76" t="n">
        <v>100</v>
      </c>
      <c r="F1287" s="76" t="inlineStr">
        <is>
          <t>Differs from upstream baseline</t>
        </is>
      </c>
      <c r="G1287" s="76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6" t="inlineStr">
        <is>
          <t>2026-09-30</t>
        </is>
      </c>
      <c r="B1289" s="76" t="inlineStr">
        <is>
          <t>Abilities</t>
        </is>
      </c>
      <c r="C1289" s="76" t="inlineStr">
        <is>
          <t>Staryu abilities</t>
        </is>
      </c>
      <c r="D1289" s="76" t="inlineStr">
        <is>
          <t>Illuminate / Natural Cure / Analytic</t>
        </is>
      </c>
      <c r="E1289" s="76" t="inlineStr">
        <is>
          <t>Magic Guard / Natural Cure / Analytic</t>
        </is>
      </c>
      <c r="F1289" s="76" t="inlineStr">
        <is>
          <t>Differs from upstream baseline</t>
        </is>
      </c>
      <c r="G1289" s="76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6" t="inlineStr">
        <is>
          <t>2026-09-30</t>
        </is>
      </c>
      <c r="B1291" s="76" t="inlineStr">
        <is>
          <t>Pokemon Stats</t>
        </is>
      </c>
      <c r="C1291" s="76" t="inlineStr">
        <is>
          <t>Steelix baseAttack</t>
        </is>
      </c>
      <c r="D1291" s="76" t="n">
        <v>85</v>
      </c>
      <c r="E1291" s="76" t="n">
        <v>115</v>
      </c>
      <c r="F1291" s="76" t="inlineStr">
        <is>
          <t>Differs from upstream baseline</t>
        </is>
      </c>
      <c r="G1291" s="76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6" t="inlineStr">
        <is>
          <t>2026-09-30</t>
        </is>
      </c>
      <c r="B1293" s="76" t="inlineStr">
        <is>
          <t>Pokemon Stats</t>
        </is>
      </c>
      <c r="C1293" s="76" t="inlineStr">
        <is>
          <t>Steelix baseSpDefense</t>
        </is>
      </c>
      <c r="D1293" s="76" t="n">
        <v>65</v>
      </c>
      <c r="E1293" s="76" t="n">
        <v>75</v>
      </c>
      <c r="F1293" s="76" t="inlineStr">
        <is>
          <t>Differs from upstream baseline</t>
        </is>
      </c>
      <c r="G1293" s="76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6" t="inlineStr">
        <is>
          <t>2026-09-30</t>
        </is>
      </c>
      <c r="B1295" s="76" t="inlineStr">
        <is>
          <t>Pokemon Stats</t>
        </is>
      </c>
      <c r="C1295" s="76" t="inlineStr">
        <is>
          <t>Steelix baseAttack</t>
        </is>
      </c>
      <c r="D1295" s="76" t="n">
        <v>125</v>
      </c>
      <c r="E1295" s="76" t="n">
        <v>155</v>
      </c>
      <c r="F1295" s="76" t="inlineStr">
        <is>
          <t>Differs from upstream baseline</t>
        </is>
      </c>
      <c r="G1295" s="76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6" t="inlineStr">
        <is>
          <t>2026-09-30</t>
        </is>
      </c>
      <c r="B1297" s="76" t="inlineStr">
        <is>
          <t>Pokemon Stats</t>
        </is>
      </c>
      <c r="C1297" s="76" t="inlineStr">
        <is>
          <t>Stoutland baseHP</t>
        </is>
      </c>
      <c r="D1297" s="76" t="n">
        <v>85</v>
      </c>
      <c r="E1297" s="76" t="n">
        <v>95</v>
      </c>
      <c r="F1297" s="76" t="inlineStr">
        <is>
          <t>Differs from upstream baseline</t>
        </is>
      </c>
      <c r="G1297" s="76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6" t="inlineStr">
        <is>
          <t>2026-09-30</t>
        </is>
      </c>
      <c r="B1299" s="76" t="inlineStr">
        <is>
          <t>Pokemon Stats</t>
        </is>
      </c>
      <c r="C1299" s="76" t="inlineStr">
        <is>
          <t>Stoutland baseSpAttack</t>
        </is>
      </c>
      <c r="D1299" s="76" t="n">
        <v>45</v>
      </c>
      <c r="E1299" s="76" t="n">
        <v>30</v>
      </c>
      <c r="F1299" s="76" t="inlineStr">
        <is>
          <t>Differs from upstream baseline</t>
        </is>
      </c>
      <c r="G1299" s="76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6" t="inlineStr">
        <is>
          <t>2026-09-30</t>
        </is>
      </c>
      <c r="B1301" s="76" t="inlineStr">
        <is>
          <t>Pokemon Stats</t>
        </is>
      </c>
      <c r="C1301" s="76" t="inlineStr">
        <is>
          <t>Stunfisk baseHP</t>
        </is>
      </c>
      <c r="D1301" s="76" t="n">
        <v>109</v>
      </c>
      <c r="E1301" s="76" t="n">
        <v>124</v>
      </c>
      <c r="F1301" s="76" t="inlineStr">
        <is>
          <t>Differs from upstream baseline</t>
        </is>
      </c>
      <c r="G1301" s="76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6" t="inlineStr">
        <is>
          <t>2026-09-30</t>
        </is>
      </c>
      <c r="B1303" s="76" t="inlineStr">
        <is>
          <t>Pokemon Stats</t>
        </is>
      </c>
      <c r="C1303" s="76" t="inlineStr">
        <is>
          <t>Stunfisk baseSpAttack</t>
        </is>
      </c>
      <c r="D1303" s="76" t="n">
        <v>81</v>
      </c>
      <c r="E1303" s="76" t="n">
        <v>91</v>
      </c>
      <c r="F1303" s="76" t="inlineStr">
        <is>
          <t>Differs from upstream baseline</t>
        </is>
      </c>
      <c r="G1303" s="76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6" t="inlineStr">
        <is>
          <t>2026-09-30</t>
        </is>
      </c>
      <c r="B1305" s="76" t="inlineStr">
        <is>
          <t>Abilities</t>
        </is>
      </c>
      <c r="C1305" s="76" t="inlineStr">
        <is>
          <t>Stunfisk abilities</t>
        </is>
      </c>
      <c r="D1305" s="76" t="inlineStr">
        <is>
          <t>Static / Limber / Sand Veil</t>
        </is>
      </c>
      <c r="E1305" s="76" t="inlineStr">
        <is>
          <t>Static / Limber / Water Absorb</t>
        </is>
      </c>
      <c r="F1305" s="76" t="inlineStr">
        <is>
          <t>Differs from upstream baseline</t>
        </is>
      </c>
      <c r="G1305" s="76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6" t="inlineStr">
        <is>
          <t>2026-09-30</t>
        </is>
      </c>
      <c r="B1307" s="76" t="inlineStr">
        <is>
          <t>Pokemon Stats</t>
        </is>
      </c>
      <c r="C1307" s="76" t="inlineStr">
        <is>
          <t>Stunfisk baseSpAttack</t>
        </is>
      </c>
      <c r="D1307" s="76" t="n">
        <v>66</v>
      </c>
      <c r="E1307" s="76" t="n">
        <v>67</v>
      </c>
      <c r="F1307" s="76" t="inlineStr">
        <is>
          <t>Differs from upstream baseline</t>
        </is>
      </c>
      <c r="G1307" s="76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6" t="inlineStr">
        <is>
          <t>2026-09-30</t>
        </is>
      </c>
      <c r="B1309" s="76" t="inlineStr">
        <is>
          <t>Pokemon Stats</t>
        </is>
      </c>
      <c r="C1309" s="76" t="inlineStr">
        <is>
          <t>Stunky baseSpAttack</t>
        </is>
      </c>
      <c r="D1309" s="76" t="n">
        <v>41</v>
      </c>
      <c r="E1309" s="76" t="n">
        <v>61</v>
      </c>
      <c r="F1309" s="76" t="inlineStr">
        <is>
          <t>Differs from upstream baseline</t>
        </is>
      </c>
      <c r="G1309" s="76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6" t="inlineStr">
        <is>
          <t>2026-09-30</t>
        </is>
      </c>
      <c r="B1311" s="76" t="inlineStr">
        <is>
          <t>Abilities</t>
        </is>
      </c>
      <c r="C1311" s="76" t="inlineStr">
        <is>
          <t>Sudowoodo abilities</t>
        </is>
      </c>
      <c r="D1311" s="76" t="inlineStr">
        <is>
          <t>Sturdy / Rock Head / Rattled</t>
        </is>
      </c>
      <c r="E1311" s="76" t="inlineStr">
        <is>
          <t>Rock Head / Rock Head / Rattled</t>
        </is>
      </c>
      <c r="F1311" s="76" t="inlineStr">
        <is>
          <t>Differs from upstream baseline</t>
        </is>
      </c>
      <c r="G1311" s="76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6" t="inlineStr">
        <is>
          <t>2026-09-30</t>
        </is>
      </c>
      <c r="B1313" s="76" t="inlineStr">
        <is>
          <t>Abilities</t>
        </is>
      </c>
      <c r="C1313" s="76" t="inlineStr">
        <is>
          <t>Sunflora abilities</t>
        </is>
      </c>
      <c r="D1313" s="76" t="inlineStr">
        <is>
          <t>Chlorophyll / Solar Power / Early Bird</t>
        </is>
      </c>
      <c r="E1313" s="76" t="inlineStr">
        <is>
          <t>Solar Power / Solar Power / Early Bird</t>
        </is>
      </c>
      <c r="F1313" s="76" t="inlineStr">
        <is>
          <t>Differs from upstream baseline</t>
        </is>
      </c>
      <c r="G1313" s="76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6" t="inlineStr">
        <is>
          <t>2026-09-30</t>
        </is>
      </c>
      <c r="B1315" s="76" t="inlineStr">
        <is>
          <t>Pokemon Stats</t>
        </is>
      </c>
      <c r="C1315" s="76" t="inlineStr">
        <is>
          <t>Surskit baseHP</t>
        </is>
      </c>
      <c r="D1315" s="76" t="n">
        <v>40</v>
      </c>
      <c r="E1315" s="76" t="n">
        <v>70</v>
      </c>
      <c r="F1315" s="76" t="inlineStr">
        <is>
          <t>Differs from upstream baseline</t>
        </is>
      </c>
      <c r="G1315" s="76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6" t="inlineStr">
        <is>
          <t>2026-09-30</t>
        </is>
      </c>
      <c r="B1317" s="76" t="inlineStr">
        <is>
          <t>Pokemon Stats</t>
        </is>
      </c>
      <c r="C1317" s="76" t="inlineStr">
        <is>
          <t>Surskit baseSpAttack</t>
        </is>
      </c>
      <c r="D1317" s="76" t="n">
        <v>50</v>
      </c>
      <c r="E1317" s="76" t="n">
        <v>100</v>
      </c>
      <c r="F1317" s="76" t="inlineStr">
        <is>
          <t>Differs from upstream baseline</t>
        </is>
      </c>
      <c r="G1317" s="76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6" t="inlineStr">
        <is>
          <t>2026-09-30</t>
        </is>
      </c>
      <c r="B1319" s="76" t="inlineStr">
        <is>
          <t>Evolutions</t>
        </is>
      </c>
      <c r="C1319" s="76" t="inlineStr">
        <is>
          <t>Swadloon evolution</t>
        </is>
      </c>
      <c r="D1319" s="76" t="inlineStr">
        <is>
          <t>Friendship -&gt; Leavanny</t>
        </is>
      </c>
      <c r="E1319" s="76" t="inlineStr">
        <is>
          <t>Lv 30 -&gt; Leavanny</t>
        </is>
      </c>
      <c r="F1319" s="76" t="inlineStr">
        <is>
          <t>Differs from upstream baseline</t>
        </is>
      </c>
      <c r="G1319" s="76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6" t="inlineStr">
        <is>
          <t>2026-09-30</t>
        </is>
      </c>
      <c r="B1321" s="76" t="inlineStr">
        <is>
          <t>Abilities</t>
        </is>
      </c>
      <c r="C1321" s="76" t="inlineStr">
        <is>
          <t>Swampert abilities</t>
        </is>
      </c>
      <c r="D1321" s="76" t="inlineStr">
        <is>
          <t>Torrent / Damp</t>
        </is>
      </c>
      <c r="E1321" s="76" t="inlineStr">
        <is>
          <t>Swift Swim / Torrent / Damp</t>
        </is>
      </c>
      <c r="F1321" s="76" t="inlineStr">
        <is>
          <t>Differs from upstream baseline</t>
        </is>
      </c>
      <c r="G1321" s="76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6" t="inlineStr">
        <is>
          <t>2026-09-30</t>
        </is>
      </c>
      <c r="B1323" s="76" t="inlineStr">
        <is>
          <t>Pokemon Stats</t>
        </is>
      </c>
      <c r="C1323" s="76" t="inlineStr">
        <is>
          <t>Swanna baseSpeed</t>
        </is>
      </c>
      <c r="D1323" s="76" t="n">
        <v>98</v>
      </c>
      <c r="E1323" s="76" t="n">
        <v>108</v>
      </c>
      <c r="F1323" s="76" t="inlineStr">
        <is>
          <t>Differs from upstream baseline</t>
        </is>
      </c>
      <c r="G1323" s="76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6" t="inlineStr">
        <is>
          <t>2026-09-30</t>
        </is>
      </c>
      <c r="B1325" s="76" t="inlineStr">
        <is>
          <t>Pokemon Stats</t>
        </is>
      </c>
      <c r="C1325" s="76" t="inlineStr">
        <is>
          <t>Swellow baseSpAttack</t>
        </is>
      </c>
      <c r="D1325" s="76" t="n">
        <v>75</v>
      </c>
      <c r="E1325" s="76" t="n">
        <v>50</v>
      </c>
      <c r="F1325" s="76" t="inlineStr">
        <is>
          <t>Differs from upstream baseline</t>
        </is>
      </c>
      <c r="G1325" s="76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6" t="inlineStr">
        <is>
          <t>2026-09-30</t>
        </is>
      </c>
      <c r="B1327" s="76" t="inlineStr">
        <is>
          <t>Pokemon Stats</t>
        </is>
      </c>
      <c r="C1327" s="76" t="inlineStr">
        <is>
          <t>Swoobat baseHP</t>
        </is>
      </c>
      <c r="D1327" s="76" t="n">
        <v>67</v>
      </c>
      <c r="E1327" s="76" t="n">
        <v>69</v>
      </c>
      <c r="F1327" s="76" t="inlineStr">
        <is>
          <t>Differs from upstream baseline</t>
        </is>
      </c>
      <c r="G1327" s="76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6" t="inlineStr">
        <is>
          <t>2026-09-30</t>
        </is>
      </c>
      <c r="B1329" s="76" t="inlineStr">
        <is>
          <t>Pokemon Stats</t>
        </is>
      </c>
      <c r="C1329" s="76" t="inlineStr">
        <is>
          <t>Swoobat baseDefense</t>
        </is>
      </c>
      <c r="D1329" s="76" t="n">
        <v>55</v>
      </c>
      <c r="E1329" s="76" t="n">
        <v>70</v>
      </c>
      <c r="F1329" s="76" t="inlineStr">
        <is>
          <t>Differs from upstream baseline</t>
        </is>
      </c>
      <c r="G1329" s="76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6" t="inlineStr">
        <is>
          <t>2026-09-30</t>
        </is>
      </c>
      <c r="B1331" s="76" t="inlineStr">
        <is>
          <t>Pokemon Stats</t>
        </is>
      </c>
      <c r="C1331" s="76" t="inlineStr">
        <is>
          <t>Swoobat baseSpDefense</t>
        </is>
      </c>
      <c r="D1331" s="76" t="n">
        <v>55</v>
      </c>
      <c r="E1331" s="76" t="n">
        <v>72</v>
      </c>
      <c r="F1331" s="76" t="inlineStr">
        <is>
          <t>Differs from upstream baseline</t>
        </is>
      </c>
      <c r="G1331" s="76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6" t="inlineStr">
        <is>
          <t>2026-09-30</t>
        </is>
      </c>
      <c r="B1333" s="76" t="inlineStr">
        <is>
          <t>Abilities</t>
        </is>
      </c>
      <c r="C1333" s="76" t="inlineStr">
        <is>
          <t>Swoobat abilities</t>
        </is>
      </c>
      <c r="D1333" s="76" t="inlineStr">
        <is>
          <t>Unaware / Klutz / Simple</t>
        </is>
      </c>
      <c r="E1333" s="76" t="inlineStr">
        <is>
          <t>Unaware / Simple / Klutz</t>
        </is>
      </c>
      <c r="F1333" s="76" t="inlineStr">
        <is>
          <t>Differs from upstream baseline</t>
        </is>
      </c>
      <c r="G1333" s="76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6" t="inlineStr">
        <is>
          <t>2026-09-30</t>
        </is>
      </c>
      <c r="B1335" s="76" t="inlineStr">
        <is>
          <t>Pokemon Stats</t>
        </is>
      </c>
      <c r="C1335" s="76" t="inlineStr">
        <is>
          <t>Sylveon baseSpAttack</t>
        </is>
      </c>
      <c r="D1335" s="76" t="n">
        <v>110</v>
      </c>
      <c r="E1335" s="76" t="n">
        <v>129</v>
      </c>
      <c r="F1335" s="76" t="inlineStr">
        <is>
          <t>Differs from upstream baseline</t>
        </is>
      </c>
      <c r="G1335" s="76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6" t="inlineStr">
        <is>
          <t>2026-09-30</t>
        </is>
      </c>
      <c r="B1337" s="76" t="inlineStr">
        <is>
          <t>Pokemon Stats</t>
        </is>
      </c>
      <c r="C1337" s="76" t="inlineStr">
        <is>
          <t>Talonflame baseHP</t>
        </is>
      </c>
      <c r="D1337" s="76" t="n">
        <v>78</v>
      </c>
      <c r="E1337" s="76" t="n">
        <v>80</v>
      </c>
      <c r="F1337" s="76" t="inlineStr">
        <is>
          <t>Differs from upstream baseline</t>
        </is>
      </c>
      <c r="G1337" s="76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6" t="inlineStr">
        <is>
          <t>2026-09-30</t>
        </is>
      </c>
      <c r="B1339" s="76" t="inlineStr">
        <is>
          <t>Pokemon Stats</t>
        </is>
      </c>
      <c r="C1339" s="76" t="inlineStr">
        <is>
          <t>Talonflame baseDefense</t>
        </is>
      </c>
      <c r="D1339" s="76" t="n">
        <v>71</v>
      </c>
      <c r="E1339" s="76" t="n">
        <v>75</v>
      </c>
      <c r="F1339" s="76" t="inlineStr">
        <is>
          <t>Differs from upstream baseline</t>
        </is>
      </c>
      <c r="G1339" s="76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6" t="inlineStr">
        <is>
          <t>2026-09-30</t>
        </is>
      </c>
      <c r="B1341" s="76" t="inlineStr">
        <is>
          <t>Pokemon Stats</t>
        </is>
      </c>
      <c r="C1341" s="76" t="inlineStr">
        <is>
          <t>Talonflame baseSpDefense</t>
        </is>
      </c>
      <c r="D1341" s="76" t="n">
        <v>69</v>
      </c>
      <c r="E1341" s="76" t="n">
        <v>75</v>
      </c>
      <c r="F1341" s="76" t="inlineStr">
        <is>
          <t>Differs from upstream baseline</t>
        </is>
      </c>
      <c r="G1341" s="76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6" t="inlineStr">
        <is>
          <t>2026-09-30</t>
        </is>
      </c>
      <c r="B1343" s="76" t="inlineStr">
        <is>
          <t>Abilities</t>
        </is>
      </c>
      <c r="C1343" s="76" t="inlineStr">
        <is>
          <t>Tangela abilities</t>
        </is>
      </c>
      <c r="D1343" s="76" t="inlineStr">
        <is>
          <t>Chlorophyll / Leaf Guard / Regenerator</t>
        </is>
      </c>
      <c r="E1343" s="76" t="inlineStr">
        <is>
          <t>Chlorophyll / Overgrow / Regenerator</t>
        </is>
      </c>
      <c r="F1343" s="76" t="inlineStr">
        <is>
          <t>Differs from upstream baseline</t>
        </is>
      </c>
      <c r="G1343" s="76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6" t="inlineStr">
        <is>
          <t>2026-09-30</t>
        </is>
      </c>
      <c r="B1345" s="76" t="inlineStr">
        <is>
          <t>Pokemon Stats</t>
        </is>
      </c>
      <c r="C1345" s="76" t="inlineStr">
        <is>
          <t>Tangrowth baseSpeed</t>
        </is>
      </c>
      <c r="D1345" s="76" t="n">
        <v>50</v>
      </c>
      <c r="E1345" s="76" t="n">
        <v>10</v>
      </c>
      <c r="F1345" s="76" t="inlineStr">
        <is>
          <t>Differs from upstream baseline</t>
        </is>
      </c>
      <c r="G1345" s="76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6" t="inlineStr">
        <is>
          <t>2026-09-30</t>
        </is>
      </c>
      <c r="B1347" s="76" t="inlineStr">
        <is>
          <t>Pokemon Stats</t>
        </is>
      </c>
      <c r="C1347" s="76" t="inlineStr">
        <is>
          <t>Tauros baseHP</t>
        </is>
      </c>
      <c r="D1347" s="76" t="n">
        <v>75</v>
      </c>
      <c r="E1347" s="76" t="n">
        <v>85</v>
      </c>
      <c r="F1347" s="76" t="inlineStr">
        <is>
          <t>Differs from upstream baseline</t>
        </is>
      </c>
      <c r="G1347" s="76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6" t="inlineStr">
        <is>
          <t>2026-09-30</t>
        </is>
      </c>
      <c r="B1349" s="76" t="inlineStr">
        <is>
          <t>Pokemon Stats</t>
        </is>
      </c>
      <c r="C1349" s="76" t="inlineStr">
        <is>
          <t>Tauros baseDefense</t>
        </is>
      </c>
      <c r="D1349" s="76" t="n">
        <v>95</v>
      </c>
      <c r="E1349" s="76" t="n">
        <v>105</v>
      </c>
      <c r="F1349" s="76" t="inlineStr">
        <is>
          <t>Differs from upstream baseline</t>
        </is>
      </c>
      <c r="G1349" s="76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6" t="inlineStr">
        <is>
          <t>2026-09-30</t>
        </is>
      </c>
      <c r="B1351" s="76" t="inlineStr">
        <is>
          <t>Pokemon Stats</t>
        </is>
      </c>
      <c r="C1351" s="76" t="inlineStr">
        <is>
          <t>Tauros baseSpAttack</t>
        </is>
      </c>
      <c r="D1351" s="76" t="n">
        <v>30</v>
      </c>
      <c r="E1351" s="76" t="n">
        <v>33</v>
      </c>
      <c r="F1351" s="76" t="inlineStr">
        <is>
          <t>Differs from upstream baseline</t>
        </is>
      </c>
      <c r="G1351" s="76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6" t="inlineStr">
        <is>
          <t>2026-09-30</t>
        </is>
      </c>
      <c r="B1353" s="76" t="inlineStr">
        <is>
          <t>Abilities</t>
        </is>
      </c>
      <c r="C1353" s="76" t="inlineStr">
        <is>
          <t>Teddiursa abilities</t>
        </is>
      </c>
      <c r="D1353" s="76" t="inlineStr">
        <is>
          <t>Pickup / Quick Feet / Honey Gather</t>
        </is>
      </c>
      <c r="E1353" s="76" t="inlineStr">
        <is>
          <t>Guts / Quick Feet / Honey Gather</t>
        </is>
      </c>
      <c r="F1353" s="76" t="inlineStr">
        <is>
          <t>Differs from upstream baseline</t>
        </is>
      </c>
      <c r="G1353" s="76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6" t="inlineStr">
        <is>
          <t>2026-09-30</t>
        </is>
      </c>
      <c r="B1355" s="76" t="inlineStr">
        <is>
          <t>Pokemon Stats</t>
        </is>
      </c>
      <c r="C1355" s="76" t="inlineStr">
        <is>
          <t>Tentacruel baseAttack</t>
        </is>
      </c>
      <c r="D1355" s="76" t="n">
        <v>70</v>
      </c>
      <c r="E1355" s="76" t="n">
        <v>80</v>
      </c>
      <c r="F1355" s="76" t="inlineStr">
        <is>
          <t>Differs from upstream baseline</t>
        </is>
      </c>
      <c r="G1355" s="76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6" t="inlineStr">
        <is>
          <t>2026-09-30</t>
        </is>
      </c>
      <c r="B1357" s="76" t="inlineStr">
        <is>
          <t>Abilities</t>
        </is>
      </c>
      <c r="C1357" s="76" t="inlineStr">
        <is>
          <t>Tentacruel abilities</t>
        </is>
      </c>
      <c r="D1357" s="76" t="inlineStr">
        <is>
          <t>Clear Body / Liquid Ooze / Rain Dish</t>
        </is>
      </c>
      <c r="E1357" s="76" t="inlineStr">
        <is>
          <t>Rain Dish / Clear Body / Rain Dish</t>
        </is>
      </c>
      <c r="F1357" s="76" t="inlineStr">
        <is>
          <t>Differs from upstream baseline</t>
        </is>
      </c>
      <c r="G1357" s="76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6" t="inlineStr">
        <is>
          <t>2026-09-30</t>
        </is>
      </c>
      <c r="B1359" s="76" t="inlineStr">
        <is>
          <t>Pokemon Stats</t>
        </is>
      </c>
      <c r="C1359" s="76" t="inlineStr">
        <is>
          <t>Terrakion baseSpAttack</t>
        </is>
      </c>
      <c r="D1359" s="76" t="n">
        <v>72</v>
      </c>
      <c r="E1359" s="76" t="n">
        <v>32</v>
      </c>
      <c r="F1359" s="76" t="inlineStr">
        <is>
          <t>Differs from upstream baseline</t>
        </is>
      </c>
      <c r="G1359" s="76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6" t="inlineStr">
        <is>
          <t>2026-09-30</t>
        </is>
      </c>
      <c r="B1361" s="76" t="inlineStr">
        <is>
          <t>Pokemon Stats</t>
        </is>
      </c>
      <c r="C1361" s="76" t="inlineStr">
        <is>
          <t>Throh baseHP</t>
        </is>
      </c>
      <c r="D1361" s="76" t="n">
        <v>120</v>
      </c>
      <c r="E1361" s="76" t="n">
        <v>130</v>
      </c>
      <c r="F1361" s="76" t="inlineStr">
        <is>
          <t>Differs from upstream baseline</t>
        </is>
      </c>
      <c r="G1361" s="76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6" t="inlineStr">
        <is>
          <t>2026-09-30</t>
        </is>
      </c>
      <c r="B1363" s="76" t="inlineStr">
        <is>
          <t>Pokemon Stats</t>
        </is>
      </c>
      <c r="C1363" s="76" t="inlineStr">
        <is>
          <t>Throh baseSpDefense</t>
        </is>
      </c>
      <c r="D1363" s="76" t="n">
        <v>85</v>
      </c>
      <c r="E1363" s="76" t="n">
        <v>95</v>
      </c>
      <c r="F1363" s="76" t="inlineStr">
        <is>
          <t>Differs from upstream baseline</t>
        </is>
      </c>
      <c r="G1363" s="76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6" t="inlineStr">
        <is>
          <t>2026-09-30</t>
        </is>
      </c>
      <c r="B1365" s="76" t="inlineStr">
        <is>
          <t>Abilities</t>
        </is>
      </c>
      <c r="C1365" s="76" t="inlineStr">
        <is>
          <t>Togekiss abilities</t>
        </is>
      </c>
      <c r="D1365" s="76" t="inlineStr">
        <is>
          <t>Hustle / Serene Grace / Super Luck</t>
        </is>
      </c>
      <c r="E1365" s="76" t="inlineStr">
        <is>
          <t>Serene Grace / Serene Grace / Super Luck</t>
        </is>
      </c>
      <c r="F1365" s="76" t="inlineStr">
        <is>
          <t>Differs from upstream baseline</t>
        </is>
      </c>
      <c r="G1365" s="76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6" t="inlineStr">
        <is>
          <t>2026-09-30</t>
        </is>
      </c>
      <c r="B1367" s="76" t="inlineStr">
        <is>
          <t>Evolutions</t>
        </is>
      </c>
      <c r="C1367" s="76" t="inlineStr">
        <is>
          <t>Togepi evolution</t>
        </is>
      </c>
      <c r="D1367" s="76" t="inlineStr">
        <is>
          <t>Friendship -&gt; Togetic</t>
        </is>
      </c>
      <c r="E1367" s="76" t="inlineStr">
        <is>
          <t>Lv 15 -&gt; Togetic</t>
        </is>
      </c>
      <c r="F1367" s="76" t="inlineStr">
        <is>
          <t>Differs from upstream baseline</t>
        </is>
      </c>
      <c r="G1367" s="76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6" t="inlineStr">
        <is>
          <t>2026-09-30</t>
        </is>
      </c>
      <c r="B1369" s="76" t="inlineStr">
        <is>
          <t>Pokemon Stats</t>
        </is>
      </c>
      <c r="C1369" s="76" t="inlineStr">
        <is>
          <t>Torkoal baseSpDefense</t>
        </is>
      </c>
      <c r="D1369" s="76" t="n">
        <v>70</v>
      </c>
      <c r="E1369" s="76" t="n">
        <v>105</v>
      </c>
      <c r="F1369" s="76" t="inlineStr">
        <is>
          <t>Differs from upstream baseline</t>
        </is>
      </c>
      <c r="G1369" s="76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6" t="inlineStr">
        <is>
          <t>2026-09-30</t>
        </is>
      </c>
      <c r="B1371" s="76" t="inlineStr">
        <is>
          <t>Pokemon Stats</t>
        </is>
      </c>
      <c r="C1371" s="76" t="inlineStr">
        <is>
          <t>Torterra baseAttack</t>
        </is>
      </c>
      <c r="D1371" s="76" t="n">
        <v>109</v>
      </c>
      <c r="E1371" s="76" t="n">
        <v>111</v>
      </c>
      <c r="F1371" s="76" t="inlineStr">
        <is>
          <t>Differs from upstream baseline</t>
        </is>
      </c>
      <c r="G1371" s="76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6" t="inlineStr">
        <is>
          <t>2026-09-30</t>
        </is>
      </c>
      <c r="B1373" s="76" t="inlineStr">
        <is>
          <t>Pokemon Stats</t>
        </is>
      </c>
      <c r="C1373" s="76" t="inlineStr">
        <is>
          <t>Torterra baseSpDefense</t>
        </is>
      </c>
      <c r="D1373" s="76" t="n">
        <v>85</v>
      </c>
      <c r="E1373" s="76" t="n">
        <v>105</v>
      </c>
      <c r="F1373" s="76" t="inlineStr">
        <is>
          <t>Differs from upstream baseline</t>
        </is>
      </c>
      <c r="G1373" s="76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6" t="inlineStr">
        <is>
          <t>2026-09-30</t>
        </is>
      </c>
      <c r="B1375" s="76" t="inlineStr">
        <is>
          <t>Abilities</t>
        </is>
      </c>
      <c r="C1375" s="76" t="inlineStr">
        <is>
          <t>Totodile abilities</t>
        </is>
      </c>
      <c r="D1375" s="76" t="inlineStr">
        <is>
          <t>Torrent / Sheer Force</t>
        </is>
      </c>
      <c r="E1375" s="76" t="inlineStr">
        <is>
          <t>Torrent / Torrent / Sheer Force</t>
        </is>
      </c>
      <c r="F1375" s="76" t="inlineStr">
        <is>
          <t>Differs from upstream baseline</t>
        </is>
      </c>
      <c r="G1375" s="76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6" t="inlineStr">
        <is>
          <t>2026-09-30</t>
        </is>
      </c>
      <c r="B1377" s="76" t="inlineStr">
        <is>
          <t>Pokemon Stats</t>
        </is>
      </c>
      <c r="C1377" s="76" t="inlineStr">
        <is>
          <t>Tranquill baseHP</t>
        </is>
      </c>
      <c r="D1377" s="76" t="n">
        <v>62</v>
      </c>
      <c r="E1377" s="76" t="n">
        <v>63</v>
      </c>
      <c r="F1377" s="76" t="inlineStr">
        <is>
          <t>Differs from upstream baseline</t>
        </is>
      </c>
      <c r="G1377" s="76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6" t="inlineStr">
        <is>
          <t>2026-09-30</t>
        </is>
      </c>
      <c r="B1379" s="76" t="inlineStr">
        <is>
          <t>Pokemon Stats</t>
        </is>
      </c>
      <c r="C1379" s="76" t="inlineStr">
        <is>
          <t>Tranquill baseSpAttack</t>
        </is>
      </c>
      <c r="D1379" s="76" t="n">
        <v>50</v>
      </c>
      <c r="E1379" s="76" t="n">
        <v>77</v>
      </c>
      <c r="F1379" s="76" t="inlineStr">
        <is>
          <t>Differs from upstream baseline</t>
        </is>
      </c>
      <c r="G1379" s="76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6" t="inlineStr">
        <is>
          <t>2026-09-30</t>
        </is>
      </c>
      <c r="B1381" s="76" t="inlineStr">
        <is>
          <t>Abilities</t>
        </is>
      </c>
      <c r="C1381" s="76" t="inlineStr">
        <is>
          <t>Trapinch abilities</t>
        </is>
      </c>
      <c r="D1381" s="76" t="inlineStr">
        <is>
          <t>Hyper Cutter / Arena Trap / Sheer Force</t>
        </is>
      </c>
      <c r="E1381" s="76" t="inlineStr">
        <is>
          <t>Arena Trap / Arena Trap / Sheer Force</t>
        </is>
      </c>
      <c r="F1381" s="76" t="inlineStr">
        <is>
          <t>Differs from upstream baseline</t>
        </is>
      </c>
      <c r="G1381" s="76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6" t="inlineStr">
        <is>
          <t>2026-09-30</t>
        </is>
      </c>
      <c r="B1383" s="76" t="inlineStr">
        <is>
          <t>Pokemon Stats</t>
        </is>
      </c>
      <c r="C1383" s="76" t="inlineStr">
        <is>
          <t>Trevenant baseAttack</t>
        </is>
      </c>
      <c r="D1383" s="76" t="n">
        <v>110</v>
      </c>
      <c r="E1383" s="76" t="n">
        <v>139</v>
      </c>
      <c r="F1383" s="76" t="inlineStr">
        <is>
          <t>Differs from upstream baseline</t>
        </is>
      </c>
      <c r="G1383" s="76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6" t="inlineStr">
        <is>
          <t>2026-09-30</t>
        </is>
      </c>
      <c r="B1385" s="76" t="inlineStr">
        <is>
          <t>Pokemon Stats</t>
        </is>
      </c>
      <c r="C1385" s="76" t="inlineStr">
        <is>
          <t>Trevenant baseSpeed</t>
        </is>
      </c>
      <c r="D1385" s="76" t="n">
        <v>56</v>
      </c>
      <c r="E1385" s="76" t="n">
        <v>72</v>
      </c>
      <c r="F1385" s="76" t="inlineStr">
        <is>
          <t>Differs from upstream baseline</t>
        </is>
      </c>
      <c r="G1385" s="76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6" t="inlineStr">
        <is>
          <t>2026-09-30</t>
        </is>
      </c>
      <c r="B1387" s="76" t="inlineStr">
        <is>
          <t>Pokemon Stats</t>
        </is>
      </c>
      <c r="C1387" s="76" t="inlineStr">
        <is>
          <t>Tropius baseAttack</t>
        </is>
      </c>
      <c r="D1387" s="76" t="n">
        <v>68</v>
      </c>
      <c r="E1387" s="76" t="n">
        <v>92</v>
      </c>
      <c r="F1387" s="76" t="inlineStr">
        <is>
          <t>Differs from upstream baseline</t>
        </is>
      </c>
      <c r="G1387" s="76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6" t="inlineStr">
        <is>
          <t>2026-09-30</t>
        </is>
      </c>
      <c r="B1389" s="76" t="inlineStr">
        <is>
          <t>Pokemon Stats</t>
        </is>
      </c>
      <c r="C1389" s="76" t="inlineStr">
        <is>
          <t>Tropius baseSpAttack</t>
        </is>
      </c>
      <c r="D1389" s="76" t="n">
        <v>72</v>
      </c>
      <c r="E1389" s="76" t="n">
        <v>92</v>
      </c>
      <c r="F1389" s="76" t="inlineStr">
        <is>
          <t>Differs from upstream baseline</t>
        </is>
      </c>
      <c r="G1389" s="76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6" t="inlineStr">
        <is>
          <t>2026-09-30</t>
        </is>
      </c>
      <c r="B1391" s="76" t="inlineStr">
        <is>
          <t>Abilities</t>
        </is>
      </c>
      <c r="C1391" s="76" t="inlineStr">
        <is>
          <t>Tropius abilities</t>
        </is>
      </c>
      <c r="D1391" s="76" t="inlineStr">
        <is>
          <t>Chlorophyll / Solar Power / Harvest</t>
        </is>
      </c>
      <c r="E1391" s="76" t="inlineStr">
        <is>
          <t>Chlorophyll / Overgrow / Harvest</t>
        </is>
      </c>
      <c r="F1391" s="76" t="inlineStr">
        <is>
          <t>Differs from upstream baseline</t>
        </is>
      </c>
      <c r="G1391" s="76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6" t="inlineStr">
        <is>
          <t>2026-09-30</t>
        </is>
      </c>
      <c r="B1393" s="76" t="inlineStr">
        <is>
          <t>Pokemon Stats</t>
        </is>
      </c>
      <c r="C1393" s="76" t="inlineStr">
        <is>
          <t>Typhlosion baseSpAttack</t>
        </is>
      </c>
      <c r="D1393" s="76" t="n">
        <v>109</v>
      </c>
      <c r="E1393" s="76" t="n">
        <v>110</v>
      </c>
      <c r="F1393" s="76" t="inlineStr">
        <is>
          <t>Differs from upstream baseline</t>
        </is>
      </c>
      <c r="G1393" s="76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6" t="inlineStr">
        <is>
          <t>2026-09-30</t>
        </is>
      </c>
      <c r="B1395" s="76" t="inlineStr">
        <is>
          <t>Abilities</t>
        </is>
      </c>
      <c r="C1395" s="76" t="inlineStr">
        <is>
          <t>Tyranitar abilities</t>
        </is>
      </c>
      <c r="D1395" s="76" t="inlineStr">
        <is>
          <t>Sand Stream / Unnerve</t>
        </is>
      </c>
      <c r="E1395" s="76" t="inlineStr">
        <is>
          <t>Solid Rock / Battle Armor / Unnerve</t>
        </is>
      </c>
      <c r="F1395" s="76" t="inlineStr">
        <is>
          <t>Differs from upstream baseline</t>
        </is>
      </c>
      <c r="G1395" s="76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6" t="inlineStr">
        <is>
          <t>2026-09-30</t>
        </is>
      </c>
      <c r="B1397" s="76" t="inlineStr">
        <is>
          <t>Pokemon Stats</t>
        </is>
      </c>
      <c r="C1397" s="76" t="inlineStr">
        <is>
          <t>Tyrantrum baseAttack</t>
        </is>
      </c>
      <c r="D1397" s="76" t="n">
        <v>121</v>
      </c>
      <c r="E1397" s="76" t="n">
        <v>142</v>
      </c>
      <c r="F1397" s="76" t="inlineStr">
        <is>
          <t>Differs from upstream baseline</t>
        </is>
      </c>
      <c r="G1397" s="76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6" t="inlineStr">
        <is>
          <t>2026-09-30</t>
        </is>
      </c>
      <c r="B1399" s="76" t="inlineStr">
        <is>
          <t>Pokemon Stats</t>
        </is>
      </c>
      <c r="C1399" s="76" t="inlineStr">
        <is>
          <t>Tyrantrum baseSpeed</t>
        </is>
      </c>
      <c r="D1399" s="76" t="n">
        <v>71</v>
      </c>
      <c r="E1399" s="76" t="n">
        <v>99</v>
      </c>
      <c r="F1399" s="76" t="inlineStr">
        <is>
          <t>Differs from upstream baseline</t>
        </is>
      </c>
      <c r="G1399" s="76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6" t="inlineStr">
        <is>
          <t>2026-09-30</t>
        </is>
      </c>
      <c r="B1401" s="76" t="inlineStr">
        <is>
          <t>Abilities</t>
        </is>
      </c>
      <c r="C1401" s="76" t="inlineStr">
        <is>
          <t>Tyrogue abilities</t>
        </is>
      </c>
      <c r="D1401" s="76" t="inlineStr">
        <is>
          <t>Guts / Steadfast / Vital Spirit</t>
        </is>
      </c>
      <c r="E1401" s="76" t="inlineStr">
        <is>
          <t>Scrappy / Scrappy / Vital Spirit</t>
        </is>
      </c>
      <c r="F1401" s="76" t="inlineStr">
        <is>
          <t>Differs from upstream baseline</t>
        </is>
      </c>
      <c r="G1401" s="76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6" t="inlineStr">
        <is>
          <t>2026-09-30</t>
        </is>
      </c>
      <c r="B1403" s="76" t="inlineStr">
        <is>
          <t>Pokemon Stats</t>
        </is>
      </c>
      <c r="C1403" s="76" t="inlineStr">
        <is>
          <t>Tyrunt baseSpAttack</t>
        </is>
      </c>
      <c r="D1403" s="76" t="n">
        <v>45</v>
      </c>
      <c r="E1403" s="76" t="n">
        <v>30</v>
      </c>
      <c r="F1403" s="76" t="inlineStr">
        <is>
          <t>Differs from upstream baseline</t>
        </is>
      </c>
      <c r="G1403" s="76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6" t="inlineStr">
        <is>
          <t>2026-09-30</t>
        </is>
      </c>
      <c r="B1405" s="76" t="inlineStr">
        <is>
          <t>Pokemon Stats</t>
        </is>
      </c>
      <c r="C1405" s="76" t="inlineStr">
        <is>
          <t>Unfezant baseHP</t>
        </is>
      </c>
      <c r="D1405" s="76" t="n">
        <v>80</v>
      </c>
      <c r="E1405" s="76" t="n">
        <v>82</v>
      </c>
      <c r="F1405" s="76" t="inlineStr">
        <is>
          <t>Differs from upstream baseline</t>
        </is>
      </c>
      <c r="G1405" s="76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6" t="inlineStr">
        <is>
          <t>2026-09-30</t>
        </is>
      </c>
      <c r="B1407" s="76" t="inlineStr">
        <is>
          <t>Pokemon Stats</t>
        </is>
      </c>
      <c r="C1407" s="76" t="inlineStr">
        <is>
          <t>Unfezant baseSpAttack</t>
        </is>
      </c>
      <c r="D1407" s="76" t="n">
        <v>65</v>
      </c>
      <c r="E1407" s="76" t="n">
        <v>127</v>
      </c>
      <c r="F1407" s="76" t="inlineStr">
        <is>
          <t>Differs from upstream baseline</t>
        </is>
      </c>
      <c r="G1407" s="76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6" t="inlineStr">
        <is>
          <t>2026-09-30</t>
        </is>
      </c>
      <c r="B1409" s="76" t="inlineStr">
        <is>
          <t>Pokemon Stats</t>
        </is>
      </c>
      <c r="C1409" s="76" t="inlineStr">
        <is>
          <t>Unfezant baseSpeed</t>
        </is>
      </c>
      <c r="D1409" s="76" t="n">
        <v>93</v>
      </c>
      <c r="E1409" s="76" t="n">
        <v>121</v>
      </c>
      <c r="F1409" s="76" t="inlineStr">
        <is>
          <t>Differs from upstream baseline</t>
        </is>
      </c>
      <c r="G1409" s="76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6" t="inlineStr">
        <is>
          <t>2026-09-30</t>
        </is>
      </c>
      <c r="B1411" s="76" t="inlineStr">
        <is>
          <t>Pokemon Stats</t>
        </is>
      </c>
      <c r="C1411" s="76" t="inlineStr">
        <is>
          <t>Ursaluna baseAttack</t>
        </is>
      </c>
      <c r="D1411" s="76" t="n">
        <v>140</v>
      </c>
      <c r="E1411" s="76" t="n">
        <v>148</v>
      </c>
      <c r="F1411" s="76" t="inlineStr">
        <is>
          <t>Differs from upstream baseline</t>
        </is>
      </c>
      <c r="G1411" s="76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6" t="inlineStr">
        <is>
          <t>2026-09-30</t>
        </is>
      </c>
      <c r="B1413" s="76" t="inlineStr">
        <is>
          <t>Pokemon Stats</t>
        </is>
      </c>
      <c r="C1413" s="76" t="inlineStr">
        <is>
          <t>Ursaluna baseSpeed</t>
        </is>
      </c>
      <c r="D1413" s="76" t="n">
        <v>50</v>
      </c>
      <c r="E1413" s="76" t="n">
        <v>57</v>
      </c>
      <c r="F1413" s="76" t="inlineStr">
        <is>
          <t>Differs from upstream baseline</t>
        </is>
      </c>
      <c r="G1413" s="76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6" t="inlineStr">
        <is>
          <t>2026-09-30</t>
        </is>
      </c>
      <c r="B1415" s="76" t="inlineStr">
        <is>
          <t>Pokemon Stats</t>
        </is>
      </c>
      <c r="C1415" s="76" t="inlineStr">
        <is>
          <t>Ursaluna baseSpAttack</t>
        </is>
      </c>
      <c r="D1415" s="76" t="n">
        <v>135</v>
      </c>
      <c r="E1415" s="76" t="n">
        <v>157</v>
      </c>
      <c r="F1415" s="76" t="inlineStr">
        <is>
          <t>Differs from upstream baseline</t>
        </is>
      </c>
      <c r="G1415" s="76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6" t="inlineStr">
        <is>
          <t>2026-09-30</t>
        </is>
      </c>
      <c r="B1417" s="76" t="inlineStr">
        <is>
          <t>Pokemon Stats</t>
        </is>
      </c>
      <c r="C1417" s="76" t="inlineStr">
        <is>
          <t>Ursaring baseHP</t>
        </is>
      </c>
      <c r="D1417" s="76" t="n">
        <v>90</v>
      </c>
      <c r="E1417" s="76" t="n">
        <v>100</v>
      </c>
      <c r="F1417" s="76" t="inlineStr">
        <is>
          <t>Differs from upstream baseline</t>
        </is>
      </c>
      <c r="G1417" s="76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6" t="inlineStr">
        <is>
          <t>2026-09-30</t>
        </is>
      </c>
      <c r="B1419" s="76" t="inlineStr">
        <is>
          <t>Pokemon Stats</t>
        </is>
      </c>
      <c r="C1419" s="76" t="inlineStr">
        <is>
          <t>Ursaring baseDefense</t>
        </is>
      </c>
      <c r="D1419" s="76" t="n">
        <v>75</v>
      </c>
      <c r="E1419" s="76" t="n">
        <v>105</v>
      </c>
      <c r="F1419" s="76" t="inlineStr">
        <is>
          <t>Differs from upstream baseline</t>
        </is>
      </c>
      <c r="G1419" s="76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6" t="inlineStr">
        <is>
          <t>2026-09-30</t>
        </is>
      </c>
      <c r="B1421" s="76" t="inlineStr">
        <is>
          <t>Pokemon Stats</t>
        </is>
      </c>
      <c r="C1421" s="76" t="inlineStr">
        <is>
          <t>Ursaring baseSpDefense</t>
        </is>
      </c>
      <c r="D1421" s="76" t="n">
        <v>75</v>
      </c>
      <c r="E1421" s="76" t="n">
        <v>80</v>
      </c>
      <c r="F1421" s="76" t="inlineStr">
        <is>
          <t>Differs from upstream baseline</t>
        </is>
      </c>
      <c r="G1421" s="76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6" t="inlineStr">
        <is>
          <t>2026-09-30</t>
        </is>
      </c>
      <c r="B1423" s="76" t="inlineStr">
        <is>
          <t>Evolutions</t>
        </is>
      </c>
      <c r="C1423" s="76" t="inlineStr">
        <is>
          <t>Vanillish evolution</t>
        </is>
      </c>
      <c r="D1423" s="76" t="inlineStr">
        <is>
          <t>Lv 47 -&gt; Vanilluxe</t>
        </is>
      </c>
      <c r="E1423" s="76" t="inlineStr">
        <is>
          <t>Lv 43 -&gt; Vanilluxe</t>
        </is>
      </c>
      <c r="F1423" s="76" t="inlineStr">
        <is>
          <t>Differs from upstream baseline</t>
        </is>
      </c>
      <c r="G1423" s="76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6" t="inlineStr">
        <is>
          <t>2026-09-30</t>
        </is>
      </c>
      <c r="B1425" s="76" t="inlineStr">
        <is>
          <t>Pokemon Stats</t>
        </is>
      </c>
      <c r="C1425" s="76" t="inlineStr">
        <is>
          <t>Vanilluxe baseSpDefense</t>
        </is>
      </c>
      <c r="D1425" s="76" t="n">
        <v>95</v>
      </c>
      <c r="E1425" s="76" t="n">
        <v>105</v>
      </c>
      <c r="F1425" s="76" t="inlineStr">
        <is>
          <t>Differs from upstream baseline</t>
        </is>
      </c>
      <c r="G1425" s="76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6" t="inlineStr">
        <is>
          <t>2026-09-30</t>
        </is>
      </c>
      <c r="B1427" s="76" t="inlineStr">
        <is>
          <t>Abilities</t>
        </is>
      </c>
      <c r="C1427" s="76" t="inlineStr">
        <is>
          <t>Vaporeon abilities</t>
        </is>
      </c>
      <c r="D1427" s="76" t="inlineStr">
        <is>
          <t>Water Absorb / Water Absorb / Hydration</t>
        </is>
      </c>
      <c r="E1427" s="76" t="inlineStr">
        <is>
          <t>Hydration / Hydration / Hydration</t>
        </is>
      </c>
      <c r="F1427" s="76" t="inlineStr">
        <is>
          <t>Differs from upstream baseline</t>
        </is>
      </c>
      <c r="G1427" s="76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6" t="inlineStr">
        <is>
          <t>2026-09-30</t>
        </is>
      </c>
      <c r="B1429" s="76" t="inlineStr">
        <is>
          <t>Pokemon Stats</t>
        </is>
      </c>
      <c r="C1429" s="76" t="inlineStr">
        <is>
          <t>Venipede baseAttack</t>
        </is>
      </c>
      <c r="D1429" s="76" t="n">
        <v>45</v>
      </c>
      <c r="E1429" s="76" t="n">
        <v>48</v>
      </c>
      <c r="F1429" s="76" t="inlineStr">
        <is>
          <t>Differs from upstream baseline</t>
        </is>
      </c>
      <c r="G1429" s="76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6" t="inlineStr">
        <is>
          <t>2026-09-30</t>
        </is>
      </c>
      <c r="B1431" s="76" t="inlineStr">
        <is>
          <t>Pokemon Stats</t>
        </is>
      </c>
      <c r="C1431" s="76" t="inlineStr">
        <is>
          <t>Venipede baseSpDefense</t>
        </is>
      </c>
      <c r="D1431" s="76" t="n">
        <v>39</v>
      </c>
      <c r="E1431" s="76" t="n">
        <v>42</v>
      </c>
      <c r="F1431" s="76" t="inlineStr">
        <is>
          <t>Differs from upstream baseline</t>
        </is>
      </c>
      <c r="G1431" s="76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6" t="inlineStr">
        <is>
          <t>2026-09-30</t>
        </is>
      </c>
      <c r="B1433" s="76" t="inlineStr">
        <is>
          <t>Pokemon Stats</t>
        </is>
      </c>
      <c r="C1433" s="76" t="inlineStr">
        <is>
          <t>Venusaur baseAttack</t>
        </is>
      </c>
      <c r="D1433" s="76" t="n">
        <v>82</v>
      </c>
      <c r="E1433" s="76" t="n">
        <v>92</v>
      </c>
      <c r="F1433" s="76" t="inlineStr">
        <is>
          <t>Differs from upstream baseline</t>
        </is>
      </c>
      <c r="G1433" s="76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6" t="inlineStr">
        <is>
          <t>2026-09-30</t>
        </is>
      </c>
      <c r="B1435" s="76" t="inlineStr">
        <is>
          <t>Pokemon Stats</t>
        </is>
      </c>
      <c r="C1435" s="76" t="inlineStr">
        <is>
          <t>Venusaur baseAttack</t>
        </is>
      </c>
      <c r="D1435" s="76" t="n">
        <v>100</v>
      </c>
      <c r="E1435" s="76" t="n">
        <v>110</v>
      </c>
      <c r="F1435" s="76" t="inlineStr">
        <is>
          <t>Differs from upstream baseline</t>
        </is>
      </c>
      <c r="G1435" s="76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6" t="inlineStr">
        <is>
          <t>2026-09-30</t>
        </is>
      </c>
      <c r="B1437" s="76" t="inlineStr">
        <is>
          <t>Pokemon Stats</t>
        </is>
      </c>
      <c r="C1437" s="76" t="inlineStr">
        <is>
          <t>Vespiquen baseAttack</t>
        </is>
      </c>
      <c r="D1437" s="76" t="n">
        <v>80</v>
      </c>
      <c r="E1437" s="76" t="n">
        <v>102</v>
      </c>
      <c r="F1437" s="76" t="inlineStr">
        <is>
          <t>Differs from upstream baseline</t>
        </is>
      </c>
      <c r="G1437" s="76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6" t="inlineStr">
        <is>
          <t>2026-09-30</t>
        </is>
      </c>
      <c r="B1439" s="76" t="inlineStr">
        <is>
          <t>Pokemon Stats</t>
        </is>
      </c>
      <c r="C1439" s="76" t="inlineStr">
        <is>
          <t>Vespiquen baseSpeed</t>
        </is>
      </c>
      <c r="D1439" s="76" t="n">
        <v>40</v>
      </c>
      <c r="E1439" s="76" t="n">
        <v>70</v>
      </c>
      <c r="F1439" s="76" t="inlineStr">
        <is>
          <t>Differs from upstream baseline</t>
        </is>
      </c>
      <c r="G1439" s="76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6" t="inlineStr">
        <is>
          <t>2026-09-30</t>
        </is>
      </c>
      <c r="B1441" s="76" t="inlineStr">
        <is>
          <t>Pokemon Stats</t>
        </is>
      </c>
      <c r="C1441" s="76" t="inlineStr">
        <is>
          <t>Vibrava baseAttack</t>
        </is>
      </c>
      <c r="D1441" s="76" t="n">
        <v>70</v>
      </c>
      <c r="E1441" s="76" t="n">
        <v>80</v>
      </c>
      <c r="F1441" s="76" t="inlineStr">
        <is>
          <t>Differs from upstream baseline</t>
        </is>
      </c>
      <c r="G1441" s="76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6" t="inlineStr">
        <is>
          <t>2026-09-30</t>
        </is>
      </c>
      <c r="B1443" s="76" t="inlineStr">
        <is>
          <t>Pokemon Stats</t>
        </is>
      </c>
      <c r="C1443" s="76" t="inlineStr">
        <is>
          <t>Vibrava baseSpAttack</t>
        </is>
      </c>
      <c r="D1443" s="76" t="n">
        <v>50</v>
      </c>
      <c r="E1443" s="76" t="n">
        <v>100</v>
      </c>
      <c r="F1443" s="76" t="inlineStr">
        <is>
          <t>Differs from upstream baseline</t>
        </is>
      </c>
      <c r="G1443" s="76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6" t="inlineStr">
        <is>
          <t>2026-09-30</t>
        </is>
      </c>
      <c r="B1445" s="76" t="inlineStr">
        <is>
          <t>Pokemon Stats</t>
        </is>
      </c>
      <c r="C1445" s="76" t="inlineStr">
        <is>
          <t>Vibrava baseSpeed</t>
        </is>
      </c>
      <c r="D1445" s="76" t="n">
        <v>70</v>
      </c>
      <c r="E1445" s="76" t="n">
        <v>100</v>
      </c>
      <c r="F1445" s="76" t="inlineStr">
        <is>
          <t>Differs from upstream baseline</t>
        </is>
      </c>
      <c r="G1445" s="76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6" t="inlineStr">
        <is>
          <t>2026-09-30</t>
        </is>
      </c>
      <c r="B1447" s="76" t="inlineStr">
        <is>
          <t>Pokemon Stats</t>
        </is>
      </c>
      <c r="C1447" s="76" t="inlineStr">
        <is>
          <t>Victreebel baseSpAttack</t>
        </is>
      </c>
      <c r="D1447" s="76" t="n">
        <v>100</v>
      </c>
      <c r="E1447" s="76" t="n">
        <v>105</v>
      </c>
      <c r="F1447" s="76" t="inlineStr">
        <is>
          <t>Differs from upstream baseline</t>
        </is>
      </c>
      <c r="G1447" s="76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6" t="inlineStr">
        <is>
          <t>2026-09-30</t>
        </is>
      </c>
      <c r="B1449" s="76" t="inlineStr">
        <is>
          <t>Pokemon Stats</t>
        </is>
      </c>
      <c r="C1449" s="76" t="inlineStr">
        <is>
          <t>Vigoroth baseSpDefense</t>
        </is>
      </c>
      <c r="D1449" s="76" t="n">
        <v>55</v>
      </c>
      <c r="E1449" s="76" t="n">
        <v>65</v>
      </c>
      <c r="F1449" s="76" t="inlineStr">
        <is>
          <t>Differs from upstream baseline</t>
        </is>
      </c>
      <c r="G1449" s="76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6" t="inlineStr">
        <is>
          <t>2026-09-30</t>
        </is>
      </c>
      <c r="B1451" s="76" t="inlineStr">
        <is>
          <t>Pokemon Stats</t>
        </is>
      </c>
      <c r="C1451" s="76" t="inlineStr">
        <is>
          <t>Volbeat baseSpAttack</t>
        </is>
      </c>
      <c r="D1451" s="76" t="n">
        <v>47</v>
      </c>
      <c r="E1451" s="76" t="n">
        <v>77</v>
      </c>
      <c r="F1451" s="76" t="inlineStr">
        <is>
          <t>Differs from upstream baseline</t>
        </is>
      </c>
      <c r="G1451" s="76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6" t="inlineStr">
        <is>
          <t>2026-09-30</t>
        </is>
      </c>
      <c r="B1453" s="76" t="inlineStr">
        <is>
          <t>Abilities</t>
        </is>
      </c>
      <c r="C1453" s="76" t="inlineStr">
        <is>
          <t>Volbeat abilities</t>
        </is>
      </c>
      <c r="D1453" s="76" t="inlineStr">
        <is>
          <t>Illuminate / Swarm / Prankster</t>
        </is>
      </c>
      <c r="E1453" s="76" t="inlineStr">
        <is>
          <t>Tinted Lens / Tinted Lens / Prankster</t>
        </is>
      </c>
      <c r="F1453" s="76" t="inlineStr">
        <is>
          <t>Differs from upstream baseline</t>
        </is>
      </c>
      <c r="G1453" s="76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6" t="inlineStr">
        <is>
          <t>2026-09-30</t>
        </is>
      </c>
      <c r="B1455" s="76" t="inlineStr">
        <is>
          <t>Pokemon Stats</t>
        </is>
      </c>
      <c r="C1455" s="76" t="inlineStr">
        <is>
          <t>Volcarona baseSpAttack</t>
        </is>
      </c>
      <c r="D1455" s="76" t="n">
        <v>135</v>
      </c>
      <c r="E1455" s="76" t="n">
        <v>151</v>
      </c>
      <c r="F1455" s="76" t="inlineStr">
        <is>
          <t>Differs from upstream baseline</t>
        </is>
      </c>
      <c r="G1455" s="76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6" t="inlineStr">
        <is>
          <t>2026-09-30</t>
        </is>
      </c>
      <c r="B1457" s="76" t="inlineStr">
        <is>
          <t>Abilities</t>
        </is>
      </c>
      <c r="C1457" s="76" t="inlineStr">
        <is>
          <t>Voltorb abilities</t>
        </is>
      </c>
      <c r="D1457" s="76" t="inlineStr">
        <is>
          <t>Soundproof / Static / Aftermath</t>
        </is>
      </c>
      <c r="E1457" s="76" t="inlineStr">
        <is>
          <t>Aftermath / Aftermath / Aftermath</t>
        </is>
      </c>
      <c r="F1457" s="76" t="inlineStr">
        <is>
          <t>Differs from upstream baseline</t>
        </is>
      </c>
      <c r="G1457" s="76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6" t="inlineStr">
        <is>
          <t>2026-09-30</t>
        </is>
      </c>
      <c r="B1459" s="76" t="inlineStr">
        <is>
          <t>Pokemon Stats</t>
        </is>
      </c>
      <c r="C1459" s="76" t="inlineStr">
        <is>
          <t>Vulpix baseSpAttack</t>
        </is>
      </c>
      <c r="D1459" s="76" t="n">
        <v>50</v>
      </c>
      <c r="E1459" s="76" t="n">
        <v>65</v>
      </c>
      <c r="F1459" s="76" t="inlineStr">
        <is>
          <t>Differs from upstream baseline</t>
        </is>
      </c>
      <c r="G1459" s="76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6" t="inlineStr">
        <is>
          <t>2026-09-30</t>
        </is>
      </c>
      <c r="B1461" s="76" t="inlineStr">
        <is>
          <t>Abilities</t>
        </is>
      </c>
      <c r="C1461" s="76" t="inlineStr">
        <is>
          <t>Vulpix abilities</t>
        </is>
      </c>
      <c r="D1461" s="76" t="inlineStr">
        <is>
          <t>Snow Cloak / Snow Warning</t>
        </is>
      </c>
      <c r="E1461" s="76" t="inlineStr">
        <is>
          <t>Flame Body / Cursed Body</t>
        </is>
      </c>
      <c r="F1461" s="76" t="inlineStr">
        <is>
          <t>Differs from upstream baseline</t>
        </is>
      </c>
      <c r="G1461" s="76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6" t="inlineStr">
        <is>
          <t>2026-09-30</t>
        </is>
      </c>
      <c r="B1463" s="76" t="inlineStr">
        <is>
          <t>Pokemon Stats</t>
        </is>
      </c>
      <c r="C1463" s="76" t="inlineStr">
        <is>
          <t>Wailmer baseDefense</t>
        </is>
      </c>
      <c r="D1463" s="76" t="n">
        <v>35</v>
      </c>
      <c r="E1463" s="76" t="n">
        <v>45</v>
      </c>
      <c r="F1463" s="76" t="inlineStr">
        <is>
          <t>Differs from upstream baseline</t>
        </is>
      </c>
      <c r="G1463" s="76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6" t="inlineStr">
        <is>
          <t>2026-09-30</t>
        </is>
      </c>
      <c r="B1465" s="76" t="inlineStr">
        <is>
          <t>Abilities</t>
        </is>
      </c>
      <c r="C1465" s="76" t="inlineStr">
        <is>
          <t>Wailmer abilities</t>
        </is>
      </c>
      <c r="D1465" s="76" t="inlineStr">
        <is>
          <t>Water Veil / Oblivious / Pressure</t>
        </is>
      </c>
      <c r="E1465" s="76" t="inlineStr">
        <is>
          <t>Pressure / Pressure / Pressure</t>
        </is>
      </c>
      <c r="F1465" s="76" t="inlineStr">
        <is>
          <t>Differs from upstream baseline</t>
        </is>
      </c>
      <c r="G1465" s="76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6" t="inlineStr">
        <is>
          <t>2026-09-30</t>
        </is>
      </c>
      <c r="B1467" s="76" t="inlineStr">
        <is>
          <t>Pokemon Stats</t>
        </is>
      </c>
      <c r="C1467" s="76" t="inlineStr">
        <is>
          <t>Wailord baseAttack</t>
        </is>
      </c>
      <c r="D1467" s="76" t="n">
        <v>90</v>
      </c>
      <c r="E1467" s="76" t="n">
        <v>110</v>
      </c>
      <c r="F1467" s="76" t="inlineStr">
        <is>
          <t>Differs from upstream baseline</t>
        </is>
      </c>
      <c r="G1467" s="76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6" t="inlineStr">
        <is>
          <t>2026-09-30</t>
        </is>
      </c>
      <c r="B1469" s="76" t="inlineStr">
        <is>
          <t>Pokemon Stats</t>
        </is>
      </c>
      <c r="C1469" s="76" t="inlineStr">
        <is>
          <t>Wailord baseSpAttack</t>
        </is>
      </c>
      <c r="D1469" s="76" t="n">
        <v>90</v>
      </c>
      <c r="E1469" s="76" t="n">
        <v>110</v>
      </c>
      <c r="F1469" s="76" t="inlineStr">
        <is>
          <t>Differs from upstream baseline</t>
        </is>
      </c>
      <c r="G1469" s="76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6" t="inlineStr">
        <is>
          <t>2026-09-30</t>
        </is>
      </c>
      <c r="B1471" s="76" t="inlineStr">
        <is>
          <t>Pokemon Stats</t>
        </is>
      </c>
      <c r="C1471" s="76" t="inlineStr">
        <is>
          <t>Wailord baseSpeed</t>
        </is>
      </c>
      <c r="D1471" s="76" t="n">
        <v>60</v>
      </c>
      <c r="E1471" s="76" t="n">
        <v>5</v>
      </c>
      <c r="F1471" s="76" t="inlineStr">
        <is>
          <t>Differs from upstream baseline</t>
        </is>
      </c>
      <c r="G1471" s="76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6" t="inlineStr">
        <is>
          <t>2026-09-30</t>
        </is>
      </c>
      <c r="B1473" s="76" t="inlineStr">
        <is>
          <t>Pokemon Stats</t>
        </is>
      </c>
      <c r="C1473" s="76" t="inlineStr">
        <is>
          <t>Walrein baseAttack</t>
        </is>
      </c>
      <c r="D1473" s="76" t="n">
        <v>80</v>
      </c>
      <c r="E1473" s="76" t="n">
        <v>95</v>
      </c>
      <c r="F1473" s="76" t="inlineStr">
        <is>
          <t>Differs from upstream baseline</t>
        </is>
      </c>
      <c r="G1473" s="76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6" t="inlineStr">
        <is>
          <t>2026-09-30</t>
        </is>
      </c>
      <c r="B1475" s="76" t="inlineStr">
        <is>
          <t>Abilities</t>
        </is>
      </c>
      <c r="C1475" s="76" t="inlineStr">
        <is>
          <t>Wartortle abilities</t>
        </is>
      </c>
      <c r="D1475" s="76" t="inlineStr">
        <is>
          <t>Torrent / Rain Dish</t>
        </is>
      </c>
      <c r="E1475" s="76" t="inlineStr">
        <is>
          <t>Shell Armor / Shell Armor / Rain Dish</t>
        </is>
      </c>
      <c r="F1475" s="76" t="inlineStr">
        <is>
          <t>Differs from upstream baseline</t>
        </is>
      </c>
      <c r="G1475" s="76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6" t="inlineStr">
        <is>
          <t>2026-09-30</t>
        </is>
      </c>
      <c r="B1477" s="76" t="inlineStr">
        <is>
          <t>Pokemon Stats</t>
        </is>
      </c>
      <c r="C1477" s="76" t="inlineStr">
        <is>
          <t>Watchog baseAttack</t>
        </is>
      </c>
      <c r="D1477" s="76" t="n">
        <v>85</v>
      </c>
      <c r="E1477" s="76" t="n">
        <v>101</v>
      </c>
      <c r="F1477" s="76" t="inlineStr">
        <is>
          <t>Differs from upstream baseline</t>
        </is>
      </c>
      <c r="G1477" s="76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6" t="inlineStr">
        <is>
          <t>2026-09-30</t>
        </is>
      </c>
      <c r="B1479" s="76" t="inlineStr">
        <is>
          <t>Pokemon Stats</t>
        </is>
      </c>
      <c r="C1479" s="76" t="inlineStr">
        <is>
          <t>Watchog baseSpAttack</t>
        </is>
      </c>
      <c r="D1479" s="76" t="n">
        <v>60</v>
      </c>
      <c r="E1479" s="76" t="n">
        <v>66</v>
      </c>
      <c r="F1479" s="76" t="inlineStr">
        <is>
          <t>Differs from upstream baseline</t>
        </is>
      </c>
      <c r="G1479" s="76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6" t="inlineStr">
        <is>
          <t>2026-09-30</t>
        </is>
      </c>
      <c r="B1481" s="76" t="inlineStr">
        <is>
          <t>Pokemon Stats</t>
        </is>
      </c>
      <c r="C1481" s="76" t="inlineStr">
        <is>
          <t>Watchog baseSpeed</t>
        </is>
      </c>
      <c r="D1481" s="76" t="n">
        <v>77</v>
      </c>
      <c r="E1481" s="76" t="n">
        <v>87</v>
      </c>
      <c r="F1481" s="76" t="inlineStr">
        <is>
          <t>Differs from upstream baseline</t>
        </is>
      </c>
      <c r="G1481" s="76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6" t="inlineStr">
        <is>
          <t>2026-09-30</t>
        </is>
      </c>
      <c r="B1483" s="76" t="inlineStr">
        <is>
          <t>Abilities</t>
        </is>
      </c>
      <c r="C1483" s="76" t="inlineStr">
        <is>
          <t>Weavile abilities</t>
        </is>
      </c>
      <c r="D1483" s="76" t="inlineStr">
        <is>
          <t>Pressure / Pickpocket</t>
        </is>
      </c>
      <c r="E1483" s="76" t="inlineStr">
        <is>
          <t>Technician / Inner Focus / Pickpocket</t>
        </is>
      </c>
      <c r="F1483" s="76" t="inlineStr">
        <is>
          <t>Differs from upstream baseline</t>
        </is>
      </c>
      <c r="G1483" s="76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6" t="inlineStr">
        <is>
          <t>2026-09-30</t>
        </is>
      </c>
      <c r="B1485" s="76" t="inlineStr">
        <is>
          <t>Pokemon Stats</t>
        </is>
      </c>
      <c r="C1485" s="76" t="inlineStr">
        <is>
          <t>Weezing baseSpDefense</t>
        </is>
      </c>
      <c r="D1485" s="76" t="n">
        <v>70</v>
      </c>
      <c r="E1485" s="76" t="n">
        <v>85</v>
      </c>
      <c r="F1485" s="76" t="inlineStr">
        <is>
          <t>Differs from upstream baseline</t>
        </is>
      </c>
      <c r="G1485" s="76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6" t="inlineStr">
        <is>
          <t>2026-09-30</t>
        </is>
      </c>
      <c r="B1487" s="76" t="inlineStr">
        <is>
          <t>Abilities</t>
        </is>
      </c>
      <c r="C1487" s="76" t="inlineStr">
        <is>
          <t>Weezing abilities</t>
        </is>
      </c>
      <c r="D1487" s="76" t="inlineStr">
        <is>
          <t>Levitate / Neutralizing Gas / Misty Surge</t>
        </is>
      </c>
      <c r="E1487" s="76" t="inlineStr">
        <is>
          <t>Levitate / Misty Surge</t>
        </is>
      </c>
      <c r="F1487" s="76" t="inlineStr">
        <is>
          <t>Differs from upstream baseline</t>
        </is>
      </c>
      <c r="G1487" s="76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6" t="inlineStr">
        <is>
          <t>2026-09-30</t>
        </is>
      </c>
      <c r="B1489" s="76" t="inlineStr">
        <is>
          <t>Pokemon Stats</t>
        </is>
      </c>
      <c r="C1489" s="76" t="inlineStr">
        <is>
          <t>Whirlipede baseAttack</t>
        </is>
      </c>
      <c r="D1489" s="76" t="n">
        <v>55</v>
      </c>
      <c r="E1489" s="76" t="n">
        <v>60</v>
      </c>
      <c r="F1489" s="76" t="inlineStr">
        <is>
          <t>Differs from upstream baseline</t>
        </is>
      </c>
      <c r="G1489" s="76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6" t="inlineStr">
        <is>
          <t>2026-09-30</t>
        </is>
      </c>
      <c r="B1491" s="76" t="inlineStr">
        <is>
          <t>Pokemon Stats</t>
        </is>
      </c>
      <c r="C1491" s="76" t="inlineStr">
        <is>
          <t>Whirlipede baseSpeed</t>
        </is>
      </c>
      <c r="D1491" s="76" t="n">
        <v>47</v>
      </c>
      <c r="E1491" s="76" t="n">
        <v>50</v>
      </c>
      <c r="F1491" s="76" t="inlineStr">
        <is>
          <t>Differs from upstream baseline</t>
        </is>
      </c>
      <c r="G1491" s="76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6" t="inlineStr">
        <is>
          <t>2026-09-30</t>
        </is>
      </c>
      <c r="B1493" s="76" t="inlineStr">
        <is>
          <t>Abilities</t>
        </is>
      </c>
      <c r="C1493" s="76" t="inlineStr">
        <is>
          <t>Whismur abilities</t>
        </is>
      </c>
      <c r="D1493" s="76" t="inlineStr">
        <is>
          <t>Soundproof / Rattled</t>
        </is>
      </c>
      <c r="E1493" s="76" t="inlineStr">
        <is>
          <t>Scrappy / Soundproof / Rattled</t>
        </is>
      </c>
      <c r="F1493" s="76" t="inlineStr">
        <is>
          <t>Differs from upstream baseline</t>
        </is>
      </c>
      <c r="G1493" s="76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6" t="inlineStr">
        <is>
          <t>2026-09-30</t>
        </is>
      </c>
      <c r="B1495" s="76" t="inlineStr">
        <is>
          <t>Pokemon Stats</t>
        </is>
      </c>
      <c r="C1495" s="76" t="inlineStr">
        <is>
          <t>Wigglytuff baseDefense</t>
        </is>
      </c>
      <c r="D1495" s="76" t="n">
        <v>45</v>
      </c>
      <c r="E1495" s="76" t="n">
        <v>75</v>
      </c>
      <c r="F1495" s="76" t="inlineStr">
        <is>
          <t>Differs from upstream baseline</t>
        </is>
      </c>
      <c r="G1495" s="76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6" t="inlineStr">
        <is>
          <t>2026-09-30</t>
        </is>
      </c>
      <c r="B1497" s="76" t="inlineStr">
        <is>
          <t>Abilities</t>
        </is>
      </c>
      <c r="C1497" s="76" t="inlineStr">
        <is>
          <t>Wigglytuff abilities</t>
        </is>
      </c>
      <c r="D1497" s="76" t="inlineStr">
        <is>
          <t>Cute Charm / Competitive / Frisk</t>
        </is>
      </c>
      <c r="E1497" s="76" t="inlineStr">
        <is>
          <t>Aftermath / Frisk</t>
        </is>
      </c>
      <c r="F1497" s="76" t="inlineStr">
        <is>
          <t>Differs from upstream baseline</t>
        </is>
      </c>
      <c r="G1497" s="76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6" t="inlineStr">
        <is>
          <t>2026-09-30</t>
        </is>
      </c>
      <c r="B1499" s="76" t="inlineStr">
        <is>
          <t>Evolutions</t>
        </is>
      </c>
      <c r="C1499" s="76" t="inlineStr">
        <is>
          <t>Woobat evolution</t>
        </is>
      </c>
      <c r="D1499" s="76" t="inlineStr">
        <is>
          <t>Friendship -&gt; Swoobat</t>
        </is>
      </c>
      <c r="E1499" s="76" t="inlineStr">
        <is>
          <t>Lv 30 -&gt; Swoobat</t>
        </is>
      </c>
      <c r="F1499" s="76" t="inlineStr">
        <is>
          <t>Differs from upstream baseline</t>
        </is>
      </c>
      <c r="G1499" s="76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6" t="inlineStr">
        <is>
          <t>2026-09-30</t>
        </is>
      </c>
      <c r="B1501" s="76" t="inlineStr">
        <is>
          <t>Abilities</t>
        </is>
      </c>
      <c r="C1501" s="76" t="inlineStr">
        <is>
          <t>Wooper abilities</t>
        </is>
      </c>
      <c r="D1501" s="76" t="inlineStr">
        <is>
          <t>Poison Point / Water Absorb / Unaware</t>
        </is>
      </c>
      <c r="E1501" s="76" t="inlineStr">
        <is>
          <t>Water Absorb / Water Absorb / Unaware</t>
        </is>
      </c>
      <c r="F1501" s="76" t="inlineStr">
        <is>
          <t>Differs from upstream baseline</t>
        </is>
      </c>
      <c r="G1501" s="76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6" t="inlineStr">
        <is>
          <t>2026-09-30</t>
        </is>
      </c>
      <c r="B1503" s="76" t="inlineStr">
        <is>
          <t>Abilities</t>
        </is>
      </c>
      <c r="C1503" s="76" t="inlineStr">
        <is>
          <t>Wormadam abilities</t>
        </is>
      </c>
      <c r="D1503" s="76" t="inlineStr">
        <is>
          <t>Anticipation / Overcoat</t>
        </is>
      </c>
      <c r="E1503" s="76" t="inlineStr">
        <is>
          <t>Snow Cloak / Overcoat</t>
        </is>
      </c>
      <c r="F1503" s="76" t="inlineStr">
        <is>
          <t>Differs from upstream baseline</t>
        </is>
      </c>
      <c r="G1503" s="76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6" t="inlineStr">
        <is>
          <t>2026-09-30</t>
        </is>
      </c>
      <c r="B1505" s="76" t="inlineStr">
        <is>
          <t>Pokemon Stats</t>
        </is>
      </c>
      <c r="C1505" s="76" t="inlineStr">
        <is>
          <t>Xatu baseAttack</t>
        </is>
      </c>
      <c r="D1505" s="76" t="n">
        <v>75</v>
      </c>
      <c r="E1505" s="76" t="n">
        <v>95</v>
      </c>
      <c r="F1505" s="76" t="inlineStr">
        <is>
          <t>Differs from upstream baseline</t>
        </is>
      </c>
      <c r="G1505" s="76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6" t="inlineStr">
        <is>
          <t>2026-09-30</t>
        </is>
      </c>
      <c r="B1507" s="76" t="inlineStr">
        <is>
          <t>Pokemon Stats</t>
        </is>
      </c>
      <c r="C1507" s="76" t="inlineStr">
        <is>
          <t>Yamask baseHP</t>
        </is>
      </c>
      <c r="D1507" s="76" t="n">
        <v>38</v>
      </c>
      <c r="E1507" s="76" t="n">
        <v>39</v>
      </c>
      <c r="F1507" s="76" t="inlineStr">
        <is>
          <t>Differs from upstream baseline</t>
        </is>
      </c>
      <c r="G1507" s="76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6" t="inlineStr">
        <is>
          <t>2026-09-30</t>
        </is>
      </c>
      <c r="B1509" s="76" t="inlineStr">
        <is>
          <t>Abilities</t>
        </is>
      </c>
      <c r="C1509" s="76" t="inlineStr">
        <is>
          <t>Yanma abilities</t>
        </is>
      </c>
      <c r="D1509" s="76" t="inlineStr">
        <is>
          <t>Speed Boost / Compound Eyes / Frisk</t>
        </is>
      </c>
      <c r="E1509" s="76" t="inlineStr">
        <is>
          <t>Compound Eyes / Compound Eyes / Frisk</t>
        </is>
      </c>
      <c r="F1509" s="76" t="inlineStr">
        <is>
          <t>Differs from upstream baseline</t>
        </is>
      </c>
      <c r="G1509" s="76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6" t="inlineStr">
        <is>
          <t>2026-09-30</t>
        </is>
      </c>
      <c r="B1511" s="76" t="inlineStr">
        <is>
          <t>Pokemon Stats</t>
        </is>
      </c>
      <c r="C1511" s="76" t="inlineStr">
        <is>
          <t>Zapdos baseSpDefense</t>
        </is>
      </c>
      <c r="D1511" s="76" t="n">
        <v>90</v>
      </c>
      <c r="E1511" s="76" t="n">
        <v>110</v>
      </c>
      <c r="F1511" s="76" t="inlineStr">
        <is>
          <t>Differs from upstream baseline</t>
        </is>
      </c>
      <c r="G1511" s="76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6" t="inlineStr">
        <is>
          <t>2026-09-30</t>
        </is>
      </c>
      <c r="B1513" s="76" t="inlineStr">
        <is>
          <t>Pokemon Stats</t>
        </is>
      </c>
      <c r="C1513" s="76" t="inlineStr">
        <is>
          <t>Zebstrika baseAttack</t>
        </is>
      </c>
      <c r="D1513" s="76" t="n">
        <v>100</v>
      </c>
      <c r="E1513" s="76" t="n">
        <v>115</v>
      </c>
      <c r="F1513" s="76" t="inlineStr">
        <is>
          <t>Differs from upstream baseline</t>
        </is>
      </c>
      <c r="G1513" s="76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6" t="inlineStr">
        <is>
          <t>2026-09-30</t>
        </is>
      </c>
      <c r="B1515" s="76" t="inlineStr">
        <is>
          <t>Abilities</t>
        </is>
      </c>
      <c r="C1515" s="76" t="inlineStr">
        <is>
          <t>Zebstrika abilities</t>
        </is>
      </c>
      <c r="D1515" s="76" t="inlineStr">
        <is>
          <t>Lightning Rod / Motor Drive / Sap Sipper</t>
        </is>
      </c>
      <c r="E1515" s="76" t="inlineStr">
        <is>
          <t>Lightning Rod / Motor Drive / Reckless</t>
        </is>
      </c>
      <c r="F1515" s="76" t="inlineStr">
        <is>
          <t>Differs from upstream baseline</t>
        </is>
      </c>
      <c r="G1515" s="76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6" t="inlineStr">
        <is>
          <t>2026-09-30</t>
        </is>
      </c>
      <c r="B1517" s="76" t="inlineStr">
        <is>
          <t>Pokemon Stats</t>
        </is>
      </c>
      <c r="C1517" s="76" t="inlineStr">
        <is>
          <t>Zoroark baseHP</t>
        </is>
      </c>
      <c r="D1517" s="76" t="n">
        <v>60</v>
      </c>
      <c r="E1517" s="76" t="n">
        <v>70</v>
      </c>
      <c r="F1517" s="76" t="inlineStr">
        <is>
          <t>Differs from upstream baseline</t>
        </is>
      </c>
      <c r="G1517" s="76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6" t="inlineStr">
        <is>
          <t>2026-09-30</t>
        </is>
      </c>
      <c r="B1519" s="76" t="inlineStr">
        <is>
          <t>Abilities</t>
        </is>
      </c>
      <c r="C1519" s="76" t="inlineStr">
        <is>
          <t>Zoroark abilities</t>
        </is>
      </c>
      <c r="D1519" s="76" t="inlineStr">
        <is>
          <t>Illusion</t>
        </is>
      </c>
      <c r="E1519" s="76" t="inlineStr">
        <is>
          <t>Illusion / Infiltrator / Illusion</t>
        </is>
      </c>
      <c r="F1519" s="76" t="inlineStr">
        <is>
          <t>Differs from upstream baseline</t>
        </is>
      </c>
      <c r="G1519" s="76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6" t="inlineStr">
        <is>
          <t>2026-09-30</t>
        </is>
      </c>
      <c r="B1521" s="76" t="inlineStr">
        <is>
          <t>Pokemon Stats</t>
        </is>
      </c>
      <c r="C1521" s="76" t="inlineStr">
        <is>
          <t>Zygarde baseAttack</t>
        </is>
      </c>
      <c r="D1521" s="76" t="n">
        <v>100</v>
      </c>
      <c r="E1521" s="76" t="n">
        <v>117</v>
      </c>
      <c r="F1521" s="76" t="inlineStr">
        <is>
          <t>Differs from upstream baseline</t>
        </is>
      </c>
      <c r="G1521" s="76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6" t="inlineStr">
        <is>
          <t>2026-09-30</t>
        </is>
      </c>
      <c r="B1523" s="76" t="inlineStr">
        <is>
          <t>Pokemon Stats</t>
        </is>
      </c>
      <c r="C1523" s="76" t="inlineStr">
        <is>
          <t>Zygarde baseSpeed</t>
        </is>
      </c>
      <c r="D1523" s="76" t="n">
        <v>115</v>
      </c>
      <c r="E1523" s="76" t="n">
        <v>129</v>
      </c>
      <c r="F1523" s="76" t="inlineStr">
        <is>
          <t>Differs from upstream baseline</t>
        </is>
      </c>
      <c r="G1523" s="76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6" t="inlineStr">
        <is>
          <t>2026-09-30</t>
        </is>
      </c>
      <c r="B1525" s="76" t="inlineStr">
        <is>
          <t>Moves</t>
        </is>
      </c>
      <c r="C1525" s="76" t="inlineStr">
        <is>
          <t>Absorb type</t>
        </is>
      </c>
      <c r="D1525" s="76" t="inlineStr">
        <is>
          <t>TYPE_GRASS</t>
        </is>
      </c>
      <c r="E1525" s="76" t="inlineStr">
        <is>
          <t>TYPE_DARK</t>
        </is>
      </c>
      <c r="F1525" s="76" t="inlineStr">
        <is>
          <t>Differs from upstream baseline</t>
        </is>
      </c>
      <c r="G1525" s="76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6" t="inlineStr">
        <is>
          <t>2026-09-30</t>
        </is>
      </c>
      <c r="B1527" s="76" t="inlineStr">
        <is>
          <t>Moves</t>
        </is>
      </c>
      <c r="C1527" s="76" t="inlineStr">
        <is>
          <t>Acid Spray power</t>
        </is>
      </c>
      <c r="D1527" s="76" t="n">
        <v>40</v>
      </c>
      <c r="E1527" s="76" t="n">
        <v>50</v>
      </c>
      <c r="F1527" s="76" t="inlineStr">
        <is>
          <t>Differs from upstream baseline</t>
        </is>
      </c>
      <c r="G1527" s="76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6" t="inlineStr">
        <is>
          <t>2026-09-30</t>
        </is>
      </c>
      <c r="B1529" s="76" t="inlineStr">
        <is>
          <t>Moves</t>
        </is>
      </c>
      <c r="C1529" s="76" t="inlineStr">
        <is>
          <t>Aeroblast accuracy</t>
        </is>
      </c>
      <c r="D1529" s="76" t="n">
        <v>95</v>
      </c>
      <c r="E1529" s="76" t="n">
        <v>100</v>
      </c>
      <c r="F1529" s="76" t="inlineStr">
        <is>
          <t>Differs from upstream baseline</t>
        </is>
      </c>
      <c r="G1529" s="76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6" t="inlineStr">
        <is>
          <t>2026-09-30</t>
        </is>
      </c>
      <c r="B1531" s="76" t="inlineStr">
        <is>
          <t>Moves</t>
        </is>
      </c>
      <c r="C1531" s="76" t="inlineStr">
        <is>
          <t>Air Cutter accuracy</t>
        </is>
      </c>
      <c r="D1531" s="76" t="n">
        <v>95</v>
      </c>
      <c r="E1531" s="76" t="n">
        <v>100</v>
      </c>
      <c r="F1531" s="76" t="inlineStr">
        <is>
          <t>Differs from upstream baseline</t>
        </is>
      </c>
      <c r="G1531" s="76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6" t="inlineStr">
        <is>
          <t>2026-09-30</t>
        </is>
      </c>
      <c r="B1533" s="76" t="inlineStr">
        <is>
          <t>Moves</t>
        </is>
      </c>
      <c r="C1533" s="76" t="inlineStr">
        <is>
          <t>Air Slash pp</t>
        </is>
      </c>
      <c r="D1533" s="76" t="n">
        <v>15</v>
      </c>
      <c r="E1533" s="76" t="n">
        <v>20</v>
      </c>
      <c r="F1533" s="76" t="inlineStr">
        <is>
          <t>Differs from upstream baseline</t>
        </is>
      </c>
      <c r="G1533" s="76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6" t="inlineStr">
        <is>
          <t>2026-09-30</t>
        </is>
      </c>
      <c r="B1535" s="76" t="inlineStr">
        <is>
          <t>Moves</t>
        </is>
      </c>
      <c r="C1535" s="76" t="inlineStr">
        <is>
          <t>Ancient Power power</t>
        </is>
      </c>
      <c r="D1535" s="76" t="n">
        <v>60</v>
      </c>
      <c r="E1535" s="76" t="n">
        <v>80</v>
      </c>
      <c r="F1535" s="76" t="inlineStr">
        <is>
          <t>Differs from upstream baseline</t>
        </is>
      </c>
      <c r="G1535" s="76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6" t="inlineStr">
        <is>
          <t>2026-09-30</t>
        </is>
      </c>
      <c r="B1537" s="76" t="inlineStr">
        <is>
          <t>Moves</t>
        </is>
      </c>
      <c r="C1537" s="76" t="inlineStr">
        <is>
          <t>Aqua Cutter pp</t>
        </is>
      </c>
      <c r="D1537" s="76" t="n">
        <v>20</v>
      </c>
      <c r="E1537" s="76" t="n">
        <v>15</v>
      </c>
      <c r="F1537" s="76" t="inlineStr">
        <is>
          <t>Differs from upstream baseline</t>
        </is>
      </c>
      <c r="G1537" s="76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6" t="inlineStr">
        <is>
          <t>2026-09-30</t>
        </is>
      </c>
      <c r="B1539" s="76" t="inlineStr">
        <is>
          <t>Moves</t>
        </is>
      </c>
      <c r="C1539" s="76" t="inlineStr">
        <is>
          <t>Aqua Tail power</t>
        </is>
      </c>
      <c r="D1539" s="76" t="n">
        <v>90</v>
      </c>
      <c r="E1539" s="76" t="n">
        <v>120</v>
      </c>
      <c r="F1539" s="76" t="inlineStr">
        <is>
          <t>Differs from upstream baseline</t>
        </is>
      </c>
      <c r="G1539" s="76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6" t="inlineStr">
        <is>
          <t>2026-09-30</t>
        </is>
      </c>
      <c r="B1541" s="76" t="inlineStr">
        <is>
          <t>Moves</t>
        </is>
      </c>
      <c r="C1541" s="76" t="inlineStr">
        <is>
          <t>Arm Thrust power</t>
        </is>
      </c>
      <c r="D1541" s="76" t="n">
        <v>15</v>
      </c>
      <c r="E1541" s="76" t="n">
        <v>25</v>
      </c>
      <c r="F1541" s="76" t="inlineStr">
        <is>
          <t>Differs from upstream baseline</t>
        </is>
      </c>
      <c r="G1541" s="76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6" t="inlineStr">
        <is>
          <t>2026-09-30</t>
        </is>
      </c>
      <c r="B1543" s="76" t="inlineStr">
        <is>
          <t>Moves</t>
        </is>
      </c>
      <c r="C1543" s="76" t="inlineStr">
        <is>
          <t>Assist accuracy</t>
        </is>
      </c>
      <c r="D1543" s="76" t="n">
        <v>100</v>
      </c>
      <c r="E1543" s="76" t="n">
        <v>0</v>
      </c>
      <c r="F1543" s="76" t="inlineStr">
        <is>
          <t>Differs from upstream baseline</t>
        </is>
      </c>
      <c r="G1543" s="76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6" t="inlineStr">
        <is>
          <t>2026-09-30</t>
        </is>
      </c>
      <c r="B1545" s="76" t="inlineStr">
        <is>
          <t>Moves</t>
        </is>
      </c>
      <c r="C1545" s="76" t="inlineStr">
        <is>
          <t>Assurance power</t>
        </is>
      </c>
      <c r="D1545" s="76" t="n">
        <v>60</v>
      </c>
      <c r="E1545" s="76" t="n">
        <v>70</v>
      </c>
      <c r="F1545" s="76" t="inlineStr">
        <is>
          <t>Differs from upstream baseline</t>
        </is>
      </c>
      <c r="G1545" s="76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6" t="inlineStr">
        <is>
          <t>2026-09-30</t>
        </is>
      </c>
      <c r="B1547" s="76" t="inlineStr">
        <is>
          <t>Moves</t>
        </is>
      </c>
      <c r="C1547" s="76" t="inlineStr">
        <is>
          <t>Attack Order power</t>
        </is>
      </c>
      <c r="D1547" s="76" t="n">
        <v>90</v>
      </c>
      <c r="E1547" s="76" t="n">
        <v>120</v>
      </c>
      <c r="F1547" s="76" t="inlineStr">
        <is>
          <t>Differs from upstream baseline</t>
        </is>
      </c>
      <c r="G1547" s="76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6" t="inlineStr">
        <is>
          <t>2026-09-30</t>
        </is>
      </c>
      <c r="B1549" s="76" t="inlineStr">
        <is>
          <t>Moves</t>
        </is>
      </c>
      <c r="C1549" s="76" t="inlineStr">
        <is>
          <t>Aura Sphere pp</t>
        </is>
      </c>
      <c r="D1549" s="76" t="n">
        <v>20</v>
      </c>
      <c r="E1549" s="76" t="n">
        <v>10</v>
      </c>
      <c r="F1549" s="76" t="inlineStr">
        <is>
          <t>Differs from upstream baseline</t>
        </is>
      </c>
      <c r="G1549" s="76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6" t="inlineStr">
        <is>
          <t>2026-09-30</t>
        </is>
      </c>
      <c r="B1551" s="76" t="inlineStr">
        <is>
          <t>Moves</t>
        </is>
      </c>
      <c r="C1551" s="76" t="inlineStr">
        <is>
          <t>Aurora Beam accuracy</t>
        </is>
      </c>
      <c r="D1551" s="76" t="n">
        <v>100</v>
      </c>
      <c r="E1551" s="76" t="n">
        <v>0</v>
      </c>
      <c r="F1551" s="76" t="inlineStr">
        <is>
          <t>Differs from upstream baseline</t>
        </is>
      </c>
      <c r="G1551" s="76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6" t="inlineStr">
        <is>
          <t>2026-09-30</t>
        </is>
      </c>
      <c r="B1553" s="76" t="inlineStr">
        <is>
          <t>Moves</t>
        </is>
      </c>
      <c r="C1553" s="76" t="inlineStr">
        <is>
          <t>Avalanche power</t>
        </is>
      </c>
      <c r="D1553" s="76" t="n">
        <v>60</v>
      </c>
      <c r="E1553" s="76" t="n">
        <v>100</v>
      </c>
      <c r="F1553" s="76" t="inlineStr">
        <is>
          <t>Differs from upstream baseline</t>
        </is>
      </c>
      <c r="G1553" s="76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6" t="inlineStr">
        <is>
          <t>2026-09-30</t>
        </is>
      </c>
      <c r="B1555" s="76" t="inlineStr">
        <is>
          <t>Moves</t>
        </is>
      </c>
      <c r="C1555" s="76" t="inlineStr">
        <is>
          <t>Barrage power</t>
        </is>
      </c>
      <c r="D1555" s="76" t="n">
        <v>15</v>
      </c>
      <c r="E1555" s="76" t="n">
        <v>25</v>
      </c>
      <c r="F1555" s="76" t="inlineStr">
        <is>
          <t>Differs from upstream baseline</t>
        </is>
      </c>
      <c r="G1555" s="76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6" t="inlineStr">
        <is>
          <t>2026-09-30</t>
        </is>
      </c>
      <c r="B1557" s="76" t="inlineStr">
        <is>
          <t>Moves</t>
        </is>
      </c>
      <c r="C1557" s="76" t="inlineStr">
        <is>
          <t>Barrier pp</t>
        </is>
      </c>
      <c r="D1557" s="76" t="n">
        <v>20</v>
      </c>
      <c r="E1557" s="76" t="n">
        <v>5</v>
      </c>
      <c r="F1557" s="76" t="inlineStr">
        <is>
          <t>Differs from upstream baseline</t>
        </is>
      </c>
      <c r="G1557" s="76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6" t="inlineStr">
        <is>
          <t>2026-09-30</t>
        </is>
      </c>
      <c r="B1559" s="76" t="inlineStr">
        <is>
          <t>Moves</t>
        </is>
      </c>
      <c r="C1559" s="76" t="inlineStr">
        <is>
          <t>Belch accuracy</t>
        </is>
      </c>
      <c r="D1559" s="76" t="n">
        <v>90</v>
      </c>
      <c r="E1559" s="76" t="n">
        <v>100</v>
      </c>
      <c r="F1559" s="76" t="inlineStr">
        <is>
          <t>Differs from upstream baseline</t>
        </is>
      </c>
      <c r="G1559" s="76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6" t="inlineStr">
        <is>
          <t>2026-09-30</t>
        </is>
      </c>
      <c r="B1561" s="76" t="inlineStr">
        <is>
          <t>Moves</t>
        </is>
      </c>
      <c r="C1561" s="76" t="inlineStr">
        <is>
          <t>Bide type</t>
        </is>
      </c>
      <c r="D1561" s="76" t="inlineStr">
        <is>
          <t>TYPE_NORMAL</t>
        </is>
      </c>
      <c r="E1561" s="76" t="inlineStr">
        <is>
          <t>TYPE_DARK</t>
        </is>
      </c>
      <c r="F1561" s="76" t="inlineStr">
        <is>
          <t>Differs from upstream baseline</t>
        </is>
      </c>
      <c r="G1561" s="76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6" t="inlineStr">
        <is>
          <t>2026-09-30</t>
        </is>
      </c>
      <c r="B1563" s="76" t="inlineStr">
        <is>
          <t>Moves</t>
        </is>
      </c>
      <c r="C1563" s="76" t="inlineStr">
        <is>
          <t>Bind accuracy</t>
        </is>
      </c>
      <c r="D1563" s="76" t="n">
        <v>85</v>
      </c>
      <c r="E1563" s="76" t="n">
        <v>100</v>
      </c>
      <c r="F1563" s="76" t="inlineStr">
        <is>
          <t>Differs from upstream baseline</t>
        </is>
      </c>
      <c r="G1563" s="76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6" t="inlineStr">
        <is>
          <t>2026-09-30</t>
        </is>
      </c>
      <c r="B1565" s="76" t="inlineStr">
        <is>
          <t>Moves</t>
        </is>
      </c>
      <c r="C1565" s="76" t="inlineStr">
        <is>
          <t>Blaze Kick power</t>
        </is>
      </c>
      <c r="D1565" s="76" t="n">
        <v>85</v>
      </c>
      <c r="E1565" s="76" t="n">
        <v>100</v>
      </c>
      <c r="F1565" s="76" t="inlineStr">
        <is>
          <t>Differs from upstream baseline</t>
        </is>
      </c>
      <c r="G1565" s="76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6" t="inlineStr">
        <is>
          <t>2026-09-30</t>
        </is>
      </c>
      <c r="B1567" s="76" t="inlineStr">
        <is>
          <t>Moves</t>
        </is>
      </c>
      <c r="C1567" s="76" t="inlineStr">
        <is>
          <t>Blizzard power</t>
        </is>
      </c>
      <c r="D1567" s="76" t="n">
        <v>110</v>
      </c>
      <c r="E1567" s="76" t="n">
        <v>120</v>
      </c>
      <c r="F1567" s="76" t="inlineStr">
        <is>
          <t>Differs from upstream baseline</t>
        </is>
      </c>
      <c r="G1567" s="76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6" t="inlineStr">
        <is>
          <t>2026-09-30</t>
        </is>
      </c>
      <c r="B1569" s="76" t="inlineStr">
        <is>
          <t>Moves</t>
        </is>
      </c>
      <c r="C1569" s="76" t="inlineStr">
        <is>
          <t>Bonemerang power</t>
        </is>
      </c>
      <c r="D1569" s="76" t="n">
        <v>50</v>
      </c>
      <c r="E1569" s="76" t="n">
        <v>60</v>
      </c>
      <c r="F1569" s="76" t="inlineStr">
        <is>
          <t>Differs from upstream baseline</t>
        </is>
      </c>
      <c r="G1569" s="76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6" t="inlineStr">
        <is>
          <t>2026-09-30</t>
        </is>
      </c>
      <c r="B1571" s="76" t="inlineStr">
        <is>
          <t>Moves</t>
        </is>
      </c>
      <c r="C1571" s="76" t="inlineStr">
        <is>
          <t>Bonemerang type</t>
        </is>
      </c>
      <c r="D1571" s="76" t="inlineStr">
        <is>
          <t>TYPE_GROUND</t>
        </is>
      </c>
      <c r="E1571" s="76" t="inlineStr">
        <is>
          <t>TYPE_ROCK</t>
        </is>
      </c>
      <c r="F1571" s="76" t="inlineStr">
        <is>
          <t>Differs from upstream baseline</t>
        </is>
      </c>
      <c r="G1571" s="76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6" t="inlineStr">
        <is>
          <t>2026-09-30</t>
        </is>
      </c>
      <c r="B1573" s="76" t="inlineStr">
        <is>
          <t>Moves</t>
        </is>
      </c>
      <c r="C1573" s="76" t="inlineStr">
        <is>
          <t>Bone Club type</t>
        </is>
      </c>
      <c r="D1573" s="76" t="inlineStr">
        <is>
          <t>TYPE_GROUND</t>
        </is>
      </c>
      <c r="E1573" s="76" t="inlineStr">
        <is>
          <t>TYPE_ROCK</t>
        </is>
      </c>
      <c r="F1573" s="76" t="inlineStr">
        <is>
          <t>Differs from upstream baseline</t>
        </is>
      </c>
      <c r="G1573" s="76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6" t="inlineStr">
        <is>
          <t>2026-09-30</t>
        </is>
      </c>
      <c r="B1575" s="76" t="inlineStr">
        <is>
          <t>Moves</t>
        </is>
      </c>
      <c r="C1575" s="76" t="inlineStr">
        <is>
          <t>Bounce accuracy</t>
        </is>
      </c>
      <c r="D1575" s="76" t="n">
        <v>85</v>
      </c>
      <c r="E1575" s="76" t="n">
        <v>100</v>
      </c>
      <c r="F1575" s="76" t="inlineStr">
        <is>
          <t>Differs from upstream baseline</t>
        </is>
      </c>
      <c r="G1575" s="76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6" t="inlineStr">
        <is>
          <t>2026-09-30</t>
        </is>
      </c>
      <c r="B1577" s="76" t="inlineStr">
        <is>
          <t>Moves</t>
        </is>
      </c>
      <c r="C1577" s="76" t="inlineStr">
        <is>
          <t>Bulldoze pp</t>
        </is>
      </c>
      <c r="D1577" s="76" t="n">
        <v>20</v>
      </c>
      <c r="E1577" s="76" t="n">
        <v>30</v>
      </c>
      <c r="F1577" s="76" t="inlineStr">
        <is>
          <t>Differs from upstream baseline</t>
        </is>
      </c>
      <c r="G1577" s="76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6" t="inlineStr">
        <is>
          <t>2026-09-30</t>
        </is>
      </c>
      <c r="B1579" s="76" t="inlineStr">
        <is>
          <t>Moves</t>
        </is>
      </c>
      <c r="C1579" s="76" t="inlineStr">
        <is>
          <t>Calm Mind pp</t>
        </is>
      </c>
      <c r="D1579" s="76" t="n">
        <v>20</v>
      </c>
      <c r="E1579" s="76" t="n">
        <v>3</v>
      </c>
      <c r="F1579" s="76" t="inlineStr">
        <is>
          <t>Differs from upstream baseline</t>
        </is>
      </c>
      <c r="G1579" s="76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6" t="inlineStr">
        <is>
          <t>2026-09-30</t>
        </is>
      </c>
      <c r="B1581" s="76" t="inlineStr">
        <is>
          <t>Moves</t>
        </is>
      </c>
      <c r="C1581" s="76" t="inlineStr">
        <is>
          <t>Captivate pp</t>
        </is>
      </c>
      <c r="D1581" s="76" t="n">
        <v>20</v>
      </c>
      <c r="E1581" s="76" t="n">
        <v>3</v>
      </c>
      <c r="F1581" s="76" t="inlineStr">
        <is>
          <t>Differs from upstream baseline</t>
        </is>
      </c>
      <c r="G1581" s="76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6" t="inlineStr">
        <is>
          <t>2026-09-30</t>
        </is>
      </c>
      <c r="B1583" s="76" t="inlineStr">
        <is>
          <t>Moves</t>
        </is>
      </c>
      <c r="C1583" s="76" t="inlineStr">
        <is>
          <t>Charge pp</t>
        </is>
      </c>
      <c r="D1583" s="76" t="n">
        <v>20</v>
      </c>
      <c r="E1583" s="76" t="n">
        <v>1</v>
      </c>
      <c r="F1583" s="76" t="inlineStr">
        <is>
          <t>Differs from upstream baseline</t>
        </is>
      </c>
      <c r="G1583" s="76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6" t="inlineStr">
        <is>
          <t>2026-09-30</t>
        </is>
      </c>
      <c r="B1585" s="76" t="inlineStr">
        <is>
          <t>Moves</t>
        </is>
      </c>
      <c r="C1585" s="76" t="inlineStr">
        <is>
          <t>Charm pp</t>
        </is>
      </c>
      <c r="D1585" s="76" t="n">
        <v>20</v>
      </c>
      <c r="E1585" s="76" t="n">
        <v>3</v>
      </c>
      <c r="F1585" s="76" t="inlineStr">
        <is>
          <t>Differs from upstream baseline</t>
        </is>
      </c>
      <c r="G1585" s="76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6" t="inlineStr">
        <is>
          <t>2026-09-30</t>
        </is>
      </c>
      <c r="B1587" s="76" t="inlineStr">
        <is>
          <t>Moves</t>
        </is>
      </c>
      <c r="C1587" s="76" t="inlineStr">
        <is>
          <t>Chip Away power</t>
        </is>
      </c>
      <c r="D1587" s="76" t="n">
        <v>70</v>
      </c>
      <c r="E1587" s="76" t="n">
        <v>80</v>
      </c>
      <c r="F1587" s="76" t="inlineStr">
        <is>
          <t>Differs from upstream baseline</t>
        </is>
      </c>
      <c r="G1587" s="76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6" t="inlineStr">
        <is>
          <t>2026-09-30</t>
        </is>
      </c>
      <c r="B1589" s="76" t="inlineStr">
        <is>
          <t>Moves</t>
        </is>
      </c>
      <c r="C1589" s="76" t="inlineStr">
        <is>
          <t>Circle Throw accuracy</t>
        </is>
      </c>
      <c r="D1589" s="76" t="n">
        <v>90</v>
      </c>
      <c r="E1589" s="76" t="n">
        <v>100</v>
      </c>
      <c r="F1589" s="76" t="inlineStr">
        <is>
          <t>Differs from upstream baseline</t>
        </is>
      </c>
      <c r="G1589" s="76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6" t="inlineStr">
        <is>
          <t>2026-09-30</t>
        </is>
      </c>
      <c r="B1591" s="76" t="inlineStr">
        <is>
          <t>Moves</t>
        </is>
      </c>
      <c r="C1591" s="76" t="inlineStr">
        <is>
          <t>Clamp accuracy</t>
        </is>
      </c>
      <c r="D1591" s="76" t="n">
        <v>85</v>
      </c>
      <c r="E1591" s="76" t="n">
        <v>75</v>
      </c>
      <c r="F1591" s="76" t="inlineStr">
        <is>
          <t>Differs from upstream baseline</t>
        </is>
      </c>
      <c r="G1591" s="76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6" t="inlineStr">
        <is>
          <t>2026-09-30</t>
        </is>
      </c>
      <c r="B1593" s="76" t="inlineStr">
        <is>
          <t>Moves</t>
        </is>
      </c>
      <c r="C1593" s="76" t="inlineStr">
        <is>
          <t>Clear Smog power</t>
        </is>
      </c>
      <c r="D1593" s="76" t="n">
        <v>50</v>
      </c>
      <c r="E1593" s="76" t="n">
        <v>60</v>
      </c>
      <c r="F1593" s="76" t="inlineStr">
        <is>
          <t>Differs from upstream baseline</t>
        </is>
      </c>
      <c r="G1593" s="76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6" t="inlineStr">
        <is>
          <t>2026-09-30</t>
        </is>
      </c>
      <c r="B1595" s="76" t="inlineStr">
        <is>
          <t>Moves</t>
        </is>
      </c>
      <c r="C1595" s="76" t="inlineStr">
        <is>
          <t>Comet Punch power</t>
        </is>
      </c>
      <c r="D1595" s="76" t="n">
        <v>18</v>
      </c>
      <c r="E1595" s="76" t="n">
        <v>40</v>
      </c>
      <c r="F1595" s="76" t="inlineStr">
        <is>
          <t>Differs from upstream baseline</t>
        </is>
      </c>
      <c r="G1595" s="76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6" t="inlineStr">
        <is>
          <t>2026-09-30</t>
        </is>
      </c>
      <c r="B1597" s="76" t="inlineStr">
        <is>
          <t>Moves</t>
        </is>
      </c>
      <c r="C1597" s="76" t="inlineStr">
        <is>
          <t>Constrict power</t>
        </is>
      </c>
      <c r="D1597" s="76" t="n">
        <v>10</v>
      </c>
      <c r="E1597" s="76" t="n">
        <v>100</v>
      </c>
      <c r="F1597" s="76" t="inlineStr">
        <is>
          <t>Differs from upstream baseline</t>
        </is>
      </c>
      <c r="G1597" s="76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6" t="inlineStr">
        <is>
          <t>2026-09-30</t>
        </is>
      </c>
      <c r="B1599" s="76" t="inlineStr">
        <is>
          <t>Moves</t>
        </is>
      </c>
      <c r="C1599" s="76" t="inlineStr">
        <is>
          <t>Constrict type</t>
        </is>
      </c>
      <c r="D1599" s="76" t="inlineStr">
        <is>
          <t>TYPE_NORMAL</t>
        </is>
      </c>
      <c r="E1599" s="76" t="inlineStr">
        <is>
          <t>TYPE_ICE</t>
        </is>
      </c>
      <c r="F1599" s="76" t="inlineStr">
        <is>
          <t>Differs from upstream baseline</t>
        </is>
      </c>
      <c r="G1599" s="76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6" t="inlineStr">
        <is>
          <t>2026-09-30</t>
        </is>
      </c>
      <c r="B1601" s="76" t="inlineStr">
        <is>
          <t>Moves</t>
        </is>
      </c>
      <c r="C1601" s="76" t="inlineStr">
        <is>
          <t>Cotton Guard pp</t>
        </is>
      </c>
      <c r="D1601" s="76" t="n">
        <v>10</v>
      </c>
      <c r="E1601" s="76" t="n">
        <v>3</v>
      </c>
      <c r="F1601" s="76" t="inlineStr">
        <is>
          <t>Differs from upstream baseline</t>
        </is>
      </c>
      <c r="G1601" s="76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6" t="inlineStr">
        <is>
          <t>2026-09-30</t>
        </is>
      </c>
      <c r="B1603" s="76" t="inlineStr">
        <is>
          <t>Moves</t>
        </is>
      </c>
      <c r="C1603" s="76" t="inlineStr">
        <is>
          <t>Crabhammer power</t>
        </is>
      </c>
      <c r="D1603" s="76" t="n">
        <v>100</v>
      </c>
      <c r="E1603" s="76" t="n">
        <v>120</v>
      </c>
      <c r="F1603" s="76" t="inlineStr">
        <is>
          <t>Differs from upstream baseline</t>
        </is>
      </c>
      <c r="G1603" s="76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6" t="inlineStr">
        <is>
          <t>2026-09-30</t>
        </is>
      </c>
      <c r="B1605" s="76" t="inlineStr">
        <is>
          <t>Moves</t>
        </is>
      </c>
      <c r="C1605" s="76" t="inlineStr">
        <is>
          <t>Cross Chop accuracy</t>
        </is>
      </c>
      <c r="D1605" s="76" t="n">
        <v>80</v>
      </c>
      <c r="E1605" s="76" t="n">
        <v>85</v>
      </c>
      <c r="F1605" s="76" t="inlineStr">
        <is>
          <t>Differs from upstream baseline</t>
        </is>
      </c>
      <c r="G1605" s="76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6" t="inlineStr">
        <is>
          <t>2026-09-30</t>
        </is>
      </c>
      <c r="B1607" s="76" t="inlineStr">
        <is>
          <t>Moves</t>
        </is>
      </c>
      <c r="C1607" s="76" t="inlineStr">
        <is>
          <t>Crunch power</t>
        </is>
      </c>
      <c r="D1607" s="76" t="n">
        <v>80</v>
      </c>
      <c r="E1607" s="76" t="n">
        <v>95</v>
      </c>
      <c r="F1607" s="76" t="inlineStr">
        <is>
          <t>Differs from upstream baseline</t>
        </is>
      </c>
      <c r="G1607" s="76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6" t="inlineStr">
        <is>
          <t>2026-09-30</t>
        </is>
      </c>
      <c r="B1609" s="76" t="inlineStr">
        <is>
          <t>Moves</t>
        </is>
      </c>
      <c r="C1609" s="76" t="inlineStr">
        <is>
          <t>Crush Grip power</t>
        </is>
      </c>
      <c r="D1609" s="76" t="n">
        <v>120</v>
      </c>
      <c r="E1609" s="76" t="n">
        <v>150</v>
      </c>
      <c r="F1609" s="76" t="inlineStr">
        <is>
          <t>Differs from upstream baseline</t>
        </is>
      </c>
      <c r="G1609" s="76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6" t="inlineStr">
        <is>
          <t>2026-09-30</t>
        </is>
      </c>
      <c r="B1611" s="76" t="inlineStr">
        <is>
          <t>Moves</t>
        </is>
      </c>
      <c r="C1611" s="76" t="inlineStr">
        <is>
          <t>Cut accuracy</t>
        </is>
      </c>
      <c r="D1611" s="76" t="n">
        <v>95</v>
      </c>
      <c r="E1611" s="76" t="n">
        <v>100</v>
      </c>
      <c r="F1611" s="76" t="inlineStr">
        <is>
          <t>Differs from upstream baseline</t>
        </is>
      </c>
      <c r="G1611" s="76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6" t="inlineStr">
        <is>
          <t>2026-09-30</t>
        </is>
      </c>
      <c r="B1613" s="76" t="inlineStr">
        <is>
          <t>Moves</t>
        </is>
      </c>
      <c r="C1613" s="76" t="inlineStr">
        <is>
          <t>Dark Void pp</t>
        </is>
      </c>
      <c r="D1613" s="76" t="n">
        <v>10</v>
      </c>
      <c r="E1613" s="76" t="n">
        <v>5</v>
      </c>
      <c r="F1613" s="76" t="inlineStr">
        <is>
          <t>Differs from upstream baseline</t>
        </is>
      </c>
      <c r="G1613" s="76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6" t="inlineStr">
        <is>
          <t>2026-09-30</t>
        </is>
      </c>
      <c r="B1615" s="76" t="inlineStr">
        <is>
          <t>Moves</t>
        </is>
      </c>
      <c r="C1615" s="76" t="inlineStr">
        <is>
          <t>Defog pp</t>
        </is>
      </c>
      <c r="D1615" s="76" t="n">
        <v>15</v>
      </c>
      <c r="E1615" s="76" t="n">
        <v>1</v>
      </c>
      <c r="F1615" s="76" t="inlineStr">
        <is>
          <t>Differs from upstream baseline</t>
        </is>
      </c>
      <c r="G1615" s="76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6" t="inlineStr">
        <is>
          <t>2026-09-30</t>
        </is>
      </c>
      <c r="B1617" s="76" t="inlineStr">
        <is>
          <t>Moves</t>
        </is>
      </c>
      <c r="C1617" s="76" t="inlineStr">
        <is>
          <t>Diamond Storm power</t>
        </is>
      </c>
      <c r="D1617" s="76" t="n">
        <v>100</v>
      </c>
      <c r="E1617" s="76" t="n">
        <v>110</v>
      </c>
      <c r="F1617" s="76" t="inlineStr">
        <is>
          <t>Differs from upstream baseline</t>
        </is>
      </c>
      <c r="G1617" s="76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6" t="inlineStr">
        <is>
          <t>2026-09-30</t>
        </is>
      </c>
      <c r="B1619" s="76" t="inlineStr">
        <is>
          <t>Moves</t>
        </is>
      </c>
      <c r="C1619" s="76" t="inlineStr">
        <is>
          <t>Disarming Voice power</t>
        </is>
      </c>
      <c r="D1619" s="76" t="n">
        <v>40</v>
      </c>
      <c r="E1619" s="76" t="n">
        <v>50</v>
      </c>
      <c r="F1619" s="76" t="inlineStr">
        <is>
          <t>Differs from upstream baseline</t>
        </is>
      </c>
      <c r="G1619" s="76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6" t="inlineStr">
        <is>
          <t>2026-09-30</t>
        </is>
      </c>
      <c r="B1621" s="76" t="inlineStr">
        <is>
          <t>Moves</t>
        </is>
      </c>
      <c r="C1621" s="76" t="inlineStr">
        <is>
          <t>Doom Desire power</t>
        </is>
      </c>
      <c r="D1621" s="76" t="n">
        <v>140</v>
      </c>
      <c r="E1621" s="76" t="n">
        <v>250</v>
      </c>
      <c r="F1621" s="76" t="inlineStr">
        <is>
          <t>Differs from upstream baseline</t>
        </is>
      </c>
      <c r="G1621" s="76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6" t="inlineStr">
        <is>
          <t>2026-09-30</t>
        </is>
      </c>
      <c r="B1623" s="76" t="inlineStr">
        <is>
          <t>Moves</t>
        </is>
      </c>
      <c r="C1623" s="76" t="inlineStr">
        <is>
          <t>Double-Edge pp</t>
        </is>
      </c>
      <c r="D1623" s="76" t="n">
        <v>15</v>
      </c>
      <c r="E1623" s="76" t="n">
        <v>8</v>
      </c>
      <c r="F1623" s="76" t="inlineStr">
        <is>
          <t>Differs from upstream baseline</t>
        </is>
      </c>
      <c r="G1623" s="76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6" t="inlineStr">
        <is>
          <t>2026-09-30</t>
        </is>
      </c>
      <c r="B1625" s="76" t="inlineStr">
        <is>
          <t>Moves</t>
        </is>
      </c>
      <c r="C1625" s="76" t="inlineStr">
        <is>
          <t>Double Hit accuracy</t>
        </is>
      </c>
      <c r="D1625" s="76" t="n">
        <v>90</v>
      </c>
      <c r="E1625" s="76" t="n">
        <v>100</v>
      </c>
      <c r="F1625" s="76" t="inlineStr">
        <is>
          <t>Differs from upstream baseline</t>
        </is>
      </c>
      <c r="G1625" s="76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6" t="inlineStr">
        <is>
          <t>2026-09-30</t>
        </is>
      </c>
      <c r="B1627" s="76" t="inlineStr">
        <is>
          <t>Moves</t>
        </is>
      </c>
      <c r="C1627" s="76" t="inlineStr">
        <is>
          <t>Double Slap accuracy</t>
        </is>
      </c>
      <c r="D1627" s="76" t="n">
        <v>85</v>
      </c>
      <c r="E1627" s="76" t="n">
        <v>90</v>
      </c>
      <c r="F1627" s="76" t="inlineStr">
        <is>
          <t>Differs from upstream baseline</t>
        </is>
      </c>
      <c r="G1627" s="76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6" t="inlineStr">
        <is>
          <t>2026-09-30</t>
        </is>
      </c>
      <c r="B1629" s="76" t="inlineStr">
        <is>
          <t>Moves</t>
        </is>
      </c>
      <c r="C1629" s="76" t="inlineStr">
        <is>
          <t>Draco Meteor power</t>
        </is>
      </c>
      <c r="D1629" s="76" t="n">
        <v>130</v>
      </c>
      <c r="E1629" s="76" t="n">
        <v>140</v>
      </c>
      <c r="F1629" s="76" t="inlineStr">
        <is>
          <t>Differs from upstream baseline</t>
        </is>
      </c>
      <c r="G1629" s="76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6" t="inlineStr">
        <is>
          <t>2026-09-30</t>
        </is>
      </c>
      <c r="B1631" s="76" t="inlineStr">
        <is>
          <t>Moves</t>
        </is>
      </c>
      <c r="C1631" s="76" t="inlineStr">
        <is>
          <t>Dragon Breath power</t>
        </is>
      </c>
      <c r="D1631" s="76" t="n">
        <v>60</v>
      </c>
      <c r="E1631" s="76" t="n">
        <v>70</v>
      </c>
      <c r="F1631" s="76" t="inlineStr">
        <is>
          <t>Differs from upstream baseline</t>
        </is>
      </c>
      <c r="G1631" s="76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6" t="inlineStr">
        <is>
          <t>2026-09-30</t>
        </is>
      </c>
      <c r="B1633" s="76" t="inlineStr">
        <is>
          <t>Moves</t>
        </is>
      </c>
      <c r="C1633" s="76" t="inlineStr">
        <is>
          <t>Dragon Dance pp</t>
        </is>
      </c>
      <c r="D1633" s="76" t="n">
        <v>20</v>
      </c>
      <c r="E1633" s="76" t="n">
        <v>1</v>
      </c>
      <c r="F1633" s="76" t="inlineStr">
        <is>
          <t>Differs from upstream baseline</t>
        </is>
      </c>
      <c r="G1633" s="76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6" t="inlineStr">
        <is>
          <t>2026-09-30</t>
        </is>
      </c>
      <c r="B1635" s="76" t="inlineStr">
        <is>
          <t>Moves</t>
        </is>
      </c>
      <c r="C1635" s="76" t="inlineStr">
        <is>
          <t>Dragon Pulse accuracy</t>
        </is>
      </c>
      <c r="D1635" s="76" t="n">
        <v>100</v>
      </c>
      <c r="E1635" s="76" t="n">
        <v>0</v>
      </c>
      <c r="F1635" s="76" t="inlineStr">
        <is>
          <t>Differs from upstream baseline</t>
        </is>
      </c>
      <c r="G1635" s="76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6" t="inlineStr">
        <is>
          <t>2026-09-30</t>
        </is>
      </c>
      <c r="B1637" s="76" t="inlineStr">
        <is>
          <t>Moves</t>
        </is>
      </c>
      <c r="C1637" s="76" t="inlineStr">
        <is>
          <t>Dragon Tail power</t>
        </is>
      </c>
      <c r="D1637" s="76" t="n">
        <v>60</v>
      </c>
      <c r="E1637" s="76" t="n">
        <v>70</v>
      </c>
      <c r="F1637" s="76" t="inlineStr">
        <is>
          <t>Differs from upstream baseline</t>
        </is>
      </c>
      <c r="G1637" s="76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6" t="inlineStr">
        <is>
          <t>2026-09-30</t>
        </is>
      </c>
      <c r="B1639" s="76" t="inlineStr">
        <is>
          <t>Moves</t>
        </is>
      </c>
      <c r="C1639" s="76" t="inlineStr">
        <is>
          <t>Draining Kiss power</t>
        </is>
      </c>
      <c r="D1639" s="76" t="n">
        <v>50</v>
      </c>
      <c r="E1639" s="76" t="n">
        <v>60</v>
      </c>
      <c r="F1639" s="76" t="inlineStr">
        <is>
          <t>Differs from upstream baseline</t>
        </is>
      </c>
      <c r="G1639" s="76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6" t="inlineStr">
        <is>
          <t>2026-09-30</t>
        </is>
      </c>
      <c r="B1641" s="76" t="inlineStr">
        <is>
          <t>Moves</t>
        </is>
      </c>
      <c r="C1641" s="76" t="inlineStr">
        <is>
          <t>Drill Run accuracy</t>
        </is>
      </c>
      <c r="D1641" s="76" t="n">
        <v>95</v>
      </c>
      <c r="E1641" s="76" t="n">
        <v>100</v>
      </c>
      <c r="F1641" s="76" t="inlineStr">
        <is>
          <t>Differs from upstream baseline</t>
        </is>
      </c>
      <c r="G1641" s="76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6" t="inlineStr">
        <is>
          <t>2026-09-30</t>
        </is>
      </c>
      <c r="B1643" s="76" t="inlineStr">
        <is>
          <t>Moves</t>
        </is>
      </c>
      <c r="C1643" s="76" t="inlineStr">
        <is>
          <t>Dual Chop accuracy</t>
        </is>
      </c>
      <c r="D1643" s="76" t="n">
        <v>90</v>
      </c>
      <c r="E1643" s="76" t="n">
        <v>100</v>
      </c>
      <c r="F1643" s="76" t="inlineStr">
        <is>
          <t>Differs from upstream baseline</t>
        </is>
      </c>
      <c r="G1643" s="76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6" t="inlineStr">
        <is>
          <t>2026-09-30</t>
        </is>
      </c>
      <c r="B1645" s="76" t="inlineStr">
        <is>
          <t>Moves</t>
        </is>
      </c>
      <c r="C1645" s="76" t="inlineStr">
        <is>
          <t>Echoed Voice power</t>
        </is>
      </c>
      <c r="D1645" s="76" t="n">
        <v>40</v>
      </c>
      <c r="E1645" s="76" t="n">
        <v>50</v>
      </c>
      <c r="F1645" s="76" t="inlineStr">
        <is>
          <t>Differs from upstream baseline</t>
        </is>
      </c>
      <c r="G1645" s="76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6" t="inlineStr">
        <is>
          <t>2026-09-30</t>
        </is>
      </c>
      <c r="B1647" s="76" t="inlineStr">
        <is>
          <t>Moves</t>
        </is>
      </c>
      <c r="C1647" s="76" t="inlineStr">
        <is>
          <t>Egg Bomb type</t>
        </is>
      </c>
      <c r="D1647" s="76" t="inlineStr">
        <is>
          <t>TYPE_NORMAL</t>
        </is>
      </c>
      <c r="E1647" s="76" t="inlineStr">
        <is>
          <t>TYPE_GRASS</t>
        </is>
      </c>
      <c r="F1647" s="76" t="inlineStr">
        <is>
          <t>Differs from upstream baseline</t>
        </is>
      </c>
      <c r="G1647" s="76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6" t="inlineStr">
        <is>
          <t>2026-09-30</t>
        </is>
      </c>
      <c r="B1649" s="76" t="inlineStr">
        <is>
          <t>Moves</t>
        </is>
      </c>
      <c r="C1649" s="76" t="inlineStr">
        <is>
          <t>Electroweb accuracy</t>
        </is>
      </c>
      <c r="D1649" s="76" t="n">
        <v>95</v>
      </c>
      <c r="E1649" s="76" t="n">
        <v>100</v>
      </c>
      <c r="F1649" s="76" t="inlineStr">
        <is>
          <t>Differs from upstream baseline</t>
        </is>
      </c>
      <c r="G1649" s="76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6" t="inlineStr">
        <is>
          <t>2026-09-30</t>
        </is>
      </c>
      <c r="B1651" s="76" t="inlineStr">
        <is>
          <t>Moves</t>
        </is>
      </c>
      <c r="C1651" s="76" t="inlineStr">
        <is>
          <t>Endeavor type</t>
        </is>
      </c>
      <c r="D1651" s="76" t="inlineStr">
        <is>
          <t>TYPE_NORMAL</t>
        </is>
      </c>
      <c r="E1651" s="76" t="inlineStr">
        <is>
          <t>TYPE_MYSTERY</t>
        </is>
      </c>
      <c r="F1651" s="76" t="inlineStr">
        <is>
          <t>Differs from upstream baseline</t>
        </is>
      </c>
      <c r="G1651" s="76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6" t="inlineStr">
        <is>
          <t>2026-09-30</t>
        </is>
      </c>
      <c r="B1653" s="76" t="inlineStr">
        <is>
          <t>Moves</t>
        </is>
      </c>
      <c r="C1653" s="76" t="inlineStr">
        <is>
          <t>Extrasensory power</t>
        </is>
      </c>
      <c r="D1653" s="76" t="n">
        <v>80</v>
      </c>
      <c r="E1653" s="76" t="n">
        <v>90</v>
      </c>
      <c r="F1653" s="76" t="inlineStr">
        <is>
          <t>Differs from upstream baseline</t>
        </is>
      </c>
      <c r="G1653" s="76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6" t="inlineStr">
        <is>
          <t>2026-09-30</t>
        </is>
      </c>
      <c r="B1655" s="76" t="inlineStr">
        <is>
          <t>Moves</t>
        </is>
      </c>
      <c r="C1655" s="76" t="inlineStr">
        <is>
          <t>Extreme Speed power</t>
        </is>
      </c>
      <c r="D1655" s="76" t="n">
        <v>80</v>
      </c>
      <c r="E1655" s="76" t="n">
        <v>100</v>
      </c>
      <c r="F1655" s="76" t="inlineStr">
        <is>
          <t>Differs from upstream baseline</t>
        </is>
      </c>
      <c r="G1655" s="76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6" t="inlineStr">
        <is>
          <t>2026-09-30</t>
        </is>
      </c>
      <c r="B1657" s="76" t="inlineStr">
        <is>
          <t>Moves</t>
        </is>
      </c>
      <c r="C1657" s="76" t="inlineStr">
        <is>
          <t>Facade power</t>
        </is>
      </c>
      <c r="D1657" s="76" t="n">
        <v>70</v>
      </c>
      <c r="E1657" s="76" t="n">
        <v>80</v>
      </c>
      <c r="F1657" s="76" t="inlineStr">
        <is>
          <t>Differs from upstream baseline</t>
        </is>
      </c>
      <c r="G1657" s="76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6" t="inlineStr">
        <is>
          <t>2026-09-30</t>
        </is>
      </c>
      <c r="B1659" s="76" t="inlineStr">
        <is>
          <t>Moves</t>
        </is>
      </c>
      <c r="C1659" s="76" t="inlineStr">
        <is>
          <t>Fake Out pp</t>
        </is>
      </c>
      <c r="D1659" s="76" t="n">
        <v>10</v>
      </c>
      <c r="E1659" s="76" t="n">
        <v>5</v>
      </c>
      <c r="F1659" s="76" t="inlineStr">
        <is>
          <t>Differs from upstream baseline</t>
        </is>
      </c>
      <c r="G1659" s="76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6" t="inlineStr">
        <is>
          <t>2026-09-30</t>
        </is>
      </c>
      <c r="B1661" s="76" t="inlineStr">
        <is>
          <t>Moves</t>
        </is>
      </c>
      <c r="C1661" s="76" t="inlineStr">
        <is>
          <t>Feather Dance pp</t>
        </is>
      </c>
      <c r="D1661" s="76" t="n">
        <v>15</v>
      </c>
      <c r="E1661" s="76" t="n">
        <v>3</v>
      </c>
      <c r="F1661" s="76" t="inlineStr">
        <is>
          <t>Differs from upstream baseline</t>
        </is>
      </c>
      <c r="G1661" s="76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6" t="inlineStr">
        <is>
          <t>2026-09-30</t>
        </is>
      </c>
      <c r="B1663" s="76" t="inlineStr">
        <is>
          <t>Moves</t>
        </is>
      </c>
      <c r="C1663" s="76" t="inlineStr">
        <is>
          <t>Fell Stinger power</t>
        </is>
      </c>
      <c r="D1663" s="76" t="n">
        <v>50</v>
      </c>
      <c r="E1663" s="76" t="n">
        <v>60</v>
      </c>
      <c r="F1663" s="76" t="inlineStr">
        <is>
          <t>Differs from upstream baseline</t>
        </is>
      </c>
      <c r="G1663" s="76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6" t="inlineStr">
        <is>
          <t>2026-09-30</t>
        </is>
      </c>
      <c r="B1665" s="76" t="inlineStr">
        <is>
          <t>Moves</t>
        </is>
      </c>
      <c r="C1665" s="76" t="inlineStr">
        <is>
          <t>Fiery Dance power</t>
        </is>
      </c>
      <c r="D1665" s="76" t="n">
        <v>80</v>
      </c>
      <c r="E1665" s="76" t="n">
        <v>90</v>
      </c>
      <c r="F1665" s="76" t="inlineStr">
        <is>
          <t>Differs from upstream baseline</t>
        </is>
      </c>
      <c r="G1665" s="76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6" t="inlineStr">
        <is>
          <t>2026-09-30</t>
        </is>
      </c>
      <c r="B1667" s="76" t="inlineStr">
        <is>
          <t>Moves</t>
        </is>
      </c>
      <c r="C1667" s="76" t="inlineStr">
        <is>
          <t>Fire Fang power</t>
        </is>
      </c>
      <c r="D1667" s="76" t="n">
        <v>65</v>
      </c>
      <c r="E1667" s="76" t="n">
        <v>90</v>
      </c>
      <c r="F1667" s="76" t="inlineStr">
        <is>
          <t>Differs from upstream baseline</t>
        </is>
      </c>
      <c r="G1667" s="76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6" t="inlineStr">
        <is>
          <t>2026-09-30</t>
        </is>
      </c>
      <c r="B1669" s="76" t="inlineStr">
        <is>
          <t>Moves</t>
        </is>
      </c>
      <c r="C1669" s="76" t="inlineStr">
        <is>
          <t>Fire Punch power</t>
        </is>
      </c>
      <c r="D1669" s="76" t="n">
        <v>75</v>
      </c>
      <c r="E1669" s="76" t="n">
        <v>95</v>
      </c>
      <c r="F1669" s="76" t="inlineStr">
        <is>
          <t>Differs from upstream baseline</t>
        </is>
      </c>
      <c r="G1669" s="76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6" t="inlineStr">
        <is>
          <t>2026-09-30</t>
        </is>
      </c>
      <c r="B1671" s="76" t="inlineStr">
        <is>
          <t>Moves</t>
        </is>
      </c>
      <c r="C1671" s="76" t="inlineStr">
        <is>
          <t>Fire Spin accuracy</t>
        </is>
      </c>
      <c r="D1671" s="76" t="n">
        <v>85</v>
      </c>
      <c r="E1671" s="76" t="n">
        <v>100</v>
      </c>
      <c r="F1671" s="76" t="inlineStr">
        <is>
          <t>Differs from upstream baseline</t>
        </is>
      </c>
      <c r="G1671" s="76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6" t="inlineStr">
        <is>
          <t>2026-09-30</t>
        </is>
      </c>
      <c r="B1673" s="76" t="inlineStr">
        <is>
          <t>Moves</t>
        </is>
      </c>
      <c r="C1673" s="76" t="inlineStr">
        <is>
          <t>Flame Burst power</t>
        </is>
      </c>
      <c r="D1673" s="76" t="n">
        <v>70</v>
      </c>
      <c r="E1673" s="76" t="n">
        <v>75</v>
      </c>
      <c r="F1673" s="76" t="inlineStr">
        <is>
          <t>Differs from upstream baseline</t>
        </is>
      </c>
      <c r="G1673" s="76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6" t="inlineStr">
        <is>
          <t>2026-09-30</t>
        </is>
      </c>
      <c r="B1675" s="76" t="inlineStr">
        <is>
          <t>Moves</t>
        </is>
      </c>
      <c r="C1675" s="76" t="inlineStr">
        <is>
          <t>Flame Wheel power</t>
        </is>
      </c>
      <c r="D1675" s="76" t="n">
        <v>60</v>
      </c>
      <c r="E1675" s="76" t="n">
        <v>70</v>
      </c>
      <c r="F1675" s="76" t="inlineStr">
        <is>
          <t>Differs from upstream baseline</t>
        </is>
      </c>
      <c r="G1675" s="76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6" t="inlineStr">
        <is>
          <t>2026-09-30</t>
        </is>
      </c>
      <c r="B1677" s="76" t="inlineStr">
        <is>
          <t>Moves</t>
        </is>
      </c>
      <c r="C1677" s="76" t="inlineStr">
        <is>
          <t>Flash pp</t>
        </is>
      </c>
      <c r="D1677" s="76" t="n">
        <v>20</v>
      </c>
      <c r="E1677" s="76" t="n">
        <v>5</v>
      </c>
      <c r="F1677" s="76" t="inlineStr">
        <is>
          <t>Differs from upstream baseline</t>
        </is>
      </c>
      <c r="G1677" s="76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6" t="inlineStr">
        <is>
          <t>2026-09-30</t>
        </is>
      </c>
      <c r="B1679" s="76" t="inlineStr">
        <is>
          <t>Moves</t>
        </is>
      </c>
      <c r="C1679" s="76" t="inlineStr">
        <is>
          <t>Flying Press accuracy</t>
        </is>
      </c>
      <c r="D1679" s="76" t="n">
        <v>95</v>
      </c>
      <c r="E1679" s="76" t="n">
        <v>100</v>
      </c>
      <c r="F1679" s="76" t="inlineStr">
        <is>
          <t>Differs from upstream baseline</t>
        </is>
      </c>
      <c r="G1679" s="76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6" t="inlineStr">
        <is>
          <t>2026-09-30</t>
        </is>
      </c>
      <c r="B1681" s="76" t="inlineStr">
        <is>
          <t>Moves</t>
        </is>
      </c>
      <c r="C1681" s="76" t="inlineStr">
        <is>
          <t>Focus Energy pp</t>
        </is>
      </c>
      <c r="D1681" s="76" t="n">
        <v>30</v>
      </c>
      <c r="E1681" s="76" t="n">
        <v>5</v>
      </c>
      <c r="F1681" s="76" t="inlineStr">
        <is>
          <t>Differs from upstream baseline</t>
        </is>
      </c>
      <c r="G1681" s="76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6" t="inlineStr">
        <is>
          <t>2026-09-30</t>
        </is>
      </c>
      <c r="B1683" s="76" t="inlineStr">
        <is>
          <t>Moves</t>
        </is>
      </c>
      <c r="C1683" s="76" t="inlineStr">
        <is>
          <t>Force Palm power</t>
        </is>
      </c>
      <c r="D1683" s="76" t="n">
        <v>60</v>
      </c>
      <c r="E1683" s="76" t="n">
        <v>85</v>
      </c>
      <c r="F1683" s="76" t="inlineStr">
        <is>
          <t>Differs from upstream baseline</t>
        </is>
      </c>
      <c r="G1683" s="76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6" t="inlineStr">
        <is>
          <t>2026-09-30</t>
        </is>
      </c>
      <c r="B1685" s="76" t="inlineStr">
        <is>
          <t>Moves</t>
        </is>
      </c>
      <c r="C1685" s="76" t="inlineStr">
        <is>
          <t>Freeze-Dry power</t>
        </is>
      </c>
      <c r="D1685" s="76" t="n">
        <v>70</v>
      </c>
      <c r="E1685" s="76" t="n">
        <v>80</v>
      </c>
      <c r="F1685" s="76" t="inlineStr">
        <is>
          <t>Differs from upstream baseline</t>
        </is>
      </c>
      <c r="G1685" s="76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6" t="inlineStr">
        <is>
          <t>2026-09-30</t>
        </is>
      </c>
      <c r="B1687" s="76" t="inlineStr">
        <is>
          <t>Moves</t>
        </is>
      </c>
      <c r="C1687" s="76" t="inlineStr">
        <is>
          <t>Frenzy Plant accuracy</t>
        </is>
      </c>
      <c r="D1687" s="76" t="n">
        <v>90</v>
      </c>
      <c r="E1687" s="76" t="n">
        <v>95</v>
      </c>
      <c r="F1687" s="76" t="inlineStr">
        <is>
          <t>Differs from upstream baseline</t>
        </is>
      </c>
      <c r="G1687" s="76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6" t="inlineStr">
        <is>
          <t>2026-09-30</t>
        </is>
      </c>
      <c r="B1689" s="76" t="inlineStr">
        <is>
          <t>Moves</t>
        </is>
      </c>
      <c r="C1689" s="76" t="inlineStr">
        <is>
          <t>Frost Breath accuracy</t>
        </is>
      </c>
      <c r="D1689" s="76" t="n">
        <v>90</v>
      </c>
      <c r="E1689" s="76" t="n">
        <v>95</v>
      </c>
      <c r="F1689" s="76" t="inlineStr">
        <is>
          <t>Differs from upstream baseline</t>
        </is>
      </c>
      <c r="G1689" s="76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6" t="inlineStr">
        <is>
          <t>2026-09-30</t>
        </is>
      </c>
      <c r="B1691" s="76" t="inlineStr">
        <is>
          <t>Moves</t>
        </is>
      </c>
      <c r="C1691" s="76" t="inlineStr">
        <is>
          <t>Fury Attack accuracy</t>
        </is>
      </c>
      <c r="D1691" s="76" t="n">
        <v>85</v>
      </c>
      <c r="E1691" s="76" t="n">
        <v>100</v>
      </c>
      <c r="F1691" s="76" t="inlineStr">
        <is>
          <t>Differs from upstream baseline</t>
        </is>
      </c>
      <c r="G1691" s="76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6" t="inlineStr">
        <is>
          <t>2026-09-30</t>
        </is>
      </c>
      <c r="B1693" s="76" t="inlineStr">
        <is>
          <t>Moves</t>
        </is>
      </c>
      <c r="C1693" s="76" t="inlineStr">
        <is>
          <t>Fury Cutter accuracy</t>
        </is>
      </c>
      <c r="D1693" s="76" t="n">
        <v>95</v>
      </c>
      <c r="E1693" s="76" t="n">
        <v>100</v>
      </c>
      <c r="F1693" s="76" t="inlineStr">
        <is>
          <t>Differs from upstream baseline</t>
        </is>
      </c>
      <c r="G1693" s="76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6" t="inlineStr">
        <is>
          <t>2026-09-30</t>
        </is>
      </c>
      <c r="B1695" s="76" t="inlineStr">
        <is>
          <t>Moves</t>
        </is>
      </c>
      <c r="C1695" s="76" t="inlineStr">
        <is>
          <t>Fury Swipes accuracy</t>
        </is>
      </c>
      <c r="D1695" s="76" t="n">
        <v>80</v>
      </c>
      <c r="E1695" s="76" t="n">
        <v>90</v>
      </c>
      <c r="F1695" s="76" t="inlineStr">
        <is>
          <t>Differs from upstream baseline</t>
        </is>
      </c>
      <c r="G1695" s="76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6" t="inlineStr">
        <is>
          <t>2026-09-30</t>
        </is>
      </c>
      <c r="B1697" s="76" t="inlineStr">
        <is>
          <t>Moves</t>
        </is>
      </c>
      <c r="C1697" s="76" t="inlineStr">
        <is>
          <t>Gear Grind power</t>
        </is>
      </c>
      <c r="D1697" s="76" t="n">
        <v>50</v>
      </c>
      <c r="E1697" s="76" t="n">
        <v>60</v>
      </c>
      <c r="F1697" s="76" t="inlineStr">
        <is>
          <t>Differs from upstream baseline</t>
        </is>
      </c>
      <c r="G1697" s="76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6" t="inlineStr">
        <is>
          <t>2026-09-30</t>
        </is>
      </c>
      <c r="B1699" s="76" t="inlineStr">
        <is>
          <t>Moves</t>
        </is>
      </c>
      <c r="C1699" s="76" t="inlineStr">
        <is>
          <t>Geomancy pp</t>
        </is>
      </c>
      <c r="D1699" s="76" t="n">
        <v>10</v>
      </c>
      <c r="E1699" s="76" t="n">
        <v>3</v>
      </c>
      <c r="F1699" s="76" t="inlineStr">
        <is>
          <t>Differs from upstream baseline</t>
        </is>
      </c>
      <c r="G1699" s="76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6" t="inlineStr">
        <is>
          <t>2026-09-30</t>
        </is>
      </c>
      <c r="B1701" s="76" t="inlineStr">
        <is>
          <t>Moves</t>
        </is>
      </c>
      <c r="C1701" s="76" t="inlineStr">
        <is>
          <t>Giga Impact power</t>
        </is>
      </c>
      <c r="D1701" s="76" t="n">
        <v>150</v>
      </c>
      <c r="E1701" s="76" t="n">
        <v>180</v>
      </c>
      <c r="F1701" s="76" t="inlineStr">
        <is>
          <t>Differs from upstream baseline</t>
        </is>
      </c>
      <c r="G1701" s="76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6" t="inlineStr">
        <is>
          <t>2026-09-30</t>
        </is>
      </c>
      <c r="B1703" s="76" t="inlineStr">
        <is>
          <t>Moves</t>
        </is>
      </c>
      <c r="C1703" s="76" t="inlineStr">
        <is>
          <t>Glaciate power</t>
        </is>
      </c>
      <c r="D1703" s="76" t="n">
        <v>65</v>
      </c>
      <c r="E1703" s="76" t="n">
        <v>75</v>
      </c>
      <c r="F1703" s="76" t="inlineStr">
        <is>
          <t>Differs from upstream baseline</t>
        </is>
      </c>
      <c r="G1703" s="76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6" t="inlineStr">
        <is>
          <t>2026-09-30</t>
        </is>
      </c>
      <c r="B1705" s="76" t="inlineStr">
        <is>
          <t>Moves</t>
        </is>
      </c>
      <c r="C1705" s="76" t="inlineStr">
        <is>
          <t>Glare type</t>
        </is>
      </c>
      <c r="D1705" s="76" t="inlineStr">
        <is>
          <t>TYPE_NORMAL</t>
        </is>
      </c>
      <c r="E1705" s="76" t="inlineStr">
        <is>
          <t>TYPE_DARK</t>
        </is>
      </c>
      <c r="F1705" s="76" t="inlineStr">
        <is>
          <t>Differs from upstream baseline</t>
        </is>
      </c>
      <c r="G1705" s="76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6" t="inlineStr">
        <is>
          <t>2026-09-30</t>
        </is>
      </c>
      <c r="B1707" s="76" t="inlineStr">
        <is>
          <t>Moves</t>
        </is>
      </c>
      <c r="C1707" s="76" t="inlineStr">
        <is>
          <t>Growth pp</t>
        </is>
      </c>
      <c r="D1707" s="76" t="n">
        <v>20</v>
      </c>
      <c r="E1707" s="76" t="n">
        <v>5</v>
      </c>
      <c r="F1707" s="76" t="inlineStr">
        <is>
          <t>Differs from upstream baseline</t>
        </is>
      </c>
      <c r="G1707" s="76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6" t="inlineStr">
        <is>
          <t>2026-09-30</t>
        </is>
      </c>
      <c r="B1709" s="76" t="inlineStr">
        <is>
          <t>Moves</t>
        </is>
      </c>
      <c r="C1709" s="76" t="inlineStr">
        <is>
          <t>Guard Swap pp</t>
        </is>
      </c>
      <c r="D1709" s="76" t="n">
        <v>10</v>
      </c>
      <c r="E1709" s="76" t="n">
        <v>3</v>
      </c>
      <c r="F1709" s="76" t="inlineStr">
        <is>
          <t>Differs from upstream baseline</t>
        </is>
      </c>
      <c r="G1709" s="76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6" t="inlineStr">
        <is>
          <t>2026-09-30</t>
        </is>
      </c>
      <c r="B1711" s="76" t="inlineStr">
        <is>
          <t>Moves</t>
        </is>
      </c>
      <c r="C1711" s="76" t="inlineStr">
        <is>
          <t>Gunk Shot accuracy</t>
        </is>
      </c>
      <c r="D1711" s="76" t="n">
        <v>80</v>
      </c>
      <c r="E1711" s="76" t="n">
        <v>100</v>
      </c>
      <c r="F1711" s="76" t="inlineStr">
        <is>
          <t>Differs from upstream baseline</t>
        </is>
      </c>
      <c r="G1711" s="76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6" t="inlineStr">
        <is>
          <t>2026-09-30</t>
        </is>
      </c>
      <c r="B1713" s="76" t="inlineStr">
        <is>
          <t>Moves</t>
        </is>
      </c>
      <c r="C1713" s="76" t="inlineStr">
        <is>
          <t>Gyro Ball pp</t>
        </is>
      </c>
      <c r="D1713" s="76" t="n">
        <v>5</v>
      </c>
      <c r="E1713" s="76" t="n">
        <v>8</v>
      </c>
      <c r="F1713" s="76" t="inlineStr">
        <is>
          <t>Differs from upstream baseline</t>
        </is>
      </c>
      <c r="G1713" s="76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6" t="inlineStr">
        <is>
          <t>2026-09-30</t>
        </is>
      </c>
      <c r="B1715" s="76" t="inlineStr">
        <is>
          <t>Moves</t>
        </is>
      </c>
      <c r="C1715" s="76" t="inlineStr">
        <is>
          <t>Hammer Arm accuracy</t>
        </is>
      </c>
      <c r="D1715" s="76" t="n">
        <v>90</v>
      </c>
      <c r="E1715" s="76" t="n">
        <v>100</v>
      </c>
      <c r="F1715" s="76" t="inlineStr">
        <is>
          <t>Differs from upstream baseline</t>
        </is>
      </c>
      <c r="G1715" s="76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6" t="inlineStr">
        <is>
          <t>2026-09-30</t>
        </is>
      </c>
      <c r="B1717" s="76" t="inlineStr">
        <is>
          <t>Moves</t>
        </is>
      </c>
      <c r="C1717" s="76" t="inlineStr">
        <is>
          <t>Head Smash accuracy</t>
        </is>
      </c>
      <c r="D1717" s="76" t="n">
        <v>80</v>
      </c>
      <c r="E1717" s="76" t="n">
        <v>100</v>
      </c>
      <c r="F1717" s="76" t="inlineStr">
        <is>
          <t>Differs from upstream baseline</t>
        </is>
      </c>
      <c r="G1717" s="76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6" t="inlineStr">
        <is>
          <t>2026-09-30</t>
        </is>
      </c>
      <c r="B1719" s="76" t="inlineStr">
        <is>
          <t>Moves</t>
        </is>
      </c>
      <c r="C1719" s="76" t="inlineStr">
        <is>
          <t>Heart Stamp power</t>
        </is>
      </c>
      <c r="D1719" s="76" t="n">
        <v>60</v>
      </c>
      <c r="E1719" s="76" t="n">
        <v>70</v>
      </c>
      <c r="F1719" s="76" t="inlineStr">
        <is>
          <t>Differs from upstream baseline</t>
        </is>
      </c>
      <c r="G1719" s="76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6" t="inlineStr">
        <is>
          <t>2026-09-30</t>
        </is>
      </c>
      <c r="B1721" s="76" t="inlineStr">
        <is>
          <t>Moves</t>
        </is>
      </c>
      <c r="C1721" s="76" t="inlineStr">
        <is>
          <t>Heart Swap type</t>
        </is>
      </c>
      <c r="D1721" s="76" t="inlineStr">
        <is>
          <t>TYPE_PSYCHIC</t>
        </is>
      </c>
      <c r="E1721" s="76" t="inlineStr">
        <is>
          <t>TYPE_WATER</t>
        </is>
      </c>
      <c r="F1721" s="76" t="inlineStr">
        <is>
          <t>Differs from upstream baseline</t>
        </is>
      </c>
      <c r="G1721" s="76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6" t="inlineStr">
        <is>
          <t>2026-09-30</t>
        </is>
      </c>
      <c r="B1723" s="76" t="inlineStr">
        <is>
          <t>Moves</t>
        </is>
      </c>
      <c r="C1723" s="76" t="inlineStr">
        <is>
          <t>Heat Wave accuracy</t>
        </is>
      </c>
      <c r="D1723" s="76" t="n">
        <v>90</v>
      </c>
      <c r="E1723" s="76" t="n">
        <v>100</v>
      </c>
      <c r="F1723" s="76" t="inlineStr">
        <is>
          <t>Differs from upstream baseline</t>
        </is>
      </c>
      <c r="G1723" s="76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6" t="inlineStr">
        <is>
          <t>2026-09-30</t>
        </is>
      </c>
      <c r="B1725" s="76" t="inlineStr">
        <is>
          <t>Moves</t>
        </is>
      </c>
      <c r="C1725" s="76" t="inlineStr">
        <is>
          <t>Hex power</t>
        </is>
      </c>
      <c r="D1725" s="76" t="n">
        <v>65</v>
      </c>
      <c r="E1725" s="76" t="n">
        <v>75</v>
      </c>
      <c r="F1725" s="76" t="inlineStr">
        <is>
          <t>Differs from upstream baseline</t>
        </is>
      </c>
      <c r="G1725" s="76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6" t="inlineStr">
        <is>
          <t>2026-09-30</t>
        </is>
      </c>
      <c r="B1727" s="76" t="inlineStr">
        <is>
          <t>Moves</t>
        </is>
      </c>
      <c r="C1727" s="76" t="inlineStr">
        <is>
          <t>High Jump Kick power</t>
        </is>
      </c>
      <c r="D1727" s="76" t="n">
        <v>130</v>
      </c>
      <c r="E1727" s="76" t="n">
        <v>150</v>
      </c>
      <c r="F1727" s="76" t="inlineStr">
        <is>
          <t>Differs from upstream baseline</t>
        </is>
      </c>
      <c r="G1727" s="76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6" t="inlineStr">
        <is>
          <t>2026-09-30</t>
        </is>
      </c>
      <c r="B1729" s="76" t="inlineStr">
        <is>
          <t>Moves</t>
        </is>
      </c>
      <c r="C1729" s="76" t="inlineStr">
        <is>
          <t>Horn Attack power</t>
        </is>
      </c>
      <c r="D1729" s="76" t="n">
        <v>65</v>
      </c>
      <c r="E1729" s="76" t="n">
        <v>70</v>
      </c>
      <c r="F1729" s="76" t="inlineStr">
        <is>
          <t>Differs from upstream baseline</t>
        </is>
      </c>
      <c r="G1729" s="76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6" t="inlineStr">
        <is>
          <t>2026-09-30</t>
        </is>
      </c>
      <c r="B1731" s="76" t="inlineStr">
        <is>
          <t>Moves</t>
        </is>
      </c>
      <c r="C1731" s="76" t="inlineStr">
        <is>
          <t>Howl pp</t>
        </is>
      </c>
      <c r="D1731" s="76" t="n">
        <v>40</v>
      </c>
      <c r="E1731" s="76" t="n">
        <v>3</v>
      </c>
      <c r="F1731" s="76" t="inlineStr">
        <is>
          <t>Differs from upstream baseline</t>
        </is>
      </c>
      <c r="G1731" s="76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6" t="inlineStr">
        <is>
          <t>2026-09-30</t>
        </is>
      </c>
      <c r="B1733" s="76" t="inlineStr">
        <is>
          <t>Moves</t>
        </is>
      </c>
      <c r="C1733" s="76" t="inlineStr">
        <is>
          <t>Hurricane pp</t>
        </is>
      </c>
      <c r="D1733" s="76" t="n">
        <v>10</v>
      </c>
      <c r="E1733" s="76" t="n">
        <v>8</v>
      </c>
      <c r="F1733" s="76" t="inlineStr">
        <is>
          <t>Differs from upstream baseline</t>
        </is>
      </c>
      <c r="G1733" s="76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6" t="inlineStr">
        <is>
          <t>2026-09-30</t>
        </is>
      </c>
      <c r="B1735" s="76" t="inlineStr">
        <is>
          <t>Moves</t>
        </is>
      </c>
      <c r="C1735" s="76" t="inlineStr">
        <is>
          <t>Hydro Pump power</t>
        </is>
      </c>
      <c r="D1735" s="76" t="n">
        <v>110</v>
      </c>
      <c r="E1735" s="76" t="n">
        <v>120</v>
      </c>
      <c r="F1735" s="76" t="inlineStr">
        <is>
          <t>Differs from upstream baseline</t>
        </is>
      </c>
      <c r="G1735" s="76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6" t="inlineStr">
        <is>
          <t>2026-09-30</t>
        </is>
      </c>
      <c r="B1737" s="76" t="inlineStr">
        <is>
          <t>Moves</t>
        </is>
      </c>
      <c r="C1737" s="76" t="inlineStr">
        <is>
          <t>Hydro Pump pp</t>
        </is>
      </c>
      <c r="D1737" s="76" t="n">
        <v>5</v>
      </c>
      <c r="E1737" s="76" t="n">
        <v>8</v>
      </c>
      <c r="F1737" s="76" t="inlineStr">
        <is>
          <t>Differs from upstream baseline</t>
        </is>
      </c>
      <c r="G1737" s="76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6" t="inlineStr">
        <is>
          <t>2026-09-30</t>
        </is>
      </c>
      <c r="B1739" s="76" t="inlineStr">
        <is>
          <t>Moves</t>
        </is>
      </c>
      <c r="C1739" s="76" t="inlineStr">
        <is>
          <t>Hyperspace Hole power</t>
        </is>
      </c>
      <c r="D1739" s="76" t="n">
        <v>80</v>
      </c>
      <c r="E1739" s="76" t="n">
        <v>90</v>
      </c>
      <c r="F1739" s="76" t="inlineStr">
        <is>
          <t>Differs from upstream baseline</t>
        </is>
      </c>
      <c r="G1739" s="76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6" t="inlineStr">
        <is>
          <t>2026-09-30</t>
        </is>
      </c>
      <c r="B1741" s="76" t="inlineStr">
        <is>
          <t>Moves</t>
        </is>
      </c>
      <c r="C1741" s="76" t="inlineStr">
        <is>
          <t>Hyper Beam accuracy</t>
        </is>
      </c>
      <c r="D1741" s="76" t="n">
        <v>90</v>
      </c>
      <c r="E1741" s="76" t="n">
        <v>100</v>
      </c>
      <c r="F1741" s="76" t="inlineStr">
        <is>
          <t>Differs from upstream baseline</t>
        </is>
      </c>
      <c r="G1741" s="76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6" t="inlineStr">
        <is>
          <t>2026-09-30</t>
        </is>
      </c>
      <c r="B1743" s="76" t="inlineStr">
        <is>
          <t>Moves</t>
        </is>
      </c>
      <c r="C1743" s="76" t="inlineStr">
        <is>
          <t>Hyper Fang power</t>
        </is>
      </c>
      <c r="D1743" s="76" t="n">
        <v>80</v>
      </c>
      <c r="E1743" s="76" t="n">
        <v>95</v>
      </c>
      <c r="F1743" s="76" t="inlineStr">
        <is>
          <t>Differs from upstream baseline</t>
        </is>
      </c>
      <c r="G1743" s="76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6" t="inlineStr">
        <is>
          <t>2026-09-30</t>
        </is>
      </c>
      <c r="B1745" s="76" t="inlineStr">
        <is>
          <t>Moves</t>
        </is>
      </c>
      <c r="C1745" s="76" t="inlineStr">
        <is>
          <t>Hyper Voice power</t>
        </is>
      </c>
      <c r="D1745" s="76" t="n">
        <v>90</v>
      </c>
      <c r="E1745" s="76" t="n">
        <v>110</v>
      </c>
      <c r="F1745" s="76" t="inlineStr">
        <is>
          <t>Differs from upstream baseline</t>
        </is>
      </c>
      <c r="G1745" s="76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6" t="inlineStr">
        <is>
          <t>2026-09-30</t>
        </is>
      </c>
      <c r="B1747" s="76" t="inlineStr">
        <is>
          <t>Moves</t>
        </is>
      </c>
      <c r="C1747" s="76" t="inlineStr">
        <is>
          <t>Ice Ball power</t>
        </is>
      </c>
      <c r="D1747" s="76" t="n">
        <v>30</v>
      </c>
      <c r="E1747" s="76" t="n">
        <v>120</v>
      </c>
      <c r="F1747" s="76" t="inlineStr">
        <is>
          <t>Differs from upstream baseline</t>
        </is>
      </c>
      <c r="G1747" s="76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6" t="inlineStr">
        <is>
          <t>2026-09-30</t>
        </is>
      </c>
      <c r="B1749" s="76" t="inlineStr">
        <is>
          <t>Moves</t>
        </is>
      </c>
      <c r="C1749" s="76" t="inlineStr">
        <is>
          <t>Ice Beam power</t>
        </is>
      </c>
      <c r="D1749" s="76" t="n">
        <v>90</v>
      </c>
      <c r="E1749" s="76" t="n">
        <v>95</v>
      </c>
      <c r="F1749" s="76" t="inlineStr">
        <is>
          <t>Differs from upstream baseline</t>
        </is>
      </c>
      <c r="G1749" s="76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6" t="inlineStr">
        <is>
          <t>2026-09-30</t>
        </is>
      </c>
      <c r="B1751" s="76" t="inlineStr">
        <is>
          <t>Moves</t>
        </is>
      </c>
      <c r="C1751" s="76" t="inlineStr">
        <is>
          <t>Ice Fang power</t>
        </is>
      </c>
      <c r="D1751" s="76" t="n">
        <v>65</v>
      </c>
      <c r="E1751" s="76" t="n">
        <v>90</v>
      </c>
      <c r="F1751" s="76" t="inlineStr">
        <is>
          <t>Differs from upstream baseline</t>
        </is>
      </c>
      <c r="G1751" s="76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6" t="inlineStr">
        <is>
          <t>2026-09-30</t>
        </is>
      </c>
      <c r="B1753" s="76" t="inlineStr">
        <is>
          <t>Moves</t>
        </is>
      </c>
      <c r="C1753" s="76" t="inlineStr">
        <is>
          <t>Ice Punch power</t>
        </is>
      </c>
      <c r="D1753" s="76" t="n">
        <v>75</v>
      </c>
      <c r="E1753" s="76" t="n">
        <v>95</v>
      </c>
      <c r="F1753" s="76" t="inlineStr">
        <is>
          <t>Differs from upstream baseline</t>
        </is>
      </c>
      <c r="G1753" s="76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6" t="inlineStr">
        <is>
          <t>2026-09-30</t>
        </is>
      </c>
      <c r="B1755" s="76" t="inlineStr">
        <is>
          <t>Moves</t>
        </is>
      </c>
      <c r="C1755" s="76" t="inlineStr">
        <is>
          <t>Icicle Crash power</t>
        </is>
      </c>
      <c r="D1755" s="76" t="n">
        <v>85</v>
      </c>
      <c r="E1755" s="76" t="n">
        <v>95</v>
      </c>
      <c r="F1755" s="76" t="inlineStr">
        <is>
          <t>Differs from upstream baseline</t>
        </is>
      </c>
      <c r="G1755" s="76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6" t="inlineStr">
        <is>
          <t>2026-09-30</t>
        </is>
      </c>
      <c r="B1757" s="76" t="inlineStr">
        <is>
          <t>Moves</t>
        </is>
      </c>
      <c r="C1757" s="76" t="inlineStr">
        <is>
          <t>Imprison accuracy</t>
        </is>
      </c>
      <c r="D1757" s="76" t="n">
        <v>100</v>
      </c>
      <c r="E1757" s="76" t="n">
        <v>0</v>
      </c>
      <c r="F1757" s="76" t="inlineStr">
        <is>
          <t>Differs from upstream baseline</t>
        </is>
      </c>
      <c r="G1757" s="76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6" t="inlineStr">
        <is>
          <t>2026-09-30</t>
        </is>
      </c>
      <c r="B1759" s="76" t="inlineStr">
        <is>
          <t>Moves</t>
        </is>
      </c>
      <c r="C1759" s="76" t="inlineStr">
        <is>
          <t>Inferno accuracy</t>
        </is>
      </c>
      <c r="D1759" s="76" t="n">
        <v>50</v>
      </c>
      <c r="E1759" s="76" t="n">
        <v>60</v>
      </c>
      <c r="F1759" s="76" t="inlineStr">
        <is>
          <t>Differs from upstream baseline</t>
        </is>
      </c>
      <c r="G1759" s="76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6" t="inlineStr">
        <is>
          <t>2026-09-30</t>
        </is>
      </c>
      <c r="B1761" s="76" t="inlineStr">
        <is>
          <t>Moves</t>
        </is>
      </c>
      <c r="C1761" s="76" t="inlineStr">
        <is>
          <t>Ingrain accuracy</t>
        </is>
      </c>
      <c r="D1761" s="76" t="n">
        <v>100</v>
      </c>
      <c r="E1761" s="76" t="n">
        <v>0</v>
      </c>
      <c r="F1761" s="76" t="inlineStr">
        <is>
          <t>Differs from upstream baseline</t>
        </is>
      </c>
      <c r="G1761" s="76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6" t="inlineStr">
        <is>
          <t>2026-09-30</t>
        </is>
      </c>
      <c r="B1763" s="76" t="inlineStr">
        <is>
          <t>Moves</t>
        </is>
      </c>
      <c r="C1763" s="76" t="inlineStr">
        <is>
          <t>Iron Defense pp</t>
        </is>
      </c>
      <c r="D1763" s="76" t="n">
        <v>15</v>
      </c>
      <c r="E1763" s="76" t="n">
        <v>3</v>
      </c>
      <c r="F1763" s="76" t="inlineStr">
        <is>
          <t>Differs from upstream baseline</t>
        </is>
      </c>
      <c r="G1763" s="76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6" t="inlineStr">
        <is>
          <t>2026-09-30</t>
        </is>
      </c>
      <c r="B1765" s="76" t="inlineStr">
        <is>
          <t>Moves</t>
        </is>
      </c>
      <c r="C1765" s="76" t="inlineStr">
        <is>
          <t>Iron Tail accuracy</t>
        </is>
      </c>
      <c r="D1765" s="76" t="n">
        <v>75</v>
      </c>
      <c r="E1765" s="76" t="n">
        <v>90</v>
      </c>
      <c r="F1765" s="76" t="inlineStr">
        <is>
          <t>Differs from upstream baseline</t>
        </is>
      </c>
      <c r="G1765" s="76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6" t="inlineStr">
        <is>
          <t>2026-09-30</t>
        </is>
      </c>
      <c r="B1767" s="76" t="inlineStr">
        <is>
          <t>Moves</t>
        </is>
      </c>
      <c r="C1767" s="76" t="inlineStr">
        <is>
          <t>Jump Kick power</t>
        </is>
      </c>
      <c r="D1767" s="76" t="n">
        <v>100</v>
      </c>
      <c r="E1767" s="76" t="n">
        <v>120</v>
      </c>
      <c r="F1767" s="76" t="inlineStr">
        <is>
          <t>Differs from upstream baseline</t>
        </is>
      </c>
      <c r="G1767" s="76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6" t="inlineStr">
        <is>
          <t>2026-09-30</t>
        </is>
      </c>
      <c r="B1769" s="76" t="inlineStr">
        <is>
          <t>Moves</t>
        </is>
      </c>
      <c r="C1769" s="76" t="inlineStr">
        <is>
          <t>Jump Kick pp</t>
        </is>
      </c>
      <c r="D1769" s="76" t="n">
        <v>10</v>
      </c>
      <c r="E1769" s="76" t="n">
        <v>25</v>
      </c>
      <c r="F1769" s="76" t="inlineStr">
        <is>
          <t>Differs from upstream baseline</t>
        </is>
      </c>
      <c r="G1769" s="76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6" t="inlineStr">
        <is>
          <t>2026-09-30</t>
        </is>
      </c>
      <c r="B1771" s="76" t="inlineStr">
        <is>
          <t>Moves</t>
        </is>
      </c>
      <c r="C1771" s="76" t="inlineStr">
        <is>
          <t>Knock Off power</t>
        </is>
      </c>
      <c r="D1771" s="76" t="n">
        <v>65</v>
      </c>
      <c r="E1771" s="76" t="n">
        <v>80</v>
      </c>
      <c r="F1771" s="76" t="inlineStr">
        <is>
          <t>Differs from upstream baseline</t>
        </is>
      </c>
      <c r="G1771" s="76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6" t="inlineStr">
        <is>
          <t>2026-09-30</t>
        </is>
      </c>
      <c r="B1773" s="76" t="inlineStr">
        <is>
          <t>Moves</t>
        </is>
      </c>
      <c r="C1773" s="76" t="inlineStr">
        <is>
          <t>Last Resort power</t>
        </is>
      </c>
      <c r="D1773" s="76" t="n">
        <v>140</v>
      </c>
      <c r="E1773" s="76" t="n">
        <v>130</v>
      </c>
      <c r="F1773" s="76" t="inlineStr">
        <is>
          <t>Differs from upstream baseline</t>
        </is>
      </c>
      <c r="G1773" s="76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6" t="inlineStr">
        <is>
          <t>2026-09-30</t>
        </is>
      </c>
      <c r="B1775" s="76" t="inlineStr">
        <is>
          <t>Moves</t>
        </is>
      </c>
      <c r="C1775" s="76" t="inlineStr">
        <is>
          <t>Leaf Storm power</t>
        </is>
      </c>
      <c r="D1775" s="76" t="n">
        <v>130</v>
      </c>
      <c r="E1775" s="76" t="n">
        <v>120</v>
      </c>
      <c r="F1775" s="76" t="inlineStr">
        <is>
          <t>Differs from upstream baseline</t>
        </is>
      </c>
      <c r="G1775" s="76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6" t="inlineStr">
        <is>
          <t>2026-09-30</t>
        </is>
      </c>
      <c r="B1777" s="76" t="inlineStr">
        <is>
          <t>Moves</t>
        </is>
      </c>
      <c r="C1777" s="76" t="inlineStr">
        <is>
          <t>Leaf Tornado power</t>
        </is>
      </c>
      <c r="D1777" s="76" t="n">
        <v>65</v>
      </c>
      <c r="E1777" s="76" t="n">
        <v>75</v>
      </c>
      <c r="F1777" s="76" t="inlineStr">
        <is>
          <t>Differs from upstream baseline</t>
        </is>
      </c>
      <c r="G1777" s="76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6" t="inlineStr">
        <is>
          <t>2026-09-30</t>
        </is>
      </c>
      <c r="B1779" s="76" t="inlineStr">
        <is>
          <t>Moves</t>
        </is>
      </c>
      <c r="C1779" s="76" t="inlineStr">
        <is>
          <t>Leech Life pp</t>
        </is>
      </c>
      <c r="D1779" s="76" t="n">
        <v>10</v>
      </c>
      <c r="E1779" s="76" t="n">
        <v>15</v>
      </c>
      <c r="F1779" s="76" t="inlineStr">
        <is>
          <t>Differs from upstream baseline</t>
        </is>
      </c>
      <c r="G1779" s="76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6" t="inlineStr">
        <is>
          <t>2026-09-30</t>
        </is>
      </c>
      <c r="B1781" s="76" t="inlineStr">
        <is>
          <t>Moves</t>
        </is>
      </c>
      <c r="C1781" s="76" t="inlineStr">
        <is>
          <t>Lick power</t>
        </is>
      </c>
      <c r="D1781" s="76" t="n">
        <v>30</v>
      </c>
      <c r="E1781" s="76" t="n">
        <v>80</v>
      </c>
      <c r="F1781" s="76" t="inlineStr">
        <is>
          <t>Differs from upstream baseline</t>
        </is>
      </c>
      <c r="G1781" s="76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6" t="inlineStr">
        <is>
          <t>2026-09-30</t>
        </is>
      </c>
      <c r="B1783" s="76" t="inlineStr">
        <is>
          <t>Moves</t>
        </is>
      </c>
      <c r="C1783" s="76" t="inlineStr">
        <is>
          <t>Light Of Ruin accuracy</t>
        </is>
      </c>
      <c r="D1783" s="76" t="n">
        <v>90</v>
      </c>
      <c r="E1783" s="76" t="n">
        <v>95</v>
      </c>
      <c r="F1783" s="76" t="inlineStr">
        <is>
          <t>Differs from upstream baseline</t>
        </is>
      </c>
      <c r="G1783" s="76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6" t="inlineStr">
        <is>
          <t>2026-09-30</t>
        </is>
      </c>
      <c r="B1785" s="76" t="inlineStr">
        <is>
          <t>Moves</t>
        </is>
      </c>
      <c r="C1785" s="76" t="inlineStr">
        <is>
          <t>Lovely Kiss accuracy</t>
        </is>
      </c>
      <c r="D1785" s="76" t="n">
        <v>75</v>
      </c>
      <c r="E1785" s="76" t="n">
        <v>90</v>
      </c>
      <c r="F1785" s="76" t="inlineStr">
        <is>
          <t>Differs from upstream baseline</t>
        </is>
      </c>
      <c r="G1785" s="76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6" t="inlineStr">
        <is>
          <t>2026-09-30</t>
        </is>
      </c>
      <c r="B1787" s="76" t="inlineStr">
        <is>
          <t>Moves</t>
        </is>
      </c>
      <c r="C1787" s="76" t="inlineStr">
        <is>
          <t>Luster Purge power</t>
        </is>
      </c>
      <c r="D1787" s="76" t="n">
        <v>95</v>
      </c>
      <c r="E1787" s="76" t="n">
        <v>100</v>
      </c>
      <c r="F1787" s="76" t="inlineStr">
        <is>
          <t>Differs from upstream baseline</t>
        </is>
      </c>
      <c r="G1787" s="76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6" t="inlineStr">
        <is>
          <t>2026-09-30</t>
        </is>
      </c>
      <c r="B1789" s="76" t="inlineStr">
        <is>
          <t>Moves</t>
        </is>
      </c>
      <c r="C1789" s="76" t="inlineStr">
        <is>
          <t>Magical Leaf pp</t>
        </is>
      </c>
      <c r="D1789" s="76" t="n">
        <v>20</v>
      </c>
      <c r="E1789" s="76" t="n">
        <v>15</v>
      </c>
      <c r="F1789" s="76" t="inlineStr">
        <is>
          <t>Differs from upstream baseline</t>
        </is>
      </c>
      <c r="G1789" s="76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6" t="inlineStr">
        <is>
          <t>2026-09-30</t>
        </is>
      </c>
      <c r="B1791" s="76" t="inlineStr">
        <is>
          <t>Moves</t>
        </is>
      </c>
      <c r="C1791" s="76" t="inlineStr">
        <is>
          <t>Magma Storm power</t>
        </is>
      </c>
      <c r="D1791" s="76" t="n">
        <v>100</v>
      </c>
      <c r="E1791" s="76" t="n">
        <v>120</v>
      </c>
      <c r="F1791" s="76" t="inlineStr">
        <is>
          <t>Differs from upstream baseline</t>
        </is>
      </c>
      <c r="G1791" s="76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6" t="inlineStr">
        <is>
          <t>2026-09-30</t>
        </is>
      </c>
      <c r="B1793" s="76" t="inlineStr">
        <is>
          <t>Moves</t>
        </is>
      </c>
      <c r="C1793" s="76" t="inlineStr">
        <is>
          <t>Magnet Bomb power</t>
        </is>
      </c>
      <c r="D1793" s="76" t="n">
        <v>60</v>
      </c>
      <c r="E1793" s="76" t="n">
        <v>100</v>
      </c>
      <c r="F1793" s="76" t="inlineStr">
        <is>
          <t>Differs from upstream baseline</t>
        </is>
      </c>
      <c r="G1793" s="76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6" t="inlineStr">
        <is>
          <t>2026-09-30</t>
        </is>
      </c>
      <c r="B1795" s="76" t="inlineStr">
        <is>
          <t>Moves</t>
        </is>
      </c>
      <c r="C1795" s="76" t="inlineStr">
        <is>
          <t>Megahorn accuracy</t>
        </is>
      </c>
      <c r="D1795" s="76" t="n">
        <v>85</v>
      </c>
      <c r="E1795" s="76" t="n">
        <v>90</v>
      </c>
      <c r="F1795" s="76" t="inlineStr">
        <is>
          <t>Differs from upstream baseline</t>
        </is>
      </c>
      <c r="G1795" s="76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6" t="inlineStr">
        <is>
          <t>2026-09-30</t>
        </is>
      </c>
      <c r="B1797" s="76" t="inlineStr">
        <is>
          <t>Moves</t>
        </is>
      </c>
      <c r="C1797" s="76" t="inlineStr">
        <is>
          <t>Mega Kick accuracy</t>
        </is>
      </c>
      <c r="D1797" s="76" t="n">
        <v>75</v>
      </c>
      <c r="E1797" s="76" t="n">
        <v>90</v>
      </c>
      <c r="F1797" s="76" t="inlineStr">
        <is>
          <t>Differs from upstream baseline</t>
        </is>
      </c>
      <c r="G1797" s="76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6" t="inlineStr">
        <is>
          <t>2026-09-30</t>
        </is>
      </c>
      <c r="B1799" s="76" t="inlineStr">
        <is>
          <t>Moves</t>
        </is>
      </c>
      <c r="C1799" s="76" t="inlineStr">
        <is>
          <t>Mega Punch accuracy</t>
        </is>
      </c>
      <c r="D1799" s="76" t="n">
        <v>85</v>
      </c>
      <c r="E1799" s="76" t="n">
        <v>90</v>
      </c>
      <c r="F1799" s="76" t="inlineStr">
        <is>
          <t>Differs from upstream baseline</t>
        </is>
      </c>
      <c r="G1799" s="76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6" t="inlineStr">
        <is>
          <t>2026-09-30</t>
        </is>
      </c>
      <c r="B1801" s="76" t="inlineStr">
        <is>
          <t>Moves</t>
        </is>
      </c>
      <c r="C1801" s="76" t="inlineStr">
        <is>
          <t>Metal Claw accuracy</t>
        </is>
      </c>
      <c r="D1801" s="76" t="n">
        <v>95</v>
      </c>
      <c r="E1801" s="76" t="n">
        <v>100</v>
      </c>
      <c r="F1801" s="76" t="inlineStr">
        <is>
          <t>Differs from upstream baseline</t>
        </is>
      </c>
      <c r="G1801" s="76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6" t="inlineStr">
        <is>
          <t>2026-09-30</t>
        </is>
      </c>
      <c r="B1803" s="76" t="inlineStr">
        <is>
          <t>Moves</t>
        </is>
      </c>
      <c r="C1803" s="76" t="inlineStr">
        <is>
          <t>Metal Sound pp</t>
        </is>
      </c>
      <c r="D1803" s="76" t="n">
        <v>40</v>
      </c>
      <c r="E1803" s="76" t="n">
        <v>3</v>
      </c>
      <c r="F1803" s="76" t="inlineStr">
        <is>
          <t>Differs from upstream baseline</t>
        </is>
      </c>
      <c r="G1803" s="76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6" t="inlineStr">
        <is>
          <t>2026-09-30</t>
        </is>
      </c>
      <c r="B1805" s="76" t="inlineStr">
        <is>
          <t>Moves</t>
        </is>
      </c>
      <c r="C1805" s="76" t="inlineStr">
        <is>
          <t>Meteor Mash accuracy</t>
        </is>
      </c>
      <c r="D1805" s="76" t="n">
        <v>90</v>
      </c>
      <c r="E1805" s="76" t="n">
        <v>100</v>
      </c>
      <c r="F1805" s="76" t="inlineStr">
        <is>
          <t>Differs from upstream baseline</t>
        </is>
      </c>
      <c r="G1805" s="76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6" t="inlineStr">
        <is>
          <t>2026-09-30</t>
        </is>
      </c>
      <c r="B1807" s="76" t="inlineStr">
        <is>
          <t>Moves</t>
        </is>
      </c>
      <c r="C1807" s="76" t="inlineStr">
        <is>
          <t>Milk Drink pp</t>
        </is>
      </c>
      <c r="D1807" s="76" t="n">
        <v>5</v>
      </c>
      <c r="E1807" s="76" t="n">
        <v>10</v>
      </c>
      <c r="F1807" s="76" t="inlineStr">
        <is>
          <t>Differs from upstream baseline</t>
        </is>
      </c>
      <c r="G1807" s="76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6" t="inlineStr">
        <is>
          <t>2026-09-30</t>
        </is>
      </c>
      <c r="B1809" s="76" t="inlineStr">
        <is>
          <t>Moves</t>
        </is>
      </c>
      <c r="C1809" s="76" t="inlineStr">
        <is>
          <t>Mirror Shot power</t>
        </is>
      </c>
      <c r="D1809" s="76" t="n">
        <v>65</v>
      </c>
      <c r="E1809" s="76" t="n">
        <v>120</v>
      </c>
      <c r="F1809" s="76" t="inlineStr">
        <is>
          <t>Differs from upstream baseline</t>
        </is>
      </c>
      <c r="G1809" s="76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6" t="inlineStr">
        <is>
          <t>2026-09-30</t>
        </is>
      </c>
      <c r="B1811" s="76" t="inlineStr">
        <is>
          <t>Moves</t>
        </is>
      </c>
      <c r="C1811" s="76" t="inlineStr">
        <is>
          <t>Mist pp</t>
        </is>
      </c>
      <c r="D1811" s="76" t="n">
        <v>30</v>
      </c>
      <c r="E1811" s="76" t="n">
        <v>3</v>
      </c>
      <c r="F1811" s="76" t="inlineStr">
        <is>
          <t>Differs from upstream baseline</t>
        </is>
      </c>
      <c r="G1811" s="76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6" t="inlineStr">
        <is>
          <t>2026-09-30</t>
        </is>
      </c>
      <c r="B1813" s="76" t="inlineStr">
        <is>
          <t>Moves</t>
        </is>
      </c>
      <c r="C1813" s="76" t="inlineStr">
        <is>
          <t>Muddy Water power</t>
        </is>
      </c>
      <c r="D1813" s="76" t="n">
        <v>90</v>
      </c>
      <c r="E1813" s="76" t="n">
        <v>95</v>
      </c>
      <c r="F1813" s="76" t="inlineStr">
        <is>
          <t>Differs from upstream baseline</t>
        </is>
      </c>
      <c r="G1813" s="76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6" t="inlineStr">
        <is>
          <t>2026-09-30</t>
        </is>
      </c>
      <c r="B1815" s="76" t="inlineStr">
        <is>
          <t>Moves</t>
        </is>
      </c>
      <c r="C1815" s="76" t="inlineStr">
        <is>
          <t>Mud Bomb accuracy</t>
        </is>
      </c>
      <c r="D1815" s="76" t="n">
        <v>85</v>
      </c>
      <c r="E1815" s="76" t="n">
        <v>100</v>
      </c>
      <c r="F1815" s="76" t="inlineStr">
        <is>
          <t>Differs from upstream baseline</t>
        </is>
      </c>
      <c r="G1815" s="76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6" t="inlineStr">
        <is>
          <t>2026-09-30</t>
        </is>
      </c>
      <c r="B1817" s="76" t="inlineStr">
        <is>
          <t>Moves</t>
        </is>
      </c>
      <c r="C1817" s="76" t="inlineStr">
        <is>
          <t>Mystical Fire accuracy</t>
        </is>
      </c>
      <c r="D1817" s="76" t="n">
        <v>100</v>
      </c>
      <c r="E1817" s="76" t="n">
        <v>0</v>
      </c>
      <c r="F1817" s="76" t="inlineStr">
        <is>
          <t>Differs from upstream baseline</t>
        </is>
      </c>
      <c r="G1817" s="76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6" t="inlineStr">
        <is>
          <t>2026-09-30</t>
        </is>
      </c>
      <c r="B1819" s="76" t="inlineStr">
        <is>
          <t>Moves</t>
        </is>
      </c>
      <c r="C1819" s="76" t="inlineStr">
        <is>
          <t>Nasty Plot pp</t>
        </is>
      </c>
      <c r="D1819" s="76" t="n">
        <v>20</v>
      </c>
      <c r="E1819" s="76" t="n">
        <v>1</v>
      </c>
      <c r="F1819" s="76" t="inlineStr">
        <is>
          <t>Differs from upstream baseline</t>
        </is>
      </c>
      <c r="G1819" s="76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6" t="inlineStr">
        <is>
          <t>2026-09-30</t>
        </is>
      </c>
      <c r="B1821" s="76" t="inlineStr">
        <is>
          <t>Moves</t>
        </is>
      </c>
      <c r="C1821" s="76" t="inlineStr">
        <is>
          <t>Natural Gift pp</t>
        </is>
      </c>
      <c r="D1821" s="76" t="n">
        <v>15</v>
      </c>
      <c r="E1821" s="76" t="n">
        <v>1</v>
      </c>
      <c r="F1821" s="76" t="inlineStr">
        <is>
          <t>Differs from upstream baseline</t>
        </is>
      </c>
      <c r="G1821" s="76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6" t="inlineStr">
        <is>
          <t>2026-09-30</t>
        </is>
      </c>
      <c r="B1823" s="76" t="inlineStr">
        <is>
          <t>Moves</t>
        </is>
      </c>
      <c r="C1823" s="76" t="inlineStr">
        <is>
          <t>Needle Arm power</t>
        </is>
      </c>
      <c r="D1823" s="76" t="n">
        <v>60</v>
      </c>
      <c r="E1823" s="76" t="n">
        <v>80</v>
      </c>
      <c r="F1823" s="76" t="inlineStr">
        <is>
          <t>Differs from upstream baseline</t>
        </is>
      </c>
      <c r="G1823" s="76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6" t="inlineStr">
        <is>
          <t>2026-09-30</t>
        </is>
      </c>
      <c r="B1825" s="76" t="inlineStr">
        <is>
          <t>Moves</t>
        </is>
      </c>
      <c r="C1825" s="76" t="inlineStr">
        <is>
          <t>Night Daze accuracy</t>
        </is>
      </c>
      <c r="D1825" s="76" t="n">
        <v>95</v>
      </c>
      <c r="E1825" s="76" t="n">
        <v>100</v>
      </c>
      <c r="F1825" s="76" t="inlineStr">
        <is>
          <t>Differs from upstream baseline</t>
        </is>
      </c>
      <c r="G1825" s="76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6" t="inlineStr">
        <is>
          <t>2026-09-30</t>
        </is>
      </c>
      <c r="B1827" s="76" t="inlineStr">
        <is>
          <t>Moves</t>
        </is>
      </c>
      <c r="C1827" s="76" t="inlineStr">
        <is>
          <t>Nuzzle power</t>
        </is>
      </c>
      <c r="D1827" s="76" t="n">
        <v>20</v>
      </c>
      <c r="E1827" s="76" t="n">
        <v>30</v>
      </c>
      <c r="F1827" s="76" t="inlineStr">
        <is>
          <t>Differs from upstream baseline</t>
        </is>
      </c>
      <c r="G1827" s="76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6" t="inlineStr">
        <is>
          <t>2026-09-30</t>
        </is>
      </c>
      <c r="B1829" s="76" t="inlineStr">
        <is>
          <t>Moves</t>
        </is>
      </c>
      <c r="C1829" s="76" t="inlineStr">
        <is>
          <t>Octazooka power</t>
        </is>
      </c>
      <c r="D1829" s="76" t="n">
        <v>65</v>
      </c>
      <c r="E1829" s="76" t="n">
        <v>95</v>
      </c>
      <c r="F1829" s="76" t="inlineStr">
        <is>
          <t>Differs from upstream baseline</t>
        </is>
      </c>
      <c r="G1829" s="76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6" t="inlineStr">
        <is>
          <t>2026-09-30</t>
        </is>
      </c>
      <c r="B1831" s="76" t="inlineStr">
        <is>
          <t>Moves</t>
        </is>
      </c>
      <c r="C1831" s="76" t="inlineStr">
        <is>
          <t>Ominous Wind power</t>
        </is>
      </c>
      <c r="D1831" s="76" t="n">
        <v>60</v>
      </c>
      <c r="E1831" s="76" t="n">
        <v>80</v>
      </c>
      <c r="F1831" s="76" t="inlineStr">
        <is>
          <t>Differs from upstream baseline</t>
        </is>
      </c>
      <c r="G1831" s="76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6" t="inlineStr">
        <is>
          <t>2026-09-30</t>
        </is>
      </c>
      <c r="B1833" s="76" t="inlineStr">
        <is>
          <t>Moves</t>
        </is>
      </c>
      <c r="C1833" s="76" t="inlineStr">
        <is>
          <t>Origin Pulse power</t>
        </is>
      </c>
      <c r="D1833" s="76" t="n">
        <v>110</v>
      </c>
      <c r="E1833" s="76" t="n">
        <v>120</v>
      </c>
      <c r="F1833" s="76" t="inlineStr">
        <is>
          <t>Differs from upstream baseline</t>
        </is>
      </c>
      <c r="G1833" s="76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6" t="inlineStr">
        <is>
          <t>2026-09-30</t>
        </is>
      </c>
      <c r="B1835" s="76" t="inlineStr">
        <is>
          <t>Moves</t>
        </is>
      </c>
      <c r="C1835" s="76" t="inlineStr">
        <is>
          <t>Outrage pp</t>
        </is>
      </c>
      <c r="D1835" s="76" t="n">
        <v>10</v>
      </c>
      <c r="E1835" s="76" t="n">
        <v>15</v>
      </c>
      <c r="F1835" s="76" t="inlineStr">
        <is>
          <t>Differs from upstream baseline</t>
        </is>
      </c>
      <c r="G1835" s="76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6" t="inlineStr">
        <is>
          <t>2026-09-30</t>
        </is>
      </c>
      <c r="B1837" s="76" t="inlineStr">
        <is>
          <t>Moves</t>
        </is>
      </c>
      <c r="C1837" s="76" t="inlineStr">
        <is>
          <t>Overheat accuracy</t>
        </is>
      </c>
      <c r="D1837" s="76" t="n">
        <v>90</v>
      </c>
      <c r="E1837" s="76" t="n">
        <v>100</v>
      </c>
      <c r="F1837" s="76" t="inlineStr">
        <is>
          <t>Differs from upstream baseline</t>
        </is>
      </c>
      <c r="G1837" s="76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6" t="inlineStr">
        <is>
          <t>2026-09-30</t>
        </is>
      </c>
      <c r="B1839" s="76" t="inlineStr">
        <is>
          <t>Moves</t>
        </is>
      </c>
      <c r="C1839" s="76" t="inlineStr">
        <is>
          <t>Parting Shot pp</t>
        </is>
      </c>
      <c r="D1839" s="76" t="n">
        <v>20</v>
      </c>
      <c r="E1839" s="76" t="n">
        <v>15</v>
      </c>
      <c r="F1839" s="76" t="inlineStr">
        <is>
          <t>Differs from upstream baseline</t>
        </is>
      </c>
      <c r="G1839" s="76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6" t="inlineStr">
        <is>
          <t>2026-09-30</t>
        </is>
      </c>
      <c r="B1841" s="76" t="inlineStr">
        <is>
          <t>Moves</t>
        </is>
      </c>
      <c r="C1841" s="76" t="inlineStr">
        <is>
          <t>Peck power</t>
        </is>
      </c>
      <c r="D1841" s="76" t="n">
        <v>35</v>
      </c>
      <c r="E1841" s="76" t="n">
        <v>40</v>
      </c>
      <c r="F1841" s="76" t="inlineStr">
        <is>
          <t>Differs from upstream baseline</t>
        </is>
      </c>
      <c r="G1841" s="76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6" t="inlineStr">
        <is>
          <t>2026-09-30</t>
        </is>
      </c>
      <c r="B1843" s="76" t="inlineStr">
        <is>
          <t>Moves</t>
        </is>
      </c>
      <c r="C1843" s="76" t="inlineStr">
        <is>
          <t>Petal Dance power</t>
        </is>
      </c>
      <c r="D1843" s="76" t="n">
        <v>120</v>
      </c>
      <c r="E1843" s="76" t="n">
        <v>100</v>
      </c>
      <c r="F1843" s="76" t="inlineStr">
        <is>
          <t>Differs from upstream baseline</t>
        </is>
      </c>
      <c r="G1843" s="76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6" t="inlineStr">
        <is>
          <t>2026-09-30</t>
        </is>
      </c>
      <c r="B1845" s="76" t="inlineStr">
        <is>
          <t>Moves</t>
        </is>
      </c>
      <c r="C1845" s="76" t="inlineStr">
        <is>
          <t>Phantom Force power</t>
        </is>
      </c>
      <c r="D1845" s="76" t="n">
        <v>90</v>
      </c>
      <c r="E1845" s="76" t="n">
        <v>100</v>
      </c>
      <c r="F1845" s="76" t="inlineStr">
        <is>
          <t>Differs from upstream baseline</t>
        </is>
      </c>
      <c r="G1845" s="76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6" t="inlineStr">
        <is>
          <t>2026-09-30</t>
        </is>
      </c>
      <c r="B1847" s="76" t="inlineStr">
        <is>
          <t>Moves</t>
        </is>
      </c>
      <c r="C1847" s="76" t="inlineStr">
        <is>
          <t>Pin Missile pp</t>
        </is>
      </c>
      <c r="D1847" s="76" t="n">
        <v>20</v>
      </c>
      <c r="E1847" s="76" t="n">
        <v>15</v>
      </c>
      <c r="F1847" s="76" t="inlineStr">
        <is>
          <t>Differs from upstream baseline</t>
        </is>
      </c>
      <c r="G1847" s="76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6" t="inlineStr">
        <is>
          <t>2026-09-30</t>
        </is>
      </c>
      <c r="B1849" s="76" t="inlineStr">
        <is>
          <t>Moves</t>
        </is>
      </c>
      <c r="C1849" s="76" t="inlineStr">
        <is>
          <t>Play Rough accuracy</t>
        </is>
      </c>
      <c r="D1849" s="76" t="n">
        <v>90</v>
      </c>
      <c r="E1849" s="76" t="n">
        <v>100</v>
      </c>
      <c r="F1849" s="76" t="inlineStr">
        <is>
          <t>Differs from upstream baseline</t>
        </is>
      </c>
      <c r="G1849" s="76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6" t="inlineStr">
        <is>
          <t>2026-09-30</t>
        </is>
      </c>
      <c r="B1851" s="76" t="inlineStr">
        <is>
          <t>Moves</t>
        </is>
      </c>
      <c r="C1851" s="76" t="inlineStr">
        <is>
          <t>Pluck pp</t>
        </is>
      </c>
      <c r="D1851" s="76" t="n">
        <v>20</v>
      </c>
      <c r="E1851" s="76" t="n">
        <v>5</v>
      </c>
      <c r="F1851" s="76" t="inlineStr">
        <is>
          <t>Differs from upstream baseline</t>
        </is>
      </c>
      <c r="G1851" s="76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6" t="inlineStr">
        <is>
          <t>2026-09-30</t>
        </is>
      </c>
      <c r="B1853" s="76" t="inlineStr">
        <is>
          <t>Moves</t>
        </is>
      </c>
      <c r="C1853" s="76" t="inlineStr">
        <is>
          <t>Poison Gas accuracy</t>
        </is>
      </c>
      <c r="D1853" s="76" t="n">
        <v>90</v>
      </c>
      <c r="E1853" s="76" t="n">
        <v>85</v>
      </c>
      <c r="F1853" s="76" t="inlineStr">
        <is>
          <t>Differs from upstream baseline</t>
        </is>
      </c>
      <c r="G1853" s="76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6" t="inlineStr">
        <is>
          <t>2026-09-30</t>
        </is>
      </c>
      <c r="B1855" s="76" t="inlineStr">
        <is>
          <t>Moves</t>
        </is>
      </c>
      <c r="C1855" s="76" t="inlineStr">
        <is>
          <t>Poison Sting power</t>
        </is>
      </c>
      <c r="D1855" s="76" t="n">
        <v>15</v>
      </c>
      <c r="E1855" s="76" t="n">
        <v>40</v>
      </c>
      <c r="F1855" s="76" t="inlineStr">
        <is>
          <t>Differs from upstream baseline</t>
        </is>
      </c>
      <c r="G1855" s="76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6" t="inlineStr">
        <is>
          <t>2026-09-30</t>
        </is>
      </c>
      <c r="B1857" s="76" t="inlineStr">
        <is>
          <t>Moves</t>
        </is>
      </c>
      <c r="C1857" s="76" t="inlineStr">
        <is>
          <t>Poison Tail pp</t>
        </is>
      </c>
      <c r="D1857" s="76" t="n">
        <v>25</v>
      </c>
      <c r="E1857" s="76" t="n">
        <v>5</v>
      </c>
      <c r="F1857" s="76" t="inlineStr">
        <is>
          <t>Differs from upstream baseline</t>
        </is>
      </c>
      <c r="G1857" s="76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6" t="inlineStr">
        <is>
          <t>2026-09-30</t>
        </is>
      </c>
      <c r="B1859" s="76" t="inlineStr">
        <is>
          <t>Moves</t>
        </is>
      </c>
      <c r="C1859" s="76" t="inlineStr">
        <is>
          <t>Power Swap pp</t>
        </is>
      </c>
      <c r="D1859" s="76" t="n">
        <v>10</v>
      </c>
      <c r="E1859" s="76" t="n">
        <v>3</v>
      </c>
      <c r="F1859" s="76" t="inlineStr">
        <is>
          <t>Differs from upstream baseline</t>
        </is>
      </c>
      <c r="G1859" s="76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6" t="inlineStr">
        <is>
          <t>2026-09-30</t>
        </is>
      </c>
      <c r="B1861" s="76" t="inlineStr">
        <is>
          <t>Moves</t>
        </is>
      </c>
      <c r="C1861" s="76" t="inlineStr">
        <is>
          <t>Power Whip accuracy</t>
        </is>
      </c>
      <c r="D1861" s="76" t="n">
        <v>85</v>
      </c>
      <c r="E1861" s="76" t="n">
        <v>90</v>
      </c>
      <c r="F1861" s="76" t="inlineStr">
        <is>
          <t>Differs from upstream baseline</t>
        </is>
      </c>
      <c r="G1861" s="76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6" t="inlineStr">
        <is>
          <t>2026-09-30</t>
        </is>
      </c>
      <c r="B1863" s="76" t="inlineStr">
        <is>
          <t>Moves</t>
        </is>
      </c>
      <c r="C1863" s="76" t="inlineStr">
        <is>
          <t>Present accuracy</t>
        </is>
      </c>
      <c r="D1863" s="76" t="n">
        <v>90</v>
      </c>
      <c r="E1863" s="76" t="n">
        <v>100</v>
      </c>
      <c r="F1863" s="76" t="inlineStr">
        <is>
          <t>Differs from upstream baseline</t>
        </is>
      </c>
      <c r="G1863" s="76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6" t="inlineStr">
        <is>
          <t>2026-09-30</t>
        </is>
      </c>
      <c r="B1865" s="76" t="inlineStr">
        <is>
          <t>Moves</t>
        </is>
      </c>
      <c r="C1865" s="76" t="inlineStr">
        <is>
          <t>Psycho Cut power</t>
        </is>
      </c>
      <c r="D1865" s="76" t="n">
        <v>70</v>
      </c>
      <c r="E1865" s="76" t="n">
        <v>90</v>
      </c>
      <c r="F1865" s="76" t="inlineStr">
        <is>
          <t>Differs from upstream baseline</t>
        </is>
      </c>
      <c r="G1865" s="76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6" t="inlineStr">
        <is>
          <t>2026-09-30</t>
        </is>
      </c>
      <c r="B1867" s="76" t="inlineStr">
        <is>
          <t>Moves</t>
        </is>
      </c>
      <c r="C1867" s="76" t="inlineStr">
        <is>
          <t>Punishment power</t>
        </is>
      </c>
      <c r="D1867" s="76" t="n">
        <v>60</v>
      </c>
      <c r="E1867" s="76" t="n">
        <v>1</v>
      </c>
      <c r="F1867" s="76" t="inlineStr">
        <is>
          <t>Differs from upstream baseline</t>
        </is>
      </c>
      <c r="G1867" s="76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6" t="inlineStr">
        <is>
          <t>2026-09-30</t>
        </is>
      </c>
      <c r="B1869" s="76" t="inlineStr">
        <is>
          <t>Moves</t>
        </is>
      </c>
      <c r="C1869" s="76" t="inlineStr">
        <is>
          <t>Pursuit pp</t>
        </is>
      </c>
      <c r="D1869" s="76" t="n">
        <v>20</v>
      </c>
      <c r="E1869" s="76" t="n">
        <v>15</v>
      </c>
      <c r="F1869" s="76" t="inlineStr">
        <is>
          <t>Differs from upstream baseline</t>
        </is>
      </c>
      <c r="G1869" s="76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6" t="inlineStr">
        <is>
          <t>2026-09-30</t>
        </is>
      </c>
      <c r="B1871" s="76" t="inlineStr">
        <is>
          <t>Moves</t>
        </is>
      </c>
      <c r="C1871" s="76" t="inlineStr">
        <is>
          <t>Rage power</t>
        </is>
      </c>
      <c r="D1871" s="76" t="n">
        <v>20</v>
      </c>
      <c r="E1871" s="76" t="n">
        <v>70</v>
      </c>
      <c r="F1871" s="76" t="inlineStr">
        <is>
          <t>Differs from upstream baseline</t>
        </is>
      </c>
      <c r="G1871" s="76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6" t="inlineStr">
        <is>
          <t>2026-09-30</t>
        </is>
      </c>
      <c r="B1873" s="76" t="inlineStr">
        <is>
          <t>Moves</t>
        </is>
      </c>
      <c r="C1873" s="76" t="inlineStr">
        <is>
          <t>Rain Dance pp</t>
        </is>
      </c>
      <c r="D1873" s="76" t="n">
        <v>5</v>
      </c>
      <c r="E1873" s="76" t="n">
        <v>1</v>
      </c>
      <c r="F1873" s="76" t="inlineStr">
        <is>
          <t>Differs from upstream baseline</t>
        </is>
      </c>
      <c r="G1873" s="76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6" t="inlineStr">
        <is>
          <t>2026-09-30</t>
        </is>
      </c>
      <c r="B1875" s="76" t="inlineStr">
        <is>
          <t>Moves</t>
        </is>
      </c>
      <c r="C1875" s="76" t="inlineStr">
        <is>
          <t>Rapid Spin pp</t>
        </is>
      </c>
      <c r="D1875" s="76" t="n">
        <v>40</v>
      </c>
      <c r="E1875" s="76" t="n">
        <v>20</v>
      </c>
      <c r="F1875" s="76" t="inlineStr">
        <is>
          <t>Differs from upstream baseline</t>
        </is>
      </c>
      <c r="G1875" s="76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6" t="inlineStr">
        <is>
          <t>2026-09-30</t>
        </is>
      </c>
      <c r="B1877" s="76" t="inlineStr">
        <is>
          <t>Moves</t>
        </is>
      </c>
      <c r="C1877" s="76" t="inlineStr">
        <is>
          <t>Razor Leaf accuracy</t>
        </is>
      </c>
      <c r="D1877" s="76" t="n">
        <v>95</v>
      </c>
      <c r="E1877" s="76" t="n">
        <v>100</v>
      </c>
      <c r="F1877" s="76" t="inlineStr">
        <is>
          <t>Differs from upstream baseline</t>
        </is>
      </c>
      <c r="G1877" s="76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6" t="inlineStr">
        <is>
          <t>2026-09-30</t>
        </is>
      </c>
      <c r="B1879" s="76" t="inlineStr">
        <is>
          <t>Moves</t>
        </is>
      </c>
      <c r="C1879" s="76" t="inlineStr">
        <is>
          <t>Razor Shell accuracy</t>
        </is>
      </c>
      <c r="D1879" s="76" t="n">
        <v>95</v>
      </c>
      <c r="E1879" s="76" t="n">
        <v>100</v>
      </c>
      <c r="F1879" s="76" t="inlineStr">
        <is>
          <t>Differs from upstream baseline</t>
        </is>
      </c>
      <c r="G1879" s="76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6" t="inlineStr">
        <is>
          <t>2026-09-30</t>
        </is>
      </c>
      <c r="B1881" s="76" t="inlineStr">
        <is>
          <t>Moves</t>
        </is>
      </c>
      <c r="C1881" s="76" t="inlineStr">
        <is>
          <t>Recycle accuracy</t>
        </is>
      </c>
      <c r="D1881" s="76" t="n">
        <v>100</v>
      </c>
      <c r="E1881" s="76" t="n">
        <v>0</v>
      </c>
      <c r="F1881" s="76" t="inlineStr">
        <is>
          <t>Differs from upstream baseline</t>
        </is>
      </c>
      <c r="G1881" s="76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6" t="inlineStr">
        <is>
          <t>2026-09-30</t>
        </is>
      </c>
      <c r="B1883" s="76" t="inlineStr">
        <is>
          <t>Moves</t>
        </is>
      </c>
      <c r="C1883" s="76" t="inlineStr">
        <is>
          <t>Reflect pp</t>
        </is>
      </c>
      <c r="D1883" s="76" t="n">
        <v>20</v>
      </c>
      <c r="E1883" s="76" t="n">
        <v>2</v>
      </c>
      <c r="F1883" s="76" t="inlineStr">
        <is>
          <t>Differs from upstream baseline</t>
        </is>
      </c>
      <c r="G1883" s="76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6" t="inlineStr">
        <is>
          <t>2026-09-30</t>
        </is>
      </c>
      <c r="B1885" s="76" t="inlineStr">
        <is>
          <t>Moves</t>
        </is>
      </c>
      <c r="C1885" s="76" t="inlineStr">
        <is>
          <t>Refresh pp</t>
        </is>
      </c>
      <c r="D1885" s="76" t="n">
        <v>20</v>
      </c>
      <c r="E1885" s="76" t="n">
        <v>10</v>
      </c>
      <c r="F1885" s="76" t="inlineStr">
        <is>
          <t>Differs from upstream baseline</t>
        </is>
      </c>
      <c r="G1885" s="76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6" t="inlineStr">
        <is>
          <t>2026-09-30</t>
        </is>
      </c>
      <c r="B1887" s="76" t="inlineStr">
        <is>
          <t>Moves</t>
        </is>
      </c>
      <c r="C1887" s="76" t="inlineStr">
        <is>
          <t>Rest pp</t>
        </is>
      </c>
      <c r="D1887" s="76" t="n">
        <v>5</v>
      </c>
      <c r="E1887" s="76" t="n">
        <v>3</v>
      </c>
      <c r="F1887" s="76" t="inlineStr">
        <is>
          <t>Differs from upstream baseline</t>
        </is>
      </c>
      <c r="G1887" s="76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6" t="inlineStr">
        <is>
          <t>2026-09-30</t>
        </is>
      </c>
      <c r="B1889" s="76" t="inlineStr">
        <is>
          <t>Moves</t>
        </is>
      </c>
      <c r="C1889" s="76" t="inlineStr">
        <is>
          <t>Retaliate pp</t>
        </is>
      </c>
      <c r="D1889" s="76" t="n">
        <v>5</v>
      </c>
      <c r="E1889" s="76" t="n">
        <v>10</v>
      </c>
      <c r="F1889" s="76" t="inlineStr">
        <is>
          <t>Differs from upstream baseline</t>
        </is>
      </c>
      <c r="G1889" s="76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6" t="inlineStr">
        <is>
          <t>2026-09-30</t>
        </is>
      </c>
      <c r="B1891" s="76" t="inlineStr">
        <is>
          <t>Moves</t>
        </is>
      </c>
      <c r="C1891" s="76" t="inlineStr">
        <is>
          <t>Roar accuracy</t>
        </is>
      </c>
      <c r="D1891" s="76" t="n">
        <v>0</v>
      </c>
      <c r="E1891" s="76" t="n">
        <v>100</v>
      </c>
      <c r="F1891" s="76" t="inlineStr">
        <is>
          <t>Differs from upstream baseline</t>
        </is>
      </c>
      <c r="G1891" s="76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6" t="inlineStr">
        <is>
          <t>2026-09-30</t>
        </is>
      </c>
      <c r="B1893" s="76" t="inlineStr">
        <is>
          <t>Moves</t>
        </is>
      </c>
      <c r="C1893" s="76" t="inlineStr">
        <is>
          <t>Rock Blast accuracy</t>
        </is>
      </c>
      <c r="D1893" s="76" t="n">
        <v>90</v>
      </c>
      <c r="E1893" s="76" t="n">
        <v>100</v>
      </c>
      <c r="F1893" s="76" t="inlineStr">
        <is>
          <t>Differs from upstream baseline</t>
        </is>
      </c>
      <c r="G1893" s="76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6" t="inlineStr">
        <is>
          <t>2026-09-30</t>
        </is>
      </c>
      <c r="B1895" s="76" t="inlineStr">
        <is>
          <t>Moves</t>
        </is>
      </c>
      <c r="C1895" s="76" t="inlineStr">
        <is>
          <t>Rock Climb accuracy</t>
        </is>
      </c>
      <c r="D1895" s="76" t="n">
        <v>85</v>
      </c>
      <c r="E1895" s="76" t="n">
        <v>100</v>
      </c>
      <c r="F1895" s="76" t="inlineStr">
        <is>
          <t>Differs from upstream baseline</t>
        </is>
      </c>
      <c r="G1895" s="76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6" t="inlineStr">
        <is>
          <t>2026-09-30</t>
        </is>
      </c>
      <c r="B1897" s="76" t="inlineStr">
        <is>
          <t>Moves</t>
        </is>
      </c>
      <c r="C1897" s="76" t="inlineStr">
        <is>
          <t>Rock Polish pp</t>
        </is>
      </c>
      <c r="D1897" s="76" t="n">
        <v>20</v>
      </c>
      <c r="E1897" s="76" t="n">
        <v>1</v>
      </c>
      <c r="F1897" s="76" t="inlineStr">
        <is>
          <t>Differs from upstream baseline</t>
        </is>
      </c>
      <c r="G1897" s="76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6" t="inlineStr">
        <is>
          <t>2026-09-30</t>
        </is>
      </c>
      <c r="B1899" s="76" t="inlineStr">
        <is>
          <t>Moves</t>
        </is>
      </c>
      <c r="C1899" s="76" t="inlineStr">
        <is>
          <t>Rock Throw accuracy</t>
        </is>
      </c>
      <c r="D1899" s="76" t="n">
        <v>90</v>
      </c>
      <c r="E1899" s="76" t="n">
        <v>100</v>
      </c>
      <c r="F1899" s="76" t="inlineStr">
        <is>
          <t>Differs from upstream baseline</t>
        </is>
      </c>
      <c r="G1899" s="76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6" t="inlineStr">
        <is>
          <t>2026-09-30</t>
        </is>
      </c>
      <c r="B1901" s="76" t="inlineStr">
        <is>
          <t>Moves</t>
        </is>
      </c>
      <c r="C1901" s="76" t="inlineStr">
        <is>
          <t>Rock Tomb accuracy</t>
        </is>
      </c>
      <c r="D1901" s="76" t="n">
        <v>95</v>
      </c>
      <c r="E1901" s="76" t="n">
        <v>100</v>
      </c>
      <c r="F1901" s="76" t="inlineStr">
        <is>
          <t>Differs from upstream baseline</t>
        </is>
      </c>
      <c r="G1901" s="76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6" t="inlineStr">
        <is>
          <t>2026-09-30</t>
        </is>
      </c>
      <c r="B1903" s="76" t="inlineStr">
        <is>
          <t>Moves</t>
        </is>
      </c>
      <c r="C1903" s="76" t="inlineStr">
        <is>
          <t>Rock Wrecker power</t>
        </is>
      </c>
      <c r="D1903" s="76" t="n">
        <v>150</v>
      </c>
      <c r="E1903" s="76" t="n">
        <v>40</v>
      </c>
      <c r="F1903" s="76" t="inlineStr">
        <is>
          <t>Differs from upstream baseline</t>
        </is>
      </c>
      <c r="G1903" s="76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6" t="inlineStr">
        <is>
          <t>2026-09-30</t>
        </is>
      </c>
      <c r="B1905" s="76" t="inlineStr">
        <is>
          <t>Moves</t>
        </is>
      </c>
      <c r="C1905" s="76" t="inlineStr">
        <is>
          <t>Rock Wrecker pp</t>
        </is>
      </c>
      <c r="D1905" s="76" t="n">
        <v>5</v>
      </c>
      <c r="E1905" s="76" t="n">
        <v>8</v>
      </c>
      <c r="F1905" s="76" t="inlineStr">
        <is>
          <t>Differs from upstream baseline</t>
        </is>
      </c>
      <c r="G1905" s="76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6" t="inlineStr">
        <is>
          <t>2026-09-30</t>
        </is>
      </c>
      <c r="B1907" s="76" t="inlineStr">
        <is>
          <t>Moves</t>
        </is>
      </c>
      <c r="C1907" s="76" t="inlineStr">
        <is>
          <t>Rollout power</t>
        </is>
      </c>
      <c r="D1907" s="76" t="n">
        <v>30</v>
      </c>
      <c r="E1907" s="76" t="n">
        <v>40</v>
      </c>
      <c r="F1907" s="76" t="inlineStr">
        <is>
          <t>Differs from upstream baseline</t>
        </is>
      </c>
      <c r="G1907" s="76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6" t="inlineStr">
        <is>
          <t>2026-09-30</t>
        </is>
      </c>
      <c r="B1909" s="76" t="inlineStr">
        <is>
          <t>Moves</t>
        </is>
      </c>
      <c r="C1909" s="76" t="inlineStr">
        <is>
          <t>Rollout pp</t>
        </is>
      </c>
      <c r="D1909" s="76" t="n">
        <v>20</v>
      </c>
      <c r="E1909" s="76" t="n">
        <v>5</v>
      </c>
      <c r="F1909" s="76" t="inlineStr">
        <is>
          <t>Differs from upstream baseline</t>
        </is>
      </c>
      <c r="G1909" s="76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6" t="inlineStr">
        <is>
          <t>2026-09-30</t>
        </is>
      </c>
      <c r="B1911" s="76" t="inlineStr">
        <is>
          <t>Moves</t>
        </is>
      </c>
      <c r="C1911" s="76" t="inlineStr">
        <is>
          <t>Round power</t>
        </is>
      </c>
      <c r="D1911" s="76" t="n">
        <v>60</v>
      </c>
      <c r="E1911" s="76" t="n">
        <v>70</v>
      </c>
      <c r="F1911" s="76" t="inlineStr">
        <is>
          <t>Differs from upstream baseline</t>
        </is>
      </c>
      <c r="G1911" s="76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6" t="inlineStr">
        <is>
          <t>2026-09-30</t>
        </is>
      </c>
      <c r="B1913" s="76" t="inlineStr">
        <is>
          <t>Moves</t>
        </is>
      </c>
      <c r="C1913" s="76" t="inlineStr">
        <is>
          <t>Sacred Fire accuracy</t>
        </is>
      </c>
      <c r="D1913" s="76" t="n">
        <v>95</v>
      </c>
      <c r="E1913" s="76" t="n">
        <v>100</v>
      </c>
      <c r="F1913" s="76" t="inlineStr">
        <is>
          <t>Differs from upstream baseline</t>
        </is>
      </c>
      <c r="G1913" s="76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6" t="inlineStr">
        <is>
          <t>2026-09-30</t>
        </is>
      </c>
      <c r="B1915" s="76" t="inlineStr">
        <is>
          <t>Moves</t>
        </is>
      </c>
      <c r="C1915" s="76" t="inlineStr">
        <is>
          <t>Safeguard pp</t>
        </is>
      </c>
      <c r="D1915" s="76" t="n">
        <v>25</v>
      </c>
      <c r="E1915" s="76" t="n">
        <v>5</v>
      </c>
      <c r="F1915" s="76" t="inlineStr">
        <is>
          <t>Differs from upstream baseline</t>
        </is>
      </c>
      <c r="G1915" s="76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6" t="inlineStr">
        <is>
          <t>2026-09-30</t>
        </is>
      </c>
      <c r="B1917" s="76" t="inlineStr">
        <is>
          <t>Moves</t>
        </is>
      </c>
      <c r="C1917" s="76" t="inlineStr">
        <is>
          <t>Sand Attack pp</t>
        </is>
      </c>
      <c r="D1917" s="76" t="n">
        <v>15</v>
      </c>
      <c r="E1917" s="76" t="n">
        <v>5</v>
      </c>
      <c r="F1917" s="76" t="inlineStr">
        <is>
          <t>Differs from upstream baseline</t>
        </is>
      </c>
      <c r="G1917" s="76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6" t="inlineStr">
        <is>
          <t>2026-09-30</t>
        </is>
      </c>
      <c r="B1919" s="76" t="inlineStr">
        <is>
          <t>Moves</t>
        </is>
      </c>
      <c r="C1919" s="76" t="inlineStr">
        <is>
          <t>Sand Tomb accuracy</t>
        </is>
      </c>
      <c r="D1919" s="76" t="n">
        <v>85</v>
      </c>
      <c r="E1919" s="76" t="n">
        <v>100</v>
      </c>
      <c r="F1919" s="76" t="inlineStr">
        <is>
          <t>Differs from upstream baseline</t>
        </is>
      </c>
      <c r="G1919" s="76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6" t="inlineStr">
        <is>
          <t>2026-09-30</t>
        </is>
      </c>
      <c r="B1921" s="76" t="inlineStr">
        <is>
          <t>Moves</t>
        </is>
      </c>
      <c r="C1921" s="76" t="inlineStr">
        <is>
          <t>Screech pp</t>
        </is>
      </c>
      <c r="D1921" s="76" t="n">
        <v>40</v>
      </c>
      <c r="E1921" s="76" t="n">
        <v>5</v>
      </c>
      <c r="F1921" s="76" t="inlineStr">
        <is>
          <t>Differs from upstream baseline</t>
        </is>
      </c>
      <c r="G1921" s="76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6" t="inlineStr">
        <is>
          <t>2026-09-30</t>
        </is>
      </c>
      <c r="B1923" s="76" t="inlineStr">
        <is>
          <t>Moves</t>
        </is>
      </c>
      <c r="C1923" s="76" t="inlineStr">
        <is>
          <t>Secret Sword power</t>
        </is>
      </c>
      <c r="D1923" s="76" t="n">
        <v>85</v>
      </c>
      <c r="E1923" s="76" t="n">
        <v>90</v>
      </c>
      <c r="F1923" s="76" t="inlineStr">
        <is>
          <t>Differs from upstream baseline</t>
        </is>
      </c>
      <c r="G1923" s="76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6" t="inlineStr">
        <is>
          <t>2026-09-30</t>
        </is>
      </c>
      <c r="B1925" s="76" t="inlineStr">
        <is>
          <t>Moves</t>
        </is>
      </c>
      <c r="C1925" s="76" t="inlineStr">
        <is>
          <t>Shadow Ball power</t>
        </is>
      </c>
      <c r="D1925" s="76" t="n">
        <v>80</v>
      </c>
      <c r="E1925" s="76" t="n">
        <v>90</v>
      </c>
      <c r="F1925" s="76" t="inlineStr">
        <is>
          <t>Differs from upstream baseline</t>
        </is>
      </c>
      <c r="G1925" s="76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6" t="inlineStr">
        <is>
          <t>2026-09-30</t>
        </is>
      </c>
      <c r="B1927" s="76" t="inlineStr">
        <is>
          <t>Moves</t>
        </is>
      </c>
      <c r="C1927" s="76" t="inlineStr">
        <is>
          <t>Shadow Punch power</t>
        </is>
      </c>
      <c r="D1927" s="76" t="n">
        <v>60</v>
      </c>
      <c r="E1927" s="76" t="n">
        <v>95</v>
      </c>
      <c r="F1927" s="76" t="inlineStr">
        <is>
          <t>Differs from upstream baseline</t>
        </is>
      </c>
      <c r="G1927" s="76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6" t="inlineStr">
        <is>
          <t>2026-09-30</t>
        </is>
      </c>
      <c r="B1929" s="76" t="inlineStr">
        <is>
          <t>Moves</t>
        </is>
      </c>
      <c r="C1929" s="76" t="inlineStr">
        <is>
          <t>Sharpen pp</t>
        </is>
      </c>
      <c r="D1929" s="76" t="n">
        <v>30</v>
      </c>
      <c r="E1929" s="76" t="n">
        <v>3</v>
      </c>
      <c r="F1929" s="76" t="inlineStr">
        <is>
          <t>Differs from upstream baseline</t>
        </is>
      </c>
      <c r="G1929" s="76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6" t="inlineStr">
        <is>
          <t>2026-09-30</t>
        </is>
      </c>
      <c r="B1931" s="76" t="inlineStr">
        <is>
          <t>Moves</t>
        </is>
      </c>
      <c r="C1931" s="76" t="inlineStr">
        <is>
          <t>Sheer Cold accuracy</t>
        </is>
      </c>
      <c r="D1931" s="76" t="n">
        <v>30</v>
      </c>
      <c r="E1931" s="76" t="n">
        <v>50</v>
      </c>
      <c r="F1931" s="76" t="inlineStr">
        <is>
          <t>Differs from upstream baseline</t>
        </is>
      </c>
      <c r="G1931" s="76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6" t="inlineStr">
        <is>
          <t>2026-09-30</t>
        </is>
      </c>
      <c r="B1933" s="76" t="inlineStr">
        <is>
          <t>Moves</t>
        </is>
      </c>
      <c r="C1933" s="76" t="inlineStr">
        <is>
          <t>Shift Gear pp</t>
        </is>
      </c>
      <c r="D1933" s="76" t="n">
        <v>10</v>
      </c>
      <c r="E1933" s="76" t="n">
        <v>5</v>
      </c>
      <c r="F1933" s="76" t="inlineStr">
        <is>
          <t>Differs from upstream baseline</t>
        </is>
      </c>
      <c r="G1933" s="76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6" t="inlineStr">
        <is>
          <t>2026-09-30</t>
        </is>
      </c>
      <c r="B1935" s="76" t="inlineStr">
        <is>
          <t>Moves</t>
        </is>
      </c>
      <c r="C1935" s="76" t="inlineStr">
        <is>
          <t>Signal Beam power</t>
        </is>
      </c>
      <c r="D1935" s="76" t="n">
        <v>75</v>
      </c>
      <c r="E1935" s="76" t="n">
        <v>95</v>
      </c>
      <c r="F1935" s="76" t="inlineStr">
        <is>
          <t>Differs from upstream baseline</t>
        </is>
      </c>
      <c r="G1935" s="76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6" t="inlineStr">
        <is>
          <t>2026-09-30</t>
        </is>
      </c>
      <c r="B1937" s="76" t="inlineStr">
        <is>
          <t>Moves</t>
        </is>
      </c>
      <c r="C1937" s="76" t="inlineStr">
        <is>
          <t>Silver Wind accuracy</t>
        </is>
      </c>
      <c r="D1937" s="76" t="n">
        <v>100</v>
      </c>
      <c r="E1937" s="76" t="n">
        <v>0</v>
      </c>
      <c r="F1937" s="76" t="inlineStr">
        <is>
          <t>Differs from upstream baseline</t>
        </is>
      </c>
      <c r="G1937" s="76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6" t="inlineStr">
        <is>
          <t>2026-09-30</t>
        </is>
      </c>
      <c r="B1939" s="76" t="inlineStr">
        <is>
          <t>Moves</t>
        </is>
      </c>
      <c r="C1939" s="76" t="inlineStr">
        <is>
          <t>Sing pp</t>
        </is>
      </c>
      <c r="D1939" s="76" t="n">
        <v>15</v>
      </c>
      <c r="E1939" s="76" t="n">
        <v>8</v>
      </c>
      <c r="F1939" s="76" t="inlineStr">
        <is>
          <t>Differs from upstream baseline</t>
        </is>
      </c>
      <c r="G1939" s="76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6" t="inlineStr">
        <is>
          <t>2026-09-30</t>
        </is>
      </c>
      <c r="B1941" s="76" t="inlineStr">
        <is>
          <t>Moves</t>
        </is>
      </c>
      <c r="C1941" s="76" t="inlineStr">
        <is>
          <t>Sky Attack power</t>
        </is>
      </c>
      <c r="D1941" s="76" t="n">
        <v>140</v>
      </c>
      <c r="E1941" s="76" t="n">
        <v>120</v>
      </c>
      <c r="F1941" s="76" t="inlineStr">
        <is>
          <t>Differs from upstream baseline</t>
        </is>
      </c>
      <c r="G1941" s="76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6" t="inlineStr">
        <is>
          <t>2026-09-30</t>
        </is>
      </c>
      <c r="B1943" s="76" t="inlineStr">
        <is>
          <t>Moves</t>
        </is>
      </c>
      <c r="C1943" s="76" t="inlineStr">
        <is>
          <t>Sky Drop power</t>
        </is>
      </c>
      <c r="D1943" s="76" t="n">
        <v>60</v>
      </c>
      <c r="E1943" s="76" t="n">
        <v>70</v>
      </c>
      <c r="F1943" s="76" t="inlineStr">
        <is>
          <t>Differs from upstream baseline</t>
        </is>
      </c>
      <c r="G1943" s="76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6" t="inlineStr">
        <is>
          <t>2026-09-30</t>
        </is>
      </c>
      <c r="B1945" s="76" t="inlineStr">
        <is>
          <t>Moves</t>
        </is>
      </c>
      <c r="C1945" s="76" t="inlineStr">
        <is>
          <t>Sky Uppercut accuracy</t>
        </is>
      </c>
      <c r="D1945" s="76" t="n">
        <v>90</v>
      </c>
      <c r="E1945" s="76" t="n">
        <v>100</v>
      </c>
      <c r="F1945" s="76" t="inlineStr">
        <is>
          <t>Differs from upstream baseline</t>
        </is>
      </c>
      <c r="G1945" s="76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6" t="inlineStr">
        <is>
          <t>2026-09-30</t>
        </is>
      </c>
      <c r="B1947" s="76" t="inlineStr">
        <is>
          <t>Moves</t>
        </is>
      </c>
      <c r="C1947" s="76" t="inlineStr">
        <is>
          <t>Slack Off pp</t>
        </is>
      </c>
      <c r="D1947" s="76" t="n">
        <v>5</v>
      </c>
      <c r="E1947" s="76" t="n">
        <v>10</v>
      </c>
      <c r="F1947" s="76" t="inlineStr">
        <is>
          <t>Differs from upstream baseline</t>
        </is>
      </c>
      <c r="G1947" s="76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6" t="inlineStr">
        <is>
          <t>2026-09-30</t>
        </is>
      </c>
      <c r="B1949" s="76" t="inlineStr">
        <is>
          <t>Moves</t>
        </is>
      </c>
      <c r="C1949" s="76" t="inlineStr">
        <is>
          <t>Slam accuracy</t>
        </is>
      </c>
      <c r="D1949" s="76" t="n">
        <v>75</v>
      </c>
      <c r="E1949" s="76" t="n">
        <v>100</v>
      </c>
      <c r="F1949" s="76" t="inlineStr">
        <is>
          <t>Differs from upstream baseline</t>
        </is>
      </c>
      <c r="G1949" s="76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6" t="inlineStr">
        <is>
          <t>2026-09-30</t>
        </is>
      </c>
      <c r="B1951" s="76" t="inlineStr">
        <is>
          <t>Moves</t>
        </is>
      </c>
      <c r="C1951" s="76" t="inlineStr">
        <is>
          <t>Sleep Powder accuracy</t>
        </is>
      </c>
      <c r="D1951" s="76" t="n">
        <v>75</v>
      </c>
      <c r="E1951" s="76" t="n">
        <v>90</v>
      </c>
      <c r="F1951" s="76" t="inlineStr">
        <is>
          <t>Differs from upstream baseline</t>
        </is>
      </c>
      <c r="G1951" s="76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6" t="inlineStr">
        <is>
          <t>2026-09-30</t>
        </is>
      </c>
      <c r="B1953" s="76" t="inlineStr">
        <is>
          <t>Moves</t>
        </is>
      </c>
      <c r="C1953" s="76" t="inlineStr">
        <is>
          <t>Sludge power</t>
        </is>
      </c>
      <c r="D1953" s="76" t="n">
        <v>65</v>
      </c>
      <c r="E1953" s="76" t="n">
        <v>70</v>
      </c>
      <c r="F1953" s="76" t="inlineStr">
        <is>
          <t>Differs from upstream baseline</t>
        </is>
      </c>
      <c r="G1953" s="76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6" t="inlineStr">
        <is>
          <t>2026-09-30</t>
        </is>
      </c>
      <c r="B1955" s="76" t="inlineStr">
        <is>
          <t>Moves</t>
        </is>
      </c>
      <c r="C1955" s="76" t="inlineStr">
        <is>
          <t>Smack Down power</t>
        </is>
      </c>
      <c r="D1955" s="76" t="n">
        <v>50</v>
      </c>
      <c r="E1955" s="76" t="n">
        <v>60</v>
      </c>
      <c r="F1955" s="76" t="inlineStr">
        <is>
          <t>Differs from upstream baseline</t>
        </is>
      </c>
      <c r="G1955" s="76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6" t="inlineStr">
        <is>
          <t>2026-09-30</t>
        </is>
      </c>
      <c r="B1957" s="76" t="inlineStr">
        <is>
          <t>Moves</t>
        </is>
      </c>
      <c r="C1957" s="76" t="inlineStr">
        <is>
          <t>Smog power</t>
        </is>
      </c>
      <c r="D1957" s="76" t="n">
        <v>30</v>
      </c>
      <c r="E1957" s="76" t="n">
        <v>60</v>
      </c>
      <c r="F1957" s="76" t="inlineStr">
        <is>
          <t>Differs from upstream baseline</t>
        </is>
      </c>
      <c r="G1957" s="76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6" t="inlineStr">
        <is>
          <t>2026-09-30</t>
        </is>
      </c>
      <c r="B1959" s="76" t="inlineStr">
        <is>
          <t>Moves</t>
        </is>
      </c>
      <c r="C1959" s="76" t="inlineStr">
        <is>
          <t>Smokescreen pp</t>
        </is>
      </c>
      <c r="D1959" s="76" t="n">
        <v>20</v>
      </c>
      <c r="E1959" s="76" t="n">
        <v>5</v>
      </c>
      <c r="F1959" s="76" t="inlineStr">
        <is>
          <t>Differs from upstream baseline</t>
        </is>
      </c>
      <c r="G1959" s="76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6" t="inlineStr">
        <is>
          <t>2026-09-30</t>
        </is>
      </c>
      <c r="B1961" s="76" t="inlineStr">
        <is>
          <t>Moves</t>
        </is>
      </c>
      <c r="C1961" s="76" t="inlineStr">
        <is>
          <t>Snarl accuracy</t>
        </is>
      </c>
      <c r="D1961" s="76" t="n">
        <v>95</v>
      </c>
      <c r="E1961" s="76" t="n">
        <v>100</v>
      </c>
      <c r="F1961" s="76" t="inlineStr">
        <is>
          <t>Differs from upstream baseline</t>
        </is>
      </c>
      <c r="G1961" s="76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6" t="inlineStr">
        <is>
          <t>2026-09-30</t>
        </is>
      </c>
      <c r="B1963" s="76" t="inlineStr">
        <is>
          <t>Moves</t>
        </is>
      </c>
      <c r="C1963" s="76" t="inlineStr">
        <is>
          <t>Soft-Boiled accuracy</t>
        </is>
      </c>
      <c r="D1963" s="76" t="n">
        <v>100</v>
      </c>
      <c r="E1963" s="76" t="n">
        <v>0</v>
      </c>
      <c r="F1963" s="76" t="inlineStr">
        <is>
          <t>Differs from upstream baseline</t>
        </is>
      </c>
      <c r="G1963" s="76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6" t="inlineStr">
        <is>
          <t>2026-09-30</t>
        </is>
      </c>
      <c r="B1965" s="76" t="inlineStr">
        <is>
          <t>Moves</t>
        </is>
      </c>
      <c r="C1965" s="76" t="inlineStr">
        <is>
          <t>Solar Beam pp</t>
        </is>
      </c>
      <c r="D1965" s="76" t="n">
        <v>10</v>
      </c>
      <c r="E1965" s="76" t="n">
        <v>15</v>
      </c>
      <c r="F1965" s="76" t="inlineStr">
        <is>
          <t>Differs from upstream baseline</t>
        </is>
      </c>
      <c r="G1965" s="76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6" t="inlineStr">
        <is>
          <t>2026-09-30</t>
        </is>
      </c>
      <c r="B1967" s="76" t="inlineStr">
        <is>
          <t>Moves</t>
        </is>
      </c>
      <c r="C1967" s="76" t="inlineStr">
        <is>
          <t>Spacial Rend power</t>
        </is>
      </c>
      <c r="D1967" s="76" t="n">
        <v>100</v>
      </c>
      <c r="E1967" s="76" t="n">
        <v>120</v>
      </c>
      <c r="F1967" s="76" t="inlineStr">
        <is>
          <t>Differs from upstream baseline</t>
        </is>
      </c>
      <c r="G1967" s="76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6" t="inlineStr">
        <is>
          <t>2026-09-30</t>
        </is>
      </c>
      <c r="B1969" s="76" t="inlineStr">
        <is>
          <t>Moves</t>
        </is>
      </c>
      <c r="C1969" s="76" t="inlineStr">
        <is>
          <t>Spark power</t>
        </is>
      </c>
      <c r="D1969" s="76" t="n">
        <v>65</v>
      </c>
      <c r="E1969" s="76" t="n">
        <v>70</v>
      </c>
      <c r="F1969" s="76" t="inlineStr">
        <is>
          <t>Differs from upstream baseline</t>
        </is>
      </c>
      <c r="G1969" s="76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6" t="inlineStr">
        <is>
          <t>2026-09-30</t>
        </is>
      </c>
      <c r="B1971" s="76" t="inlineStr">
        <is>
          <t>Moves</t>
        </is>
      </c>
      <c r="C1971" s="76" t="inlineStr">
        <is>
          <t>Steamroller power</t>
        </is>
      </c>
      <c r="D1971" s="76" t="n">
        <v>65</v>
      </c>
      <c r="E1971" s="76" t="n">
        <v>75</v>
      </c>
      <c r="F1971" s="76" t="inlineStr">
        <is>
          <t>Differs from upstream baseline</t>
        </is>
      </c>
      <c r="G1971" s="76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6" t="inlineStr">
        <is>
          <t>2026-09-30</t>
        </is>
      </c>
      <c r="B1973" s="76" t="inlineStr">
        <is>
          <t>Moves</t>
        </is>
      </c>
      <c r="C1973" s="76" t="inlineStr">
        <is>
          <t>Steel Wing power</t>
        </is>
      </c>
      <c r="D1973" s="76" t="n">
        <v>70</v>
      </c>
      <c r="E1973" s="76" t="n">
        <v>80</v>
      </c>
      <c r="F1973" s="76" t="inlineStr">
        <is>
          <t>Differs from upstream baseline</t>
        </is>
      </c>
      <c r="G1973" s="76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6" t="inlineStr">
        <is>
          <t>2026-09-30</t>
        </is>
      </c>
      <c r="B1975" s="76" t="inlineStr">
        <is>
          <t>Moves</t>
        </is>
      </c>
      <c r="C1975" s="76" t="inlineStr">
        <is>
          <t>Stockpile pp</t>
        </is>
      </c>
      <c r="D1975" s="76" t="n">
        <v>20</v>
      </c>
      <c r="E1975" s="76" t="n">
        <v>10</v>
      </c>
      <c r="F1975" s="76" t="inlineStr">
        <is>
          <t>Differs from upstream baseline</t>
        </is>
      </c>
      <c r="G1975" s="76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6" t="inlineStr">
        <is>
          <t>2026-09-30</t>
        </is>
      </c>
      <c r="B1977" s="76" t="inlineStr">
        <is>
          <t>Moves</t>
        </is>
      </c>
      <c r="C1977" s="76" t="inlineStr">
        <is>
          <t>Stomp type</t>
        </is>
      </c>
      <c r="D1977" s="76" t="inlineStr">
        <is>
          <t>TYPE_NORMAL</t>
        </is>
      </c>
      <c r="E1977" s="76" t="inlineStr">
        <is>
          <t>TYPE_GROUND</t>
        </is>
      </c>
      <c r="F1977" s="76" t="inlineStr">
        <is>
          <t>Differs from upstream baseline</t>
        </is>
      </c>
      <c r="G1977" s="76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6" t="inlineStr">
        <is>
          <t>2026-09-30</t>
        </is>
      </c>
      <c r="B1979" s="76" t="inlineStr">
        <is>
          <t>Moves</t>
        </is>
      </c>
      <c r="C1979" s="76" t="inlineStr">
        <is>
          <t>Storm Throw power</t>
        </is>
      </c>
      <c r="D1979" s="76" t="n">
        <v>60</v>
      </c>
      <c r="E1979" s="76" t="n">
        <v>70</v>
      </c>
      <c r="F1979" s="76" t="inlineStr">
        <is>
          <t>Differs from upstream baseline</t>
        </is>
      </c>
      <c r="G1979" s="76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6" t="inlineStr">
        <is>
          <t>2026-09-30</t>
        </is>
      </c>
      <c r="B1981" s="76" t="inlineStr">
        <is>
          <t>Moves</t>
        </is>
      </c>
      <c r="C1981" s="76" t="inlineStr">
        <is>
          <t>Struggle Bug power</t>
        </is>
      </c>
      <c r="D1981" s="76" t="n">
        <v>50</v>
      </c>
      <c r="E1981" s="76" t="n">
        <v>60</v>
      </c>
      <c r="F1981" s="76" t="inlineStr">
        <is>
          <t>Differs from upstream baseline</t>
        </is>
      </c>
      <c r="G1981" s="76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6" t="inlineStr">
        <is>
          <t>2026-09-30</t>
        </is>
      </c>
      <c r="B1983" s="76" t="inlineStr">
        <is>
          <t>Moves</t>
        </is>
      </c>
      <c r="C1983" s="76" t="inlineStr">
        <is>
          <t>Submission power</t>
        </is>
      </c>
      <c r="D1983" s="76" t="n">
        <v>80</v>
      </c>
      <c r="E1983" s="76" t="n">
        <v>90</v>
      </c>
      <c r="F1983" s="76" t="inlineStr">
        <is>
          <t>Differs from upstream baseline</t>
        </is>
      </c>
      <c r="G1983" s="76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6" t="inlineStr">
        <is>
          <t>2026-09-30</t>
        </is>
      </c>
      <c r="B1985" s="76" t="inlineStr">
        <is>
          <t>Moves</t>
        </is>
      </c>
      <c r="C1985" s="76" t="inlineStr">
        <is>
          <t>Submission pp</t>
        </is>
      </c>
      <c r="D1985" s="76" t="n">
        <v>20</v>
      </c>
      <c r="E1985" s="76" t="n">
        <v>8</v>
      </c>
      <c r="F1985" s="76" t="inlineStr">
        <is>
          <t>Differs from upstream baseline</t>
        </is>
      </c>
      <c r="G1985" s="76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6" t="inlineStr">
        <is>
          <t>2026-09-30</t>
        </is>
      </c>
      <c r="B1987" s="76" t="inlineStr">
        <is>
          <t>Moves</t>
        </is>
      </c>
      <c r="C1987" s="76" t="inlineStr">
        <is>
          <t>Sucker Punch power</t>
        </is>
      </c>
      <c r="D1987" s="76" t="n">
        <v>70</v>
      </c>
      <c r="E1987" s="76" t="n">
        <v>80</v>
      </c>
      <c r="F1987" s="76" t="inlineStr">
        <is>
          <t>Differs from upstream baseline</t>
        </is>
      </c>
      <c r="G1987" s="76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6" t="inlineStr">
        <is>
          <t>2026-09-30</t>
        </is>
      </c>
      <c r="B1989" s="76" t="inlineStr">
        <is>
          <t>Moves</t>
        </is>
      </c>
      <c r="C1989" s="76" t="inlineStr">
        <is>
          <t>Superpower power</t>
        </is>
      </c>
      <c r="D1989" s="76" t="n">
        <v>120</v>
      </c>
      <c r="E1989" s="76" t="n">
        <v>140</v>
      </c>
      <c r="F1989" s="76" t="inlineStr">
        <is>
          <t>Differs from upstream baseline</t>
        </is>
      </c>
      <c r="G1989" s="76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6" t="inlineStr">
        <is>
          <t>2026-09-30</t>
        </is>
      </c>
      <c r="B1991" s="76" t="inlineStr">
        <is>
          <t>Moves</t>
        </is>
      </c>
      <c r="C1991" s="76" t="inlineStr">
        <is>
          <t>Super Fang accuracy</t>
        </is>
      </c>
      <c r="D1991" s="76" t="n">
        <v>90</v>
      </c>
      <c r="E1991" s="76" t="n">
        <v>100</v>
      </c>
      <c r="F1991" s="76" t="inlineStr">
        <is>
          <t>Differs from upstream baseline</t>
        </is>
      </c>
      <c r="G1991" s="76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6" t="inlineStr">
        <is>
          <t>2026-09-30</t>
        </is>
      </c>
      <c r="B1993" s="76" t="inlineStr">
        <is>
          <t>Moves</t>
        </is>
      </c>
      <c r="C1993" s="76" t="inlineStr">
        <is>
          <t>Surf power</t>
        </is>
      </c>
      <c r="D1993" s="76" t="n">
        <v>90</v>
      </c>
      <c r="E1993" s="76" t="n">
        <v>95</v>
      </c>
      <c r="F1993" s="76" t="inlineStr">
        <is>
          <t>Differs from upstream baseline</t>
        </is>
      </c>
      <c r="G1993" s="76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6" t="inlineStr">
        <is>
          <t>2026-09-30</t>
        </is>
      </c>
      <c r="B1995" s="76" t="inlineStr">
        <is>
          <t>Moves</t>
        </is>
      </c>
      <c r="C1995" s="76" t="inlineStr">
        <is>
          <t>Swallow power</t>
        </is>
      </c>
      <c r="D1995" s="76" t="n">
        <v>0</v>
      </c>
      <c r="E1995" s="76" t="n">
        <v>90</v>
      </c>
      <c r="F1995" s="76" t="inlineStr">
        <is>
          <t>Differs from upstream baseline</t>
        </is>
      </c>
      <c r="G1995" s="76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6" t="inlineStr">
        <is>
          <t>2026-09-30</t>
        </is>
      </c>
      <c r="B1997" s="76" t="inlineStr">
        <is>
          <t>Moves</t>
        </is>
      </c>
      <c r="C1997" s="76" t="inlineStr">
        <is>
          <t>Swallow type</t>
        </is>
      </c>
      <c r="D1997" s="76" t="inlineStr">
        <is>
          <t>TYPE_NORMAL</t>
        </is>
      </c>
      <c r="E1997" s="76" t="inlineStr">
        <is>
          <t>TYPE_POISON</t>
        </is>
      </c>
      <c r="F1997" s="76" t="inlineStr">
        <is>
          <t>Differs from upstream baseline</t>
        </is>
      </c>
      <c r="G1997" s="76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6" t="inlineStr">
        <is>
          <t>2026-09-30</t>
        </is>
      </c>
      <c r="B1999" s="76" t="inlineStr">
        <is>
          <t>Moves</t>
        </is>
      </c>
      <c r="C1999" s="76" t="inlineStr">
        <is>
          <t>Sweet Scent pp</t>
        </is>
      </c>
      <c r="D1999" s="76" t="n">
        <v>20</v>
      </c>
      <c r="E1999" s="76" t="n">
        <v>2</v>
      </c>
      <c r="F1999" s="76" t="inlineStr">
        <is>
          <t>Differs from upstream baseline</t>
        </is>
      </c>
      <c r="G1999" s="76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6" t="inlineStr">
        <is>
          <t>2026-09-30</t>
        </is>
      </c>
      <c r="B2001" s="76" t="inlineStr">
        <is>
          <t>Moves</t>
        </is>
      </c>
      <c r="C2001" s="76" t="inlineStr">
        <is>
          <t>Tackle power</t>
        </is>
      </c>
      <c r="D2001" s="76" t="n">
        <v>40</v>
      </c>
      <c r="E2001" s="76" t="n">
        <v>35</v>
      </c>
      <c r="F2001" s="76" t="inlineStr">
        <is>
          <t>Differs from upstream baseline</t>
        </is>
      </c>
      <c r="G2001" s="76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6" t="inlineStr">
        <is>
          <t>2026-09-30</t>
        </is>
      </c>
      <c r="B2003" s="76" t="inlineStr">
        <is>
          <t>Moves</t>
        </is>
      </c>
      <c r="C2003" s="76" t="inlineStr">
        <is>
          <t>Tail Slap power</t>
        </is>
      </c>
      <c r="D2003" s="76" t="n">
        <v>25</v>
      </c>
      <c r="E2003" s="76" t="n">
        <v>30</v>
      </c>
      <c r="F2003" s="76" t="inlineStr">
        <is>
          <t>Differs from upstream baseline</t>
        </is>
      </c>
      <c r="G2003" s="76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6" t="inlineStr">
        <is>
          <t>2026-09-30</t>
        </is>
      </c>
      <c r="B2005" s="76" t="inlineStr">
        <is>
          <t>Moves</t>
        </is>
      </c>
      <c r="C2005" s="76" t="inlineStr">
        <is>
          <t>Tail Whip pp</t>
        </is>
      </c>
      <c r="D2005" s="76" t="n">
        <v>30</v>
      </c>
      <c r="E2005" s="76" t="n">
        <v>1</v>
      </c>
      <c r="F2005" s="76" t="inlineStr">
        <is>
          <t>Differs from upstream baseline</t>
        </is>
      </c>
      <c r="G2005" s="76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6" t="inlineStr">
        <is>
          <t>2026-09-30</t>
        </is>
      </c>
      <c r="B2007" s="76" t="inlineStr">
        <is>
          <t>Moves</t>
        </is>
      </c>
      <c r="C2007" s="76" t="inlineStr">
        <is>
          <t>Taunt pp</t>
        </is>
      </c>
      <c r="D2007" s="76" t="n">
        <v>20</v>
      </c>
      <c r="E2007" s="76" t="n">
        <v>15</v>
      </c>
      <c r="F2007" s="76" t="inlineStr">
        <is>
          <t>Differs from upstream baseline</t>
        </is>
      </c>
      <c r="G2007" s="76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6" t="inlineStr">
        <is>
          <t>2026-09-30</t>
        </is>
      </c>
      <c r="B2009" s="76" t="inlineStr">
        <is>
          <t>Moves</t>
        </is>
      </c>
      <c r="C2009" s="76" t="inlineStr">
        <is>
          <t>Thief pp</t>
        </is>
      </c>
      <c r="D2009" s="76" t="n">
        <v>25</v>
      </c>
      <c r="E2009" s="76" t="n">
        <v>10</v>
      </c>
      <c r="F2009" s="76" t="inlineStr">
        <is>
          <t>Differs from upstream baseline</t>
        </is>
      </c>
      <c r="G2009" s="76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6" t="inlineStr">
        <is>
          <t>2026-09-30</t>
        </is>
      </c>
      <c r="B2011" s="76" t="inlineStr">
        <is>
          <t>Moves</t>
        </is>
      </c>
      <c r="C2011" s="76" t="inlineStr">
        <is>
          <t>Thousand Waves power</t>
        </is>
      </c>
      <c r="D2011" s="76" t="n">
        <v>90</v>
      </c>
      <c r="E2011" s="76" t="n">
        <v>95</v>
      </c>
      <c r="F2011" s="76" t="inlineStr">
        <is>
          <t>Differs from upstream baseline</t>
        </is>
      </c>
      <c r="G2011" s="76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6" t="inlineStr">
        <is>
          <t>2026-09-30</t>
        </is>
      </c>
      <c r="B2013" s="76" t="inlineStr">
        <is>
          <t>Moves</t>
        </is>
      </c>
      <c r="C2013" s="76" t="inlineStr">
        <is>
          <t>Thunder power</t>
        </is>
      </c>
      <c r="D2013" s="76" t="n">
        <v>110</v>
      </c>
      <c r="E2013" s="76" t="n">
        <v>120</v>
      </c>
      <c r="F2013" s="76" t="inlineStr">
        <is>
          <t>Differs from upstream baseline</t>
        </is>
      </c>
      <c r="G2013" s="76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6" t="inlineStr">
        <is>
          <t>2026-09-30</t>
        </is>
      </c>
      <c r="B2015" s="76" t="inlineStr">
        <is>
          <t>Moves</t>
        </is>
      </c>
      <c r="C2015" s="76" t="inlineStr">
        <is>
          <t>Thunder Fang power</t>
        </is>
      </c>
      <c r="D2015" s="76" t="n">
        <v>65</v>
      </c>
      <c r="E2015" s="76" t="n">
        <v>90</v>
      </c>
      <c r="F2015" s="76" t="inlineStr">
        <is>
          <t>Differs from upstream baseline</t>
        </is>
      </c>
      <c r="G2015" s="76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6" t="inlineStr">
        <is>
          <t>2026-09-30</t>
        </is>
      </c>
      <c r="B2017" s="76" t="inlineStr">
        <is>
          <t>Moves</t>
        </is>
      </c>
      <c r="C2017" s="76" t="inlineStr">
        <is>
          <t>Thunder Punch power</t>
        </is>
      </c>
      <c r="D2017" s="76" t="n">
        <v>75</v>
      </c>
      <c r="E2017" s="76" t="n">
        <v>95</v>
      </c>
      <c r="F2017" s="76" t="inlineStr">
        <is>
          <t>Differs from upstream baseline</t>
        </is>
      </c>
      <c r="G2017" s="76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6" t="inlineStr">
        <is>
          <t>2026-09-30</t>
        </is>
      </c>
      <c r="B2019" s="76" t="inlineStr">
        <is>
          <t>Moves</t>
        </is>
      </c>
      <c r="C2019" s="76" t="inlineStr">
        <is>
          <t>Tickle pp</t>
        </is>
      </c>
      <c r="D2019" s="76" t="n">
        <v>20</v>
      </c>
      <c r="E2019" s="76" t="n">
        <v>6</v>
      </c>
      <c r="F2019" s="76" t="inlineStr">
        <is>
          <t>Differs from upstream baseline</t>
        </is>
      </c>
      <c r="G2019" s="76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6" t="inlineStr">
        <is>
          <t>2026-09-30</t>
        </is>
      </c>
      <c r="B2021" s="76" t="inlineStr">
        <is>
          <t>Moves</t>
        </is>
      </c>
      <c r="C2021" s="76" t="inlineStr">
        <is>
          <t>Trick Room pp</t>
        </is>
      </c>
      <c r="D2021" s="76" t="n">
        <v>5</v>
      </c>
      <c r="E2021" s="76" t="n">
        <v>1</v>
      </c>
      <c r="F2021" s="76" t="inlineStr">
        <is>
          <t>Differs from upstream baseline</t>
        </is>
      </c>
      <c r="G2021" s="76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6" t="inlineStr">
        <is>
          <t>2026-09-30</t>
        </is>
      </c>
      <c r="B2023" s="76" t="inlineStr">
        <is>
          <t>Moves</t>
        </is>
      </c>
      <c r="C2023" s="76" t="inlineStr">
        <is>
          <t>Triple Axel accuracy</t>
        </is>
      </c>
      <c r="D2023" s="76" t="n">
        <v>90</v>
      </c>
      <c r="E2023" s="76" t="n">
        <v>100</v>
      </c>
      <c r="F2023" s="76" t="inlineStr">
        <is>
          <t>Differs from upstream baseline</t>
        </is>
      </c>
      <c r="G2023" s="76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6" t="inlineStr">
        <is>
          <t>2026-09-30</t>
        </is>
      </c>
      <c r="B2025" s="76" t="inlineStr">
        <is>
          <t>Moves</t>
        </is>
      </c>
      <c r="C2025" s="76" t="inlineStr">
        <is>
          <t>Triple Kick power</t>
        </is>
      </c>
      <c r="D2025" s="76" t="n">
        <v>10</v>
      </c>
      <c r="E2025" s="76" t="n">
        <v>30</v>
      </c>
      <c r="F2025" s="76" t="inlineStr">
        <is>
          <t>Differs from upstream baseline</t>
        </is>
      </c>
      <c r="G2025" s="76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6" t="inlineStr">
        <is>
          <t>2026-09-30</t>
        </is>
      </c>
      <c r="B2027" s="76" t="inlineStr">
        <is>
          <t>Moves</t>
        </is>
      </c>
      <c r="C2027" s="76" t="inlineStr">
        <is>
          <t>Tri Attack power</t>
        </is>
      </c>
      <c r="D2027" s="76" t="n">
        <v>80</v>
      </c>
      <c r="E2027" s="76" t="n">
        <v>95</v>
      </c>
      <c r="F2027" s="76" t="inlineStr">
        <is>
          <t>Differs from upstream baseline</t>
        </is>
      </c>
      <c r="G2027" s="76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6" t="inlineStr">
        <is>
          <t>2026-09-30</t>
        </is>
      </c>
      <c r="B2029" s="76" t="inlineStr">
        <is>
          <t>Moves</t>
        </is>
      </c>
      <c r="C2029" s="76" t="inlineStr">
        <is>
          <t>Twineedle power</t>
        </is>
      </c>
      <c r="D2029" s="76" t="n">
        <v>25</v>
      </c>
      <c r="E2029" s="76" t="n">
        <v>50</v>
      </c>
      <c r="F2029" s="76" t="inlineStr">
        <is>
          <t>Differs from upstream baseline</t>
        </is>
      </c>
      <c r="G2029" s="76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6" t="inlineStr">
        <is>
          <t>2026-09-30</t>
        </is>
      </c>
      <c r="B2031" s="76" t="inlineStr">
        <is>
          <t>Moves</t>
        </is>
      </c>
      <c r="C2031" s="76" t="inlineStr">
        <is>
          <t>Twister pp</t>
        </is>
      </c>
      <c r="D2031" s="76" t="n">
        <v>20</v>
      </c>
      <c r="E2031" s="76" t="n">
        <v>15</v>
      </c>
      <c r="F2031" s="76" t="inlineStr">
        <is>
          <t>Differs from upstream baseline</t>
        </is>
      </c>
      <c r="G2031" s="76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6" t="inlineStr">
        <is>
          <t>2026-09-30</t>
        </is>
      </c>
      <c r="B2033" s="76" t="inlineStr">
        <is>
          <t>Moves</t>
        </is>
      </c>
      <c r="C2033" s="76" t="inlineStr">
        <is>
          <t>U-turn power</t>
        </is>
      </c>
      <c r="D2033" s="76" t="n">
        <v>70</v>
      </c>
      <c r="E2033" s="76" t="n">
        <v>80</v>
      </c>
      <c r="F2033" s="76" t="inlineStr">
        <is>
          <t>Differs from upstream baseline</t>
        </is>
      </c>
      <c r="G2033" s="76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6" t="inlineStr">
        <is>
          <t>2026-09-30</t>
        </is>
      </c>
      <c r="B2035" s="76" t="inlineStr">
        <is>
          <t>Moves</t>
        </is>
      </c>
      <c r="C2035" s="76" t="inlineStr">
        <is>
          <t>Vine Whip power</t>
        </is>
      </c>
      <c r="D2035" s="76" t="n">
        <v>45</v>
      </c>
      <c r="E2035" s="76" t="n">
        <v>35</v>
      </c>
      <c r="F2035" s="76" t="inlineStr">
        <is>
          <t>Differs from upstream baseline</t>
        </is>
      </c>
      <c r="G2035" s="76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6" t="inlineStr">
        <is>
          <t>2026-09-30</t>
        </is>
      </c>
      <c r="B2037" s="76" t="inlineStr">
        <is>
          <t>Moves</t>
        </is>
      </c>
      <c r="C2037" s="76" t="inlineStr">
        <is>
          <t>Vise Grip power</t>
        </is>
      </c>
      <c r="D2037" s="76" t="n">
        <v>55</v>
      </c>
      <c r="E2037" s="76" t="n">
        <v>90</v>
      </c>
      <c r="F2037" s="76" t="inlineStr">
        <is>
          <t>Differs from upstream baseline</t>
        </is>
      </c>
      <c r="G2037" s="76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6" t="inlineStr">
        <is>
          <t>2026-09-30</t>
        </is>
      </c>
      <c r="B2039" s="76" t="inlineStr">
        <is>
          <t>Moves</t>
        </is>
      </c>
      <c r="C2039" s="76" t="inlineStr">
        <is>
          <t>Volt Switch power</t>
        </is>
      </c>
      <c r="D2039" s="76" t="n">
        <v>70</v>
      </c>
      <c r="E2039" s="76" t="n">
        <v>75</v>
      </c>
      <c r="F2039" s="76" t="inlineStr">
        <is>
          <t>Differs from upstream baseline</t>
        </is>
      </c>
      <c r="G2039" s="76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6" t="inlineStr">
        <is>
          <t>2026-09-30</t>
        </is>
      </c>
      <c r="B2041" s="76" t="inlineStr">
        <is>
          <t>Moves</t>
        </is>
      </c>
      <c r="C2041" s="76" t="inlineStr">
        <is>
          <t>Volt Tackle pp</t>
        </is>
      </c>
      <c r="D2041" s="76" t="n">
        <v>15</v>
      </c>
      <c r="E2041" s="76" t="n">
        <v>5</v>
      </c>
      <c r="F2041" s="76" t="inlineStr">
        <is>
          <t>Differs from upstream baseline</t>
        </is>
      </c>
      <c r="G2041" s="76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6" t="inlineStr">
        <is>
          <t>2026-09-30</t>
        </is>
      </c>
      <c r="B2043" s="76" t="inlineStr">
        <is>
          <t>Moves</t>
        </is>
      </c>
      <c r="C2043" s="76" t="inlineStr">
        <is>
          <t>Water Pulse accuracy</t>
        </is>
      </c>
      <c r="D2043" s="76" t="n">
        <v>100</v>
      </c>
      <c r="E2043" s="76" t="n">
        <v>0</v>
      </c>
      <c r="F2043" s="76" t="inlineStr">
        <is>
          <t>Differs from upstream baseline</t>
        </is>
      </c>
      <c r="G2043" s="76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6" t="inlineStr">
        <is>
          <t>2026-09-30</t>
        </is>
      </c>
      <c r="B2045" s="76" t="inlineStr">
        <is>
          <t>Moves</t>
        </is>
      </c>
      <c r="C2045" s="76" t="inlineStr">
        <is>
          <t>Whirlpool power</t>
        </is>
      </c>
      <c r="D2045" s="76" t="n">
        <v>35</v>
      </c>
      <c r="E2045" s="76" t="n">
        <v>90</v>
      </c>
      <c r="F2045" s="76" t="inlineStr">
        <is>
          <t>Differs from upstream baseline</t>
        </is>
      </c>
      <c r="G2045" s="76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6" t="inlineStr">
        <is>
          <t>2026-09-30</t>
        </is>
      </c>
      <c r="B2047" s="76" t="inlineStr">
        <is>
          <t>Moves</t>
        </is>
      </c>
      <c r="C2047" s="76" t="inlineStr">
        <is>
          <t>Whirlwind accuracy</t>
        </is>
      </c>
      <c r="D2047" s="76" t="n">
        <v>0</v>
      </c>
      <c r="E2047" s="76" t="n">
        <v>100</v>
      </c>
      <c r="F2047" s="76" t="inlineStr">
        <is>
          <t>Differs from upstream baseline</t>
        </is>
      </c>
      <c r="G2047" s="76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6" t="inlineStr">
        <is>
          <t>2026-09-30</t>
        </is>
      </c>
      <c r="B2049" s="76" t="inlineStr">
        <is>
          <t>Moves</t>
        </is>
      </c>
      <c r="C2049" s="76" t="inlineStr">
        <is>
          <t>Wild Charge pp</t>
        </is>
      </c>
      <c r="D2049" s="76" t="n">
        <v>15</v>
      </c>
      <c r="E2049" s="76" t="n">
        <v>20</v>
      </c>
      <c r="F2049" s="76" t="inlineStr">
        <is>
          <t>Differs from upstream baseline</t>
        </is>
      </c>
      <c r="G2049" s="76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6" t="inlineStr">
        <is>
          <t>2026-09-30</t>
        </is>
      </c>
      <c r="B2051" s="76" t="inlineStr">
        <is>
          <t>Moves</t>
        </is>
      </c>
      <c r="C2051" s="76" t="inlineStr">
        <is>
          <t>Withdraw pp</t>
        </is>
      </c>
      <c r="D2051" s="76" t="n">
        <v>40</v>
      </c>
      <c r="E2051" s="76" t="n">
        <v>5</v>
      </c>
      <c r="F2051" s="76" t="inlineStr">
        <is>
          <t>Differs from upstream baseline</t>
        </is>
      </c>
      <c r="G2051" s="76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6" t="inlineStr">
        <is>
          <t>2026-09-30</t>
        </is>
      </c>
      <c r="B2053" s="76" t="inlineStr">
        <is>
          <t>Moves</t>
        </is>
      </c>
      <c r="C2053" s="76" t="inlineStr">
        <is>
          <t>Wrap accuracy</t>
        </is>
      </c>
      <c r="D2053" s="76" t="n">
        <v>90</v>
      </c>
      <c r="E2053" s="76" t="n">
        <v>100</v>
      </c>
      <c r="F2053" s="76" t="inlineStr">
        <is>
          <t>Differs from upstream baseline</t>
        </is>
      </c>
      <c r="G2053" s="76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6" t="inlineStr">
        <is>
          <t>2026-09-30</t>
        </is>
      </c>
      <c r="B2055" s="76" t="inlineStr">
        <is>
          <t>Moves</t>
        </is>
      </c>
      <c r="C2055" s="76" t="inlineStr">
        <is>
          <t>Yawn accuracy</t>
        </is>
      </c>
      <c r="D2055" s="76" t="n">
        <v>0</v>
      </c>
      <c r="E2055" s="76" t="n">
        <v>70</v>
      </c>
      <c r="F2055" s="76" t="inlineStr">
        <is>
          <t>Differs from upstream baseline</t>
        </is>
      </c>
      <c r="G2055" s="76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6" t="inlineStr">
        <is>
          <t>2026-10-01</t>
        </is>
      </c>
      <c r="B2057" s="76" t="inlineStr">
        <is>
          <t>Abilities</t>
        </is>
      </c>
      <c r="C2057" s="76" t="inlineStr">
        <is>
          <t>Abomasnow abilities</t>
        </is>
      </c>
      <c r="D2057" s="76" t="inlineStr">
        <is>
          <t>Snow Warning / Soundproof</t>
        </is>
      </c>
      <c r="E2057" s="76" t="inlineStr">
        <is>
          <t>Adaptability / Adaptability / Soundproof</t>
        </is>
      </c>
      <c r="F2057" s="76" t="inlineStr">
        <is>
          <t>Differs from upstream baseline</t>
        </is>
      </c>
      <c r="G2057" s="76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6" t="inlineStr">
        <is>
          <t>2026-10-01</t>
        </is>
      </c>
      <c r="B2059" s="76" t="inlineStr">
        <is>
          <t>Abilities</t>
        </is>
      </c>
      <c r="C2059" s="76" t="inlineStr">
        <is>
          <t>Abra abilities</t>
        </is>
      </c>
      <c r="D2059" s="76" t="inlineStr">
        <is>
          <t>Synchronize / Inner Focus / Magic Guard</t>
        </is>
      </c>
      <c r="E2059" s="76" t="inlineStr">
        <is>
          <t>Magic Guard / Magic Guard / Magic Guard</t>
        </is>
      </c>
      <c r="F2059" s="76" t="inlineStr">
        <is>
          <t>Differs from upstream baseline</t>
        </is>
      </c>
      <c r="G2059" s="76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6" t="inlineStr">
        <is>
          <t>2026-10-01</t>
        </is>
      </c>
      <c r="B2061" s="76" t="inlineStr">
        <is>
          <t>Pokemon Stats</t>
        </is>
      </c>
      <c r="C2061" s="76" t="inlineStr">
        <is>
          <t>Absol baseSpAttack</t>
        </is>
      </c>
      <c r="D2061" s="76" t="n">
        <v>75</v>
      </c>
      <c r="E2061" s="76" t="n">
        <v>115</v>
      </c>
      <c r="F2061" s="76" t="inlineStr">
        <is>
          <t>Differs from upstream baseline</t>
        </is>
      </c>
      <c r="G2061" s="76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6" t="inlineStr">
        <is>
          <t>2026-10-01</t>
        </is>
      </c>
      <c r="B2063" s="76" t="inlineStr">
        <is>
          <t>Abilities</t>
        </is>
      </c>
      <c r="C2063" s="76" t="inlineStr">
        <is>
          <t>Absol abilities</t>
        </is>
      </c>
      <c r="D2063" s="76" t="inlineStr">
        <is>
          <t>Pressure / Super Luck / Justified</t>
        </is>
      </c>
      <c r="E2063" s="76" t="inlineStr">
        <is>
          <t>Super Luck / Super Luck / Justified</t>
        </is>
      </c>
      <c r="F2063" s="76" t="inlineStr">
        <is>
          <t>Differs from upstream baseline</t>
        </is>
      </c>
      <c r="G2063" s="76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6" t="inlineStr">
        <is>
          <t>2026-10-01</t>
        </is>
      </c>
      <c r="B2065" s="76" t="inlineStr">
        <is>
          <t>Pokemon Stats</t>
        </is>
      </c>
      <c r="C2065" s="76" t="inlineStr">
        <is>
          <t>Absol baseSpeed</t>
        </is>
      </c>
      <c r="D2065" s="76" t="n">
        <v>115</v>
      </c>
      <c r="E2065" s="76" t="n">
        <v>135</v>
      </c>
      <c r="F2065" s="76" t="inlineStr">
        <is>
          <t>Differs from upstream baseline</t>
        </is>
      </c>
      <c r="G2065" s="76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6" t="inlineStr">
        <is>
          <t>2026-10-01</t>
        </is>
      </c>
      <c r="B2067" s="76" t="inlineStr">
        <is>
          <t>Pokemon Stats</t>
        </is>
      </c>
      <c r="C2067" s="76" t="inlineStr">
        <is>
          <t>Accelgor baseAttack</t>
        </is>
      </c>
      <c r="D2067" s="76" t="n">
        <v>70</v>
      </c>
      <c r="E2067" s="76" t="n">
        <v>72</v>
      </c>
      <c r="F2067" s="76" t="inlineStr">
        <is>
          <t>Differs from upstream baseline</t>
        </is>
      </c>
      <c r="G2067" s="76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6" t="inlineStr">
        <is>
          <t>2026-10-01</t>
        </is>
      </c>
      <c r="B2069" s="76" t="inlineStr">
        <is>
          <t>Pokemon Stats</t>
        </is>
      </c>
      <c r="C2069" s="76" t="inlineStr">
        <is>
          <t>Accelgor baseSpAttack</t>
        </is>
      </c>
      <c r="D2069" s="76" t="n">
        <v>100</v>
      </c>
      <c r="E2069" s="76" t="n">
        <v>110</v>
      </c>
      <c r="F2069" s="76" t="inlineStr">
        <is>
          <t>Differs from upstream baseline</t>
        </is>
      </c>
      <c r="G2069" s="76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6" t="inlineStr">
        <is>
          <t>2026-10-01</t>
        </is>
      </c>
      <c r="B2071" s="76" t="inlineStr">
        <is>
          <t>Pokemon Stats</t>
        </is>
      </c>
      <c r="C2071" s="76" t="inlineStr">
        <is>
          <t>Aegislash baseHP</t>
        </is>
      </c>
      <c r="D2071" s="76" t="n">
        <v>60</v>
      </c>
      <c r="E2071" s="76" t="n">
        <v>64</v>
      </c>
      <c r="F2071" s="76" t="inlineStr">
        <is>
          <t>Differs from upstream baseline</t>
        </is>
      </c>
      <c r="G2071" s="76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6" t="inlineStr">
        <is>
          <t>2026-10-01</t>
        </is>
      </c>
      <c r="B2073" s="76" t="inlineStr">
        <is>
          <t>Pokemon Stats</t>
        </is>
      </c>
      <c r="C2073" s="76" t="inlineStr">
        <is>
          <t>Aegislash baseSpAttack</t>
        </is>
      </c>
      <c r="D2073" s="76" t="n">
        <v>50</v>
      </c>
      <c r="E2073" s="76" t="n">
        <v>52</v>
      </c>
      <c r="F2073" s="76" t="inlineStr">
        <is>
          <t>Differs from upstream baseline</t>
        </is>
      </c>
      <c r="G2073" s="76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6" t="inlineStr">
        <is>
          <t>2026-10-01</t>
        </is>
      </c>
      <c r="B2075" s="76" t="inlineStr">
        <is>
          <t>Abilities</t>
        </is>
      </c>
      <c r="C2075" s="76" t="inlineStr">
        <is>
          <t>Aerodactyl abilities</t>
        </is>
      </c>
      <c r="D2075" s="76" t="inlineStr">
        <is>
          <t>Rock Head / Pressure / Unnerve</t>
        </is>
      </c>
      <c r="E2075" s="76" t="inlineStr">
        <is>
          <t>Rock Head / Rock Head / Unnerve</t>
        </is>
      </c>
      <c r="F2075" s="76" t="inlineStr">
        <is>
          <t>Differs from upstream baseline</t>
        </is>
      </c>
      <c r="G2075" s="76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6" t="inlineStr">
        <is>
          <t>2026-10-01</t>
        </is>
      </c>
      <c r="B2077" s="76" t="inlineStr">
        <is>
          <t>Abilities</t>
        </is>
      </c>
      <c r="C2077" s="76" t="inlineStr">
        <is>
          <t>Aipom abilities</t>
        </is>
      </c>
      <c r="D2077" s="76" t="inlineStr">
        <is>
          <t>Run Away / Pickup / Skill Link</t>
        </is>
      </c>
      <c r="E2077" s="76" t="inlineStr">
        <is>
          <t>Technician / Technician / Skill Link</t>
        </is>
      </c>
      <c r="F2077" s="76" t="inlineStr">
        <is>
          <t>Differs from upstream baseline</t>
        </is>
      </c>
      <c r="G2077" s="76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6" t="inlineStr">
        <is>
          <t>2026-10-01</t>
        </is>
      </c>
      <c r="B2079" s="76" t="inlineStr">
        <is>
          <t>Abilities</t>
        </is>
      </c>
      <c r="C2079" s="76" t="inlineStr">
        <is>
          <t>Alakazam abilities</t>
        </is>
      </c>
      <c r="D2079" s="76" t="inlineStr">
        <is>
          <t>Synchronize / Inner Focus / Magic Guard</t>
        </is>
      </c>
      <c r="E2079" s="76" t="inlineStr">
        <is>
          <t>Magic Guard / Inner Focus / Magic Guard</t>
        </is>
      </c>
      <c r="F2079" s="76" t="inlineStr">
        <is>
          <t>Differs from upstream baseline</t>
        </is>
      </c>
      <c r="G2079" s="76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6" t="inlineStr">
        <is>
          <t>2026-10-01</t>
        </is>
      </c>
      <c r="B2081" s="76" t="inlineStr">
        <is>
          <t>Pokemon Stats</t>
        </is>
      </c>
      <c r="C2081" s="76" t="inlineStr">
        <is>
          <t>Alomomola baseAttack</t>
        </is>
      </c>
      <c r="D2081" s="76" t="n">
        <v>75</v>
      </c>
      <c r="E2081" s="76" t="n">
        <v>86</v>
      </c>
      <c r="F2081" s="76" t="inlineStr">
        <is>
          <t>Differs from upstream baseline</t>
        </is>
      </c>
      <c r="G2081" s="76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6" t="inlineStr">
        <is>
          <t>2026-10-01</t>
        </is>
      </c>
      <c r="B2083" s="76" t="inlineStr">
        <is>
          <t>Pokemon Stats</t>
        </is>
      </c>
      <c r="C2083" s="76" t="inlineStr">
        <is>
          <t>Alomomola baseSpDefense</t>
        </is>
      </c>
      <c r="D2083" s="76" t="n">
        <v>45</v>
      </c>
      <c r="E2083" s="76" t="n">
        <v>55</v>
      </c>
      <c r="F2083" s="76" t="inlineStr">
        <is>
          <t>Differs from upstream baseline</t>
        </is>
      </c>
      <c r="G2083" s="76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6" t="inlineStr">
        <is>
          <t>2026-10-01</t>
        </is>
      </c>
      <c r="B2085" s="76" t="inlineStr">
        <is>
          <t>Pokemon Stats</t>
        </is>
      </c>
      <c r="C2085" s="76" t="inlineStr">
        <is>
          <t>Altaria baseAttack</t>
        </is>
      </c>
      <c r="D2085" s="76" t="n">
        <v>70</v>
      </c>
      <c r="E2085" s="76" t="n">
        <v>80</v>
      </c>
      <c r="F2085" s="76" t="inlineStr">
        <is>
          <t>Differs from upstream baseline</t>
        </is>
      </c>
      <c r="G2085" s="76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6" t="inlineStr">
        <is>
          <t>2026-10-01</t>
        </is>
      </c>
      <c r="B2087" s="76" t="inlineStr">
        <is>
          <t>Abilities</t>
        </is>
      </c>
      <c r="C2087" s="76" t="inlineStr">
        <is>
          <t>Altaria abilities</t>
        </is>
      </c>
      <c r="D2087" s="76" t="inlineStr">
        <is>
          <t>Natural Cure / Cloud Nine</t>
        </is>
      </c>
      <c r="E2087" s="76" t="inlineStr">
        <is>
          <t>Serene Grace / Cloud Nine</t>
        </is>
      </c>
      <c r="F2087" s="76" t="inlineStr">
        <is>
          <t>Differs from upstream baseline</t>
        </is>
      </c>
      <c r="G2087" s="76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6" t="inlineStr">
        <is>
          <t>2026-10-01</t>
        </is>
      </c>
      <c r="B2089" s="76" t="inlineStr">
        <is>
          <t>Pokemon Stats</t>
        </is>
      </c>
      <c r="C2089" s="76" t="inlineStr">
        <is>
          <t>Altaria baseSpAttack</t>
        </is>
      </c>
      <c r="D2089" s="76" t="n">
        <v>110</v>
      </c>
      <c r="E2089" s="76" t="n">
        <v>120</v>
      </c>
      <c r="F2089" s="76" t="inlineStr">
        <is>
          <t>Differs from upstream baseline</t>
        </is>
      </c>
      <c r="G2089" s="76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6" t="inlineStr">
        <is>
          <t>2026-10-01</t>
        </is>
      </c>
      <c r="B2091" s="76" t="inlineStr">
        <is>
          <t>Abilities</t>
        </is>
      </c>
      <c r="C2091" s="76" t="inlineStr">
        <is>
          <t>Ambipom abilities</t>
        </is>
      </c>
      <c r="D2091" s="76" t="inlineStr">
        <is>
          <t>Technician / Pickup / Skill Link</t>
        </is>
      </c>
      <c r="E2091" s="76" t="inlineStr">
        <is>
          <t>Technician / Technician / Skill Link</t>
        </is>
      </c>
      <c r="F2091" s="76" t="inlineStr">
        <is>
          <t>Differs from upstream baseline</t>
        </is>
      </c>
      <c r="G2091" s="76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6" t="inlineStr">
        <is>
          <t>2026-10-01</t>
        </is>
      </c>
      <c r="B2093" s="76" t="inlineStr">
        <is>
          <t>Pokemon Stats</t>
        </is>
      </c>
      <c r="C2093" s="76" t="inlineStr">
        <is>
          <t>Amoonguss baseSpeed</t>
        </is>
      </c>
      <c r="D2093" s="76" t="n">
        <v>30</v>
      </c>
      <c r="E2093" s="76" t="n">
        <v>32</v>
      </c>
      <c r="F2093" s="76" t="inlineStr">
        <is>
          <t>Differs from upstream baseline</t>
        </is>
      </c>
      <c r="G2093" s="76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6" t="inlineStr">
        <is>
          <t>2026-10-01</t>
        </is>
      </c>
      <c r="B2095" s="76" t="inlineStr">
        <is>
          <t>Pokemon Stats</t>
        </is>
      </c>
      <c r="C2095" s="76" t="inlineStr">
        <is>
          <t>Ampharos baseSpAttack</t>
        </is>
      </c>
      <c r="D2095" s="76" t="n">
        <v>115</v>
      </c>
      <c r="E2095" s="76" t="n">
        <v>125</v>
      </c>
      <c r="F2095" s="76" t="inlineStr">
        <is>
          <t>Differs from upstream baseline</t>
        </is>
      </c>
      <c r="G2095" s="76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6" t="inlineStr">
        <is>
          <t>2026-10-01</t>
        </is>
      </c>
      <c r="B2097" s="76" t="inlineStr">
        <is>
          <t>Pokemon Stats</t>
        </is>
      </c>
      <c r="C2097" s="76" t="inlineStr">
        <is>
          <t>Ampharos baseDefense</t>
        </is>
      </c>
      <c r="D2097" s="76" t="n">
        <v>20</v>
      </c>
      <c r="E2097" s="76" t="n">
        <v>95</v>
      </c>
      <c r="F2097" s="76" t="inlineStr">
        <is>
          <t>Differs from upstream baseline</t>
        </is>
      </c>
      <c r="G2097" s="76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6" t="inlineStr">
        <is>
          <t>2026-10-01</t>
        </is>
      </c>
      <c r="B2099" s="76" t="inlineStr">
        <is>
          <t>Pokemon Stats</t>
        </is>
      </c>
      <c r="C2099" s="76" t="inlineStr">
        <is>
          <t>Annihilape baseAttack</t>
        </is>
      </c>
      <c r="D2099" s="76" t="n">
        <v>115</v>
      </c>
      <c r="E2099" s="76" t="n">
        <v>126</v>
      </c>
      <c r="F2099" s="76" t="inlineStr">
        <is>
          <t>Differs from upstream baseline</t>
        </is>
      </c>
      <c r="G2099" s="76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6" t="inlineStr">
        <is>
          <t>2026-10-01</t>
        </is>
      </c>
      <c r="B2101" s="76" t="inlineStr">
        <is>
          <t>Pokemon Stats</t>
        </is>
      </c>
      <c r="C2101" s="76" t="inlineStr">
        <is>
          <t>Annihilape baseSpeed</t>
        </is>
      </c>
      <c r="D2101" s="76" t="n">
        <v>90</v>
      </c>
      <c r="E2101" s="76" t="n">
        <v>99</v>
      </c>
      <c r="F2101" s="76" t="inlineStr">
        <is>
          <t>Differs from upstream baseline</t>
        </is>
      </c>
      <c r="G2101" s="76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6" t="inlineStr">
        <is>
          <t>2026-10-01</t>
        </is>
      </c>
      <c r="B2103" s="76" t="inlineStr">
        <is>
          <t>Abilities</t>
        </is>
      </c>
      <c r="C2103" s="76" t="inlineStr">
        <is>
          <t>Arbok abilities</t>
        </is>
      </c>
      <c r="D2103" s="76" t="inlineStr">
        <is>
          <t>Intimidate / Shed Skin / Unnerve</t>
        </is>
      </c>
      <c r="E2103" s="76" t="inlineStr">
        <is>
          <t>Intimidate / Intimidate / Unnerve</t>
        </is>
      </c>
      <c r="F2103" s="76" t="inlineStr">
        <is>
          <t>Differs from upstream baseline</t>
        </is>
      </c>
      <c r="G2103" s="76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6" t="inlineStr">
        <is>
          <t>2026-10-01</t>
        </is>
      </c>
      <c r="B2105" s="76" t="inlineStr">
        <is>
          <t>Pokemon Stats</t>
        </is>
      </c>
      <c r="C2105" s="76" t="inlineStr">
        <is>
          <t>Archeops baseHP</t>
        </is>
      </c>
      <c r="D2105" s="76" t="n">
        <v>75</v>
      </c>
      <c r="E2105" s="76" t="n">
        <v>85</v>
      </c>
      <c r="F2105" s="76" t="inlineStr">
        <is>
          <t>Differs from upstream baseline</t>
        </is>
      </c>
      <c r="G2105" s="76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6" t="inlineStr">
        <is>
          <t>2026-10-01</t>
        </is>
      </c>
      <c r="B2107" s="76" t="inlineStr">
        <is>
          <t>Abilities</t>
        </is>
      </c>
      <c r="C2107" s="76" t="inlineStr">
        <is>
          <t>Archeops abilities</t>
        </is>
      </c>
      <c r="D2107" s="76" t="inlineStr">
        <is>
          <t>Defeatist</t>
        </is>
      </c>
      <c r="E2107" s="76" t="inlineStr">
        <is>
          <t>Defeatist / Unburden / Early Bird</t>
        </is>
      </c>
      <c r="F2107" s="76" t="inlineStr">
        <is>
          <t>Differs from upstream baseline</t>
        </is>
      </c>
      <c r="G2107" s="76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6" t="inlineStr">
        <is>
          <t>2026-10-01</t>
        </is>
      </c>
      <c r="B2109" s="76" t="inlineStr">
        <is>
          <t>Pokemon Stats</t>
        </is>
      </c>
      <c r="C2109" s="76" t="inlineStr">
        <is>
          <t>Ariados baseDefense</t>
        </is>
      </c>
      <c r="D2109" s="76" t="n">
        <v>70</v>
      </c>
      <c r="E2109" s="76" t="n">
        <v>80</v>
      </c>
      <c r="F2109" s="76" t="inlineStr">
        <is>
          <t>Differs from upstream baseline</t>
        </is>
      </c>
      <c r="G2109" s="76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6" t="inlineStr">
        <is>
          <t>2026-10-01</t>
        </is>
      </c>
      <c r="B2111" s="76" t="inlineStr">
        <is>
          <t>Pokemon Stats</t>
        </is>
      </c>
      <c r="C2111" s="76" t="inlineStr">
        <is>
          <t>Ariados baseSpeed</t>
        </is>
      </c>
      <c r="D2111" s="76" t="n">
        <v>40</v>
      </c>
      <c r="E2111" s="76" t="n">
        <v>70</v>
      </c>
      <c r="F2111" s="76" t="inlineStr">
        <is>
          <t>Differs from upstream baseline</t>
        </is>
      </c>
      <c r="G2111" s="76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6" t="inlineStr">
        <is>
          <t>2026-10-01</t>
        </is>
      </c>
      <c r="B2113" s="76" t="inlineStr">
        <is>
          <t>Abilities</t>
        </is>
      </c>
      <c r="C2113" s="76" t="inlineStr">
        <is>
          <t>Armaldo abilities</t>
        </is>
      </c>
      <c r="D2113" s="76" t="inlineStr">
        <is>
          <t>Battle Armor / Swift Swim</t>
        </is>
      </c>
      <c r="E2113" s="76" t="inlineStr">
        <is>
          <t>Swift Swim / Battle Armor / Swift Swim</t>
        </is>
      </c>
      <c r="F2113" s="76" t="inlineStr">
        <is>
          <t>Differs from upstream baseline</t>
        </is>
      </c>
      <c r="G2113" s="76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6" t="inlineStr">
        <is>
          <t>2026-10-01</t>
        </is>
      </c>
      <c r="B2115" s="76" t="inlineStr">
        <is>
          <t>Pokemon Stats</t>
        </is>
      </c>
      <c r="C2115" s="76" t="inlineStr">
        <is>
          <t>Aromatisse baseDefense</t>
        </is>
      </c>
      <c r="D2115" s="76" t="n">
        <v>72</v>
      </c>
      <c r="E2115" s="76" t="n">
        <v>73</v>
      </c>
      <c r="F2115" s="76" t="inlineStr">
        <is>
          <t>Differs from upstream baseline</t>
        </is>
      </c>
      <c r="G2115" s="76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6" t="inlineStr">
        <is>
          <t>2026-10-01</t>
        </is>
      </c>
      <c r="B2117" s="76" t="inlineStr">
        <is>
          <t>Pokemon Stats</t>
        </is>
      </c>
      <c r="C2117" s="76" t="inlineStr">
        <is>
          <t>Aromatisse baseSpeed</t>
        </is>
      </c>
      <c r="D2117" s="76" t="n">
        <v>29</v>
      </c>
      <c r="E2117" s="76" t="n">
        <v>33</v>
      </c>
      <c r="F2117" s="76" t="inlineStr">
        <is>
          <t>Differs from upstream baseline</t>
        </is>
      </c>
      <c r="G2117" s="76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6" t="inlineStr">
        <is>
          <t>2026-10-01</t>
        </is>
      </c>
      <c r="B2119" s="76" t="inlineStr">
        <is>
          <t>Pokemon Stats</t>
        </is>
      </c>
      <c r="C2119" s="76" t="inlineStr">
        <is>
          <t>Aron baseDefense</t>
        </is>
      </c>
      <c r="D2119" s="76" t="n">
        <v>100</v>
      </c>
      <c r="E2119" s="76" t="n">
        <v>120</v>
      </c>
      <c r="F2119" s="76" t="inlineStr">
        <is>
          <t>Differs from upstream baseline</t>
        </is>
      </c>
      <c r="G2119" s="76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6" t="inlineStr">
        <is>
          <t>2026-10-01</t>
        </is>
      </c>
      <c r="B2121" s="76" t="inlineStr">
        <is>
          <t>Pokemon Stats</t>
        </is>
      </c>
      <c r="C2121" s="76" t="inlineStr">
        <is>
          <t>Articuno baseSpAttack</t>
        </is>
      </c>
      <c r="D2121" s="76" t="n">
        <v>95</v>
      </c>
      <c r="E2121" s="76" t="n">
        <v>125</v>
      </c>
      <c r="F2121" s="76" t="inlineStr">
        <is>
          <t>Differs from upstream baseline</t>
        </is>
      </c>
      <c r="G2121" s="76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6" t="inlineStr">
        <is>
          <t>2026-10-01</t>
        </is>
      </c>
      <c r="B2123" s="76" t="inlineStr">
        <is>
          <t>Abilities</t>
        </is>
      </c>
      <c r="C2123" s="76" t="inlineStr">
        <is>
          <t>Articuno abilities</t>
        </is>
      </c>
      <c r="D2123" s="76" t="inlineStr">
        <is>
          <t>Pressure / Snow Cloak</t>
        </is>
      </c>
      <c r="E2123" s="76" t="inlineStr">
        <is>
          <t>Snow Cloak / Snow Cloak / Snow Cloak</t>
        </is>
      </c>
      <c r="F2123" s="76" t="inlineStr">
        <is>
          <t>Differs from upstream baseline</t>
        </is>
      </c>
      <c r="G2123" s="76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6" t="inlineStr">
        <is>
          <t>2026-10-01</t>
        </is>
      </c>
      <c r="B2125" s="76" t="inlineStr">
        <is>
          <t>Pokemon Stats</t>
        </is>
      </c>
      <c r="C2125" s="76" t="inlineStr">
        <is>
          <t>Audino baseDefense</t>
        </is>
      </c>
      <c r="D2125" s="76" t="n">
        <v>86</v>
      </c>
      <c r="E2125" s="76" t="n">
        <v>101</v>
      </c>
      <c r="F2125" s="76" t="inlineStr">
        <is>
          <t>Differs from upstream baseline</t>
        </is>
      </c>
      <c r="G2125" s="76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6" t="inlineStr">
        <is>
          <t>2026-10-01</t>
        </is>
      </c>
      <c r="B2127" s="76" t="inlineStr">
        <is>
          <t>Pokemon Stats</t>
        </is>
      </c>
      <c r="C2127" s="76" t="inlineStr">
        <is>
          <t>Audino baseSpeed</t>
        </is>
      </c>
      <c r="D2127" s="76" t="n">
        <v>50</v>
      </c>
      <c r="E2127" s="76" t="n">
        <v>77</v>
      </c>
      <c r="F2127" s="76" t="inlineStr">
        <is>
          <t>Differs from upstream baseline</t>
        </is>
      </c>
      <c r="G2127" s="76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6" t="inlineStr">
        <is>
          <t>2026-10-01</t>
        </is>
      </c>
      <c r="B2129" s="76" t="inlineStr">
        <is>
          <t>Pokemon Stats</t>
        </is>
      </c>
      <c r="C2129" s="76" t="inlineStr">
        <is>
          <t>Aurorus baseHP</t>
        </is>
      </c>
      <c r="D2129" s="76" t="n">
        <v>123</v>
      </c>
      <c r="E2129" s="76" t="n">
        <v>138</v>
      </c>
      <c r="F2129" s="76" t="inlineStr">
        <is>
          <t>Differs from upstream baseline</t>
        </is>
      </c>
      <c r="G2129" s="76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6" t="inlineStr">
        <is>
          <t>2026-10-01</t>
        </is>
      </c>
      <c r="B2131" s="76" t="inlineStr">
        <is>
          <t>Abilities</t>
        </is>
      </c>
      <c r="C2131" s="76" t="inlineStr">
        <is>
          <t>Aurorus abilities</t>
        </is>
      </c>
      <c r="D2131" s="76" t="inlineStr">
        <is>
          <t>Refrigerate / Snow Warning</t>
        </is>
      </c>
      <c r="E2131" s="76" t="inlineStr">
        <is>
          <t>Refrigerate / Refrigerate / Filter</t>
        </is>
      </c>
      <c r="F2131" s="76" t="inlineStr">
        <is>
          <t>Differs from upstream baseline</t>
        </is>
      </c>
      <c r="G2131" s="76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6" t="inlineStr">
        <is>
          <t>2026-10-01</t>
        </is>
      </c>
      <c r="B2133" s="76" t="inlineStr">
        <is>
          <t>Pokemon Stats</t>
        </is>
      </c>
      <c r="C2133" s="76" t="inlineStr">
        <is>
          <t>Avalugg baseSpAttack</t>
        </is>
      </c>
      <c r="D2133" s="76" t="n">
        <v>44</v>
      </c>
      <c r="E2133" s="76" t="n">
        <v>30</v>
      </c>
      <c r="F2133" s="76" t="inlineStr">
        <is>
          <t>Differs from upstream baseline</t>
        </is>
      </c>
      <c r="G2133" s="76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6" t="inlineStr">
        <is>
          <t>2026-10-01</t>
        </is>
      </c>
      <c r="B2135" s="76" t="inlineStr">
        <is>
          <t>Pokemon Stats</t>
        </is>
      </c>
      <c r="C2135" s="76" t="inlineStr">
        <is>
          <t>Azelf baseAttack</t>
        </is>
      </c>
      <c r="D2135" s="76" t="n">
        <v>125</v>
      </c>
      <c r="E2135" s="76" t="n">
        <v>135</v>
      </c>
      <c r="F2135" s="76" t="inlineStr">
        <is>
          <t>Differs from upstream baseline</t>
        </is>
      </c>
      <c r="G2135" s="76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6" t="inlineStr">
        <is>
          <t>2026-10-01</t>
        </is>
      </c>
      <c r="B2137" s="76" t="inlineStr">
        <is>
          <t>Pokemon Stats</t>
        </is>
      </c>
      <c r="C2137" s="76" t="inlineStr">
        <is>
          <t>Azumarill baseAttack</t>
        </is>
      </c>
      <c r="D2137" s="76" t="n">
        <v>50</v>
      </c>
      <c r="E2137" s="76" t="n">
        <v>60</v>
      </c>
      <c r="F2137" s="76" t="inlineStr">
        <is>
          <t>Differs from upstream baseline</t>
        </is>
      </c>
      <c r="G2137" s="76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6" t="inlineStr">
        <is>
          <t>2026-10-01</t>
        </is>
      </c>
      <c r="B2139" s="76" t="inlineStr">
        <is>
          <t>Abilities</t>
        </is>
      </c>
      <c r="C2139" s="76" t="inlineStr">
        <is>
          <t>Azumarill abilities</t>
        </is>
      </c>
      <c r="D2139" s="76" t="inlineStr">
        <is>
          <t>Thick Fat / Huge Power / Sap Sipper</t>
        </is>
      </c>
      <c r="E2139" s="76" t="inlineStr">
        <is>
          <t>Huge Power / Huge Power / Sap Sipper</t>
        </is>
      </c>
      <c r="F2139" s="76" t="inlineStr">
        <is>
          <t>Differs from upstream baseline</t>
        </is>
      </c>
      <c r="G2139" s="76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6" t="inlineStr">
        <is>
          <t>2026-10-01</t>
        </is>
      </c>
      <c r="B2141" s="76" t="inlineStr">
        <is>
          <t>Abilities</t>
        </is>
      </c>
      <c r="C2141" s="76" t="inlineStr">
        <is>
          <t>Azurill abilities</t>
        </is>
      </c>
      <c r="D2141" s="76" t="inlineStr">
        <is>
          <t>Thick Fat / Huge Power / Sap Sipper</t>
        </is>
      </c>
      <c r="E2141" s="76" t="inlineStr">
        <is>
          <t>Huge Power / Huge Power / Sap Sipper</t>
        </is>
      </c>
      <c r="F2141" s="76" t="inlineStr">
        <is>
          <t>Differs from upstream baseline</t>
        </is>
      </c>
      <c r="G2141" s="76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6" t="inlineStr">
        <is>
          <t>2026-10-01</t>
        </is>
      </c>
      <c r="B2143" s="76" t="inlineStr">
        <is>
          <t>Abilities</t>
        </is>
      </c>
      <c r="C2143" s="76" t="inlineStr">
        <is>
          <t>Bagon abilities</t>
        </is>
      </c>
      <c r="D2143" s="76" t="inlineStr">
        <is>
          <t>Rock Head / Sheer Force</t>
        </is>
      </c>
      <c r="E2143" s="76" t="inlineStr">
        <is>
          <t>Rock Head / Rock Head / Sheer Force</t>
        </is>
      </c>
      <c r="F2143" s="76" t="inlineStr">
        <is>
          <t>Differs from upstream baseline</t>
        </is>
      </c>
      <c r="G2143" s="76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6" t="inlineStr">
        <is>
          <t>2026-10-01</t>
        </is>
      </c>
      <c r="B2145" s="76" t="inlineStr">
        <is>
          <t>Pokemon Stats</t>
        </is>
      </c>
      <c r="C2145" s="76" t="inlineStr">
        <is>
          <t>Banette baseSpeed</t>
        </is>
      </c>
      <c r="D2145" s="76" t="n">
        <v>65</v>
      </c>
      <c r="E2145" s="76" t="n">
        <v>85</v>
      </c>
      <c r="F2145" s="76" t="inlineStr">
        <is>
          <t>Differs from upstream baseline</t>
        </is>
      </c>
      <c r="G2145" s="76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6" t="inlineStr">
        <is>
          <t>2026-10-01</t>
        </is>
      </c>
      <c r="B2147" s="76" t="inlineStr">
        <is>
          <t>Pokemon Stats</t>
        </is>
      </c>
      <c r="C2147" s="76" t="inlineStr">
        <is>
          <t>Banette baseAttack</t>
        </is>
      </c>
      <c r="D2147" s="76" t="n">
        <v>165</v>
      </c>
      <c r="E2147" s="76" t="n">
        <v>175</v>
      </c>
      <c r="F2147" s="76" t="inlineStr">
        <is>
          <t>Differs from upstream baseline</t>
        </is>
      </c>
      <c r="G2147" s="76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6" t="inlineStr">
        <is>
          <t>2026-10-01</t>
        </is>
      </c>
      <c r="B2149" s="76" t="inlineStr">
        <is>
          <t>Pokemon Stats</t>
        </is>
      </c>
      <c r="C2149" s="76" t="inlineStr">
        <is>
          <t>Barbaracle baseHP</t>
        </is>
      </c>
      <c r="D2149" s="76" t="n">
        <v>72</v>
      </c>
      <c r="E2149" s="76" t="n">
        <v>82</v>
      </c>
      <c r="F2149" s="76" t="inlineStr">
        <is>
          <t>Differs from upstream baseline</t>
        </is>
      </c>
      <c r="G2149" s="76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6" t="inlineStr">
        <is>
          <t>2026-10-01</t>
        </is>
      </c>
      <c r="B2151" s="76" t="inlineStr">
        <is>
          <t>Pokemon Stats</t>
        </is>
      </c>
      <c r="C2151" s="76" t="inlineStr">
        <is>
          <t>Barbaracle baseSpAttack</t>
        </is>
      </c>
      <c r="D2151" s="76" t="n">
        <v>54</v>
      </c>
      <c r="E2151" s="76" t="n">
        <v>30</v>
      </c>
      <c r="F2151" s="76" t="inlineStr">
        <is>
          <t>Differs from upstream baseline</t>
        </is>
      </c>
      <c r="G2151" s="76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6" t="inlineStr">
        <is>
          <t>2026-10-01</t>
        </is>
      </c>
      <c r="B2153" s="76" t="inlineStr">
        <is>
          <t>Pokemon Stats</t>
        </is>
      </c>
      <c r="C2153" s="76" t="inlineStr">
        <is>
          <t>Barbaracle baseSpeed</t>
        </is>
      </c>
      <c r="D2153" s="76" t="n">
        <v>68</v>
      </c>
      <c r="E2153" s="76" t="n">
        <v>79</v>
      </c>
      <c r="F2153" s="76" t="inlineStr">
        <is>
          <t>Differs from upstream baseline</t>
        </is>
      </c>
      <c r="G2153" s="76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6" t="inlineStr">
        <is>
          <t>2026-10-01</t>
        </is>
      </c>
      <c r="B2155" s="76" t="inlineStr">
        <is>
          <t>Pokemon Stats</t>
        </is>
      </c>
      <c r="C2155" s="76" t="inlineStr">
        <is>
          <t>Basculin baseDefense</t>
        </is>
      </c>
      <c r="D2155" s="76" t="n">
        <v>65</v>
      </c>
      <c r="E2155" s="76" t="n">
        <v>81</v>
      </c>
      <c r="F2155" s="76" t="inlineStr">
        <is>
          <t>Differs from upstream baseline</t>
        </is>
      </c>
      <c r="G2155" s="76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6" t="inlineStr">
        <is>
          <t>2026-10-01</t>
        </is>
      </c>
      <c r="B2157" s="76" t="inlineStr">
        <is>
          <t>Pokemon Stats</t>
        </is>
      </c>
      <c r="C2157" s="76" t="inlineStr">
        <is>
          <t>Basculin baseHP</t>
        </is>
      </c>
      <c r="D2157" s="76" t="n">
        <v>70</v>
      </c>
      <c r="E2157" s="76" t="n">
        <v>80</v>
      </c>
      <c r="F2157" s="76" t="inlineStr">
        <is>
          <t>Differs from upstream baseline</t>
        </is>
      </c>
      <c r="G2157" s="76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6" t="inlineStr">
        <is>
          <t>2026-10-01</t>
        </is>
      </c>
      <c r="B2159" s="76" t="inlineStr">
        <is>
          <t>Abilities</t>
        </is>
      </c>
      <c r="C2159" s="76" t="inlineStr">
        <is>
          <t>Basculin abilities</t>
        </is>
      </c>
      <c r="D2159" s="76" t="inlineStr">
        <is>
          <t>Reckless / Adaptability / Mold Breaker</t>
        </is>
      </c>
      <c r="E2159" s="76" t="inlineStr">
        <is>
          <t>Adaptability / Reckless / Mold Breaker</t>
        </is>
      </c>
      <c r="F2159" s="76" t="inlineStr">
        <is>
          <t>Differs from upstream baseline</t>
        </is>
      </c>
      <c r="G2159" s="76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6" t="inlineStr">
        <is>
          <t>2026-10-01</t>
        </is>
      </c>
      <c r="B2161" s="76" t="inlineStr">
        <is>
          <t>Pokemon Stats</t>
        </is>
      </c>
      <c r="C2161" s="76" t="inlineStr">
        <is>
          <t>Bastiodon baseHP</t>
        </is>
      </c>
      <c r="D2161" s="76" t="n">
        <v>60</v>
      </c>
      <c r="E2161" s="76" t="n">
        <v>80</v>
      </c>
      <c r="F2161" s="76" t="inlineStr">
        <is>
          <t>Differs from upstream baseline</t>
        </is>
      </c>
      <c r="G2161" s="76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6" t="inlineStr">
        <is>
          <t>2026-10-01</t>
        </is>
      </c>
      <c r="B2163" s="76" t="inlineStr">
        <is>
          <t>Pokemon Stats</t>
        </is>
      </c>
      <c r="C2163" s="76" t="inlineStr">
        <is>
          <t>Bastiodon baseSpAttack</t>
        </is>
      </c>
      <c r="D2163" s="76" t="n">
        <v>47</v>
      </c>
      <c r="E2163" s="76" t="n">
        <v>7</v>
      </c>
      <c r="F2163" s="76" t="inlineStr">
        <is>
          <t>Differs from upstream baseline</t>
        </is>
      </c>
      <c r="G2163" s="76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6" t="inlineStr">
        <is>
          <t>2026-10-01</t>
        </is>
      </c>
      <c r="B2165" s="76" t="inlineStr">
        <is>
          <t>Pokemon Stats</t>
        </is>
      </c>
      <c r="C2165" s="76" t="inlineStr">
        <is>
          <t>Beartic baseAttack</t>
        </is>
      </c>
      <c r="D2165" s="76" t="n">
        <v>130</v>
      </c>
      <c r="E2165" s="76" t="n">
        <v>152</v>
      </c>
      <c r="F2165" s="76" t="inlineStr">
        <is>
          <t>Differs from upstream baseline</t>
        </is>
      </c>
      <c r="G2165" s="76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6" t="inlineStr">
        <is>
          <t>2026-10-01</t>
        </is>
      </c>
      <c r="B2167" s="76" t="inlineStr">
        <is>
          <t>Pokemon Stats</t>
        </is>
      </c>
      <c r="C2167" s="76" t="inlineStr">
        <is>
          <t>Beartic baseSpDefense</t>
        </is>
      </c>
      <c r="D2167" s="76" t="n">
        <v>80</v>
      </c>
      <c r="E2167" s="76" t="n">
        <v>90</v>
      </c>
      <c r="F2167" s="76" t="inlineStr">
        <is>
          <t>Differs from upstream baseline</t>
        </is>
      </c>
      <c r="G2167" s="76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6" t="inlineStr">
        <is>
          <t>2026-10-01</t>
        </is>
      </c>
      <c r="B2169" s="76" t="inlineStr">
        <is>
          <t>Abilities</t>
        </is>
      </c>
      <c r="C2169" s="76" t="inlineStr">
        <is>
          <t>Beautifly abilities</t>
        </is>
      </c>
      <c r="D2169" s="76" t="inlineStr">
        <is>
          <t>Swarm / Rivalry</t>
        </is>
      </c>
      <c r="E2169" s="76" t="inlineStr">
        <is>
          <t>Tinted Lens / Shield Dust / Rivalry</t>
        </is>
      </c>
      <c r="F2169" s="76" t="inlineStr">
        <is>
          <t>Differs from upstream baseline</t>
        </is>
      </c>
      <c r="G2169" s="76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6" t="inlineStr">
        <is>
          <t>2026-10-01</t>
        </is>
      </c>
      <c r="B2171" s="76" t="inlineStr">
        <is>
          <t>Pokemon Stats</t>
        </is>
      </c>
      <c r="C2171" s="76" t="inlineStr">
        <is>
          <t>Beheeyem baseAttack</t>
        </is>
      </c>
      <c r="D2171" s="76" t="n">
        <v>75</v>
      </c>
      <c r="E2171" s="76" t="n">
        <v>35</v>
      </c>
      <c r="F2171" s="76" t="inlineStr">
        <is>
          <t>Differs from upstream baseline</t>
        </is>
      </c>
      <c r="G2171" s="76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6" t="inlineStr">
        <is>
          <t>2026-10-01</t>
        </is>
      </c>
      <c r="B2173" s="76" t="inlineStr">
        <is>
          <t>Pokemon Stats</t>
        </is>
      </c>
      <c r="C2173" s="76" t="inlineStr">
        <is>
          <t>Beheeyem baseSpAttack</t>
        </is>
      </c>
      <c r="D2173" s="76" t="n">
        <v>125</v>
      </c>
      <c r="E2173" s="76" t="n">
        <v>165</v>
      </c>
      <c r="F2173" s="76" t="inlineStr">
        <is>
          <t>Differs from upstream baseline</t>
        </is>
      </c>
      <c r="G2173" s="76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6" t="inlineStr">
        <is>
          <t>2026-10-01</t>
        </is>
      </c>
      <c r="B2175" s="76" t="inlineStr">
        <is>
          <t>Abilities</t>
        </is>
      </c>
      <c r="C2175" s="76" t="inlineStr">
        <is>
          <t>Beheeyem abilities</t>
        </is>
      </c>
      <c r="D2175" s="76" t="inlineStr">
        <is>
          <t>Telepathy / Synchronize / Analytic</t>
        </is>
      </c>
      <c r="E2175" s="76" t="inlineStr">
        <is>
          <t>Telepathy / Analytic / Trace</t>
        </is>
      </c>
      <c r="F2175" s="76" t="inlineStr">
        <is>
          <t>Differs from upstream baseline</t>
        </is>
      </c>
      <c r="G2175" s="76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6" t="inlineStr">
        <is>
          <t>2026-10-01</t>
        </is>
      </c>
      <c r="B2177" s="76" t="inlineStr">
        <is>
          <t>Pokemon Stats</t>
        </is>
      </c>
      <c r="C2177" s="76" t="inlineStr">
        <is>
          <t>Bellossom baseSpAttack</t>
        </is>
      </c>
      <c r="D2177" s="76" t="n">
        <v>90</v>
      </c>
      <c r="E2177" s="76" t="n">
        <v>100</v>
      </c>
      <c r="F2177" s="76" t="inlineStr">
        <is>
          <t>Differs from upstream baseline</t>
        </is>
      </c>
      <c r="G2177" s="76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6" t="inlineStr">
        <is>
          <t>2026-10-01</t>
        </is>
      </c>
      <c r="B2179" s="76" t="inlineStr">
        <is>
          <t>Pokemon Stats</t>
        </is>
      </c>
      <c r="C2179" s="76" t="inlineStr">
        <is>
          <t>Bisharp baseAttack</t>
        </is>
      </c>
      <c r="D2179" s="76" t="n">
        <v>125</v>
      </c>
      <c r="E2179" s="76" t="n">
        <v>141</v>
      </c>
      <c r="F2179" s="76" t="inlineStr">
        <is>
          <t>Differs from upstream baseline</t>
        </is>
      </c>
      <c r="G2179" s="76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6" t="inlineStr">
        <is>
          <t>2026-10-01</t>
        </is>
      </c>
      <c r="B2181" s="76" t="inlineStr">
        <is>
          <t>Pokemon Stats</t>
        </is>
      </c>
      <c r="C2181" s="76" t="inlineStr">
        <is>
          <t>Bisharp baseSpeed</t>
        </is>
      </c>
      <c r="D2181" s="76" t="n">
        <v>70</v>
      </c>
      <c r="E2181" s="76" t="n">
        <v>84</v>
      </c>
      <c r="F2181" s="76" t="inlineStr">
        <is>
          <t>Differs from upstream baseline</t>
        </is>
      </c>
      <c r="G2181" s="76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6" t="inlineStr">
        <is>
          <t>2026-10-01</t>
        </is>
      </c>
      <c r="B2183" s="76" t="inlineStr">
        <is>
          <t>Pokemon Stats</t>
        </is>
      </c>
      <c r="C2183" s="76" t="inlineStr">
        <is>
          <t>Blastoise baseSpAttack</t>
        </is>
      </c>
      <c r="D2183" s="76" t="n">
        <v>85</v>
      </c>
      <c r="E2183" s="76" t="n">
        <v>110</v>
      </c>
      <c r="F2183" s="76" t="inlineStr">
        <is>
          <t>Differs from upstream baseline</t>
        </is>
      </c>
      <c r="G2183" s="76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6" t="inlineStr">
        <is>
          <t>2026-10-01</t>
        </is>
      </c>
      <c r="B2185" s="76" t="inlineStr">
        <is>
          <t>Abilities</t>
        </is>
      </c>
      <c r="C2185" s="76" t="inlineStr">
        <is>
          <t>Blastoise abilities</t>
        </is>
      </c>
      <c r="D2185" s="76" t="inlineStr">
        <is>
          <t>Torrent / Rain Dish</t>
        </is>
      </c>
      <c r="E2185" s="76" t="inlineStr">
        <is>
          <t>Torrent / Shell Armor / Rain Dish</t>
        </is>
      </c>
      <c r="F2185" s="76" t="inlineStr">
        <is>
          <t>Differs from upstream baseline</t>
        </is>
      </c>
      <c r="G2185" s="76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6" t="inlineStr">
        <is>
          <t>2026-10-01</t>
        </is>
      </c>
      <c r="B2187" s="76" t="inlineStr">
        <is>
          <t>Pokemon Stats</t>
        </is>
      </c>
      <c r="C2187" s="76" t="inlineStr">
        <is>
          <t>Blastoise baseSpAttack</t>
        </is>
      </c>
      <c r="D2187" s="76" t="n">
        <v>135</v>
      </c>
      <c r="E2187" s="76" t="n">
        <v>160</v>
      </c>
      <c r="F2187" s="76" t="inlineStr">
        <is>
          <t>Differs from upstream baseline</t>
        </is>
      </c>
      <c r="G2187" s="76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6" t="inlineStr">
        <is>
          <t>2026-10-01</t>
        </is>
      </c>
      <c r="B2189" s="76" t="inlineStr">
        <is>
          <t>Pokemon Stats</t>
        </is>
      </c>
      <c r="C2189" s="76" t="inlineStr">
        <is>
          <t>Blaziken baseSpAttack</t>
        </is>
      </c>
      <c r="D2189" s="76" t="n">
        <v>130</v>
      </c>
      <c r="E2189" s="76" t="n">
        <v>135</v>
      </c>
      <c r="F2189" s="76" t="inlineStr">
        <is>
          <t>Differs from upstream baseline</t>
        </is>
      </c>
      <c r="G2189" s="76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6" t="inlineStr">
        <is>
          <t>2026-10-01</t>
        </is>
      </c>
      <c r="B2191" s="76" t="inlineStr">
        <is>
          <t>Pokemon Stats</t>
        </is>
      </c>
      <c r="C2191" s="76" t="inlineStr">
        <is>
          <t>Blissey baseDefense</t>
        </is>
      </c>
      <c r="D2191" s="76" t="n">
        <v>10</v>
      </c>
      <c r="E2191" s="76" t="n">
        <v>30</v>
      </c>
      <c r="F2191" s="76" t="inlineStr">
        <is>
          <t>Differs from upstream baseline</t>
        </is>
      </c>
      <c r="G2191" s="76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6" t="inlineStr">
        <is>
          <t>2026-10-01</t>
        </is>
      </c>
      <c r="B2193" s="76" t="inlineStr">
        <is>
          <t>Pokemon Stats</t>
        </is>
      </c>
      <c r="C2193" s="76" t="inlineStr">
        <is>
          <t>Blitzle baseHP</t>
        </is>
      </c>
      <c r="D2193" s="76" t="n">
        <v>45</v>
      </c>
      <c r="E2193" s="76" t="n">
        <v>46</v>
      </c>
      <c r="F2193" s="76" t="inlineStr">
        <is>
          <t>Differs from upstream baseline</t>
        </is>
      </c>
      <c r="G2193" s="76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6" t="inlineStr">
        <is>
          <t>2026-10-01</t>
        </is>
      </c>
      <c r="B2195" s="76" t="inlineStr">
        <is>
          <t>Pokemon Stats</t>
        </is>
      </c>
      <c r="C2195" s="76" t="inlineStr">
        <is>
          <t>Blitzle baseSpDefense</t>
        </is>
      </c>
      <c r="D2195" s="76" t="n">
        <v>32</v>
      </c>
      <c r="E2195" s="76" t="n">
        <v>36</v>
      </c>
      <c r="F2195" s="76" t="inlineStr">
        <is>
          <t>Differs from upstream baseline</t>
        </is>
      </c>
      <c r="G2195" s="76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6" t="inlineStr">
        <is>
          <t>2026-10-01</t>
        </is>
      </c>
      <c r="B2197" s="76" t="inlineStr">
        <is>
          <t>Pokemon Stats</t>
        </is>
      </c>
      <c r="C2197" s="76" t="inlineStr">
        <is>
          <t>Boldore baseSpAttack</t>
        </is>
      </c>
      <c r="D2197" s="76" t="n">
        <v>50</v>
      </c>
      <c r="E2197" s="76" t="n">
        <v>30</v>
      </c>
      <c r="F2197" s="76" t="inlineStr">
        <is>
          <t>Differs from upstream baseline</t>
        </is>
      </c>
      <c r="G2197" s="76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6" t="inlineStr">
        <is>
          <t>2026-10-01</t>
        </is>
      </c>
      <c r="B2199" s="76" t="inlineStr">
        <is>
          <t>Pokemon Stats</t>
        </is>
      </c>
      <c r="C2199" s="76" t="inlineStr">
        <is>
          <t>Bouffalant baseHP</t>
        </is>
      </c>
      <c r="D2199" s="76" t="n">
        <v>95</v>
      </c>
      <c r="E2199" s="76" t="n">
        <v>105</v>
      </c>
      <c r="F2199" s="76" t="inlineStr">
        <is>
          <t>Differs from upstream baseline</t>
        </is>
      </c>
      <c r="G2199" s="76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6" t="inlineStr">
        <is>
          <t>2026-10-01</t>
        </is>
      </c>
      <c r="B2201" s="76" t="inlineStr">
        <is>
          <t>Pokemon Stats</t>
        </is>
      </c>
      <c r="C2201" s="76" t="inlineStr">
        <is>
          <t>Bouffalant baseSpAttack</t>
        </is>
      </c>
      <c r="D2201" s="76" t="n">
        <v>40</v>
      </c>
      <c r="E2201" s="76" t="n">
        <v>30</v>
      </c>
      <c r="F2201" s="76" t="inlineStr">
        <is>
          <t>Differs from upstream baseline</t>
        </is>
      </c>
      <c r="G2201" s="76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6" t="inlineStr">
        <is>
          <t>2026-10-01</t>
        </is>
      </c>
      <c r="B2203" s="76" t="inlineStr">
        <is>
          <t>Pokemon Stats</t>
        </is>
      </c>
      <c r="C2203" s="76" t="inlineStr">
        <is>
          <t>Bouffalant baseSpeed</t>
        </is>
      </c>
      <c r="D2203" s="76" t="n">
        <v>55</v>
      </c>
      <c r="E2203" s="76" t="n">
        <v>64</v>
      </c>
      <c r="F2203" s="76" t="inlineStr">
        <is>
          <t>Differs from upstream baseline</t>
        </is>
      </c>
      <c r="G2203" s="76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6" t="inlineStr">
        <is>
          <t>2026-10-01</t>
        </is>
      </c>
      <c r="B2205" s="76" t="inlineStr">
        <is>
          <t>Pokemon Stats</t>
        </is>
      </c>
      <c r="C2205" s="76" t="inlineStr">
        <is>
          <t>Braviary baseSpAttack</t>
        </is>
      </c>
      <c r="D2205" s="76" t="n">
        <v>57</v>
      </c>
      <c r="E2205" s="76" t="n">
        <v>30</v>
      </c>
      <c r="F2205" s="76" t="inlineStr">
        <is>
          <t>Differs from upstream baseline</t>
        </is>
      </c>
      <c r="G2205" s="76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6" t="inlineStr">
        <is>
          <t>2026-10-01</t>
        </is>
      </c>
      <c r="B2207" s="76" t="inlineStr">
        <is>
          <t>Abilities</t>
        </is>
      </c>
      <c r="C2207" s="76" t="inlineStr">
        <is>
          <t>Breloom abilities</t>
        </is>
      </c>
      <c r="D2207" s="76" t="inlineStr">
        <is>
          <t>Effect Spore / Poison Heal / Technician</t>
        </is>
      </c>
      <c r="E2207" s="76" t="inlineStr">
        <is>
          <t>Technician / Technician / Technician</t>
        </is>
      </c>
      <c r="F2207" s="76" t="inlineStr">
        <is>
          <t>Differs from upstream baseline</t>
        </is>
      </c>
      <c r="G2207" s="76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6" t="inlineStr">
        <is>
          <t>2026-10-01</t>
        </is>
      </c>
      <c r="B2209" s="76" t="inlineStr">
        <is>
          <t>Pokemon Stats</t>
        </is>
      </c>
      <c r="C2209" s="76" t="inlineStr">
        <is>
          <t>Bronzong baseAttack</t>
        </is>
      </c>
      <c r="D2209" s="76" t="n">
        <v>89</v>
      </c>
      <c r="E2209" s="76" t="n">
        <v>99</v>
      </c>
      <c r="F2209" s="76" t="inlineStr">
        <is>
          <t>Differs from upstream baseline</t>
        </is>
      </c>
      <c r="G2209" s="76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6" t="inlineStr">
        <is>
          <t>2026-10-01</t>
        </is>
      </c>
      <c r="B2211" s="76" t="inlineStr">
        <is>
          <t>Abilities</t>
        </is>
      </c>
      <c r="C2211" s="76" t="inlineStr">
        <is>
          <t>Bronzong abilities</t>
        </is>
      </c>
      <c r="D2211" s="76" t="inlineStr">
        <is>
          <t>Levitate / Heatproof / Heavy Metal</t>
        </is>
      </c>
      <c r="E2211" s="76" t="inlineStr">
        <is>
          <t>Levitate / Levitate / Heavy Metal</t>
        </is>
      </c>
      <c r="F2211" s="76" t="inlineStr">
        <is>
          <t>Differs from upstream baseline</t>
        </is>
      </c>
      <c r="G2211" s="76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6" t="inlineStr">
        <is>
          <t>2026-10-01</t>
        </is>
      </c>
      <c r="B2213" s="76" t="inlineStr">
        <is>
          <t>Pokemon Stats</t>
        </is>
      </c>
      <c r="C2213" s="76" t="inlineStr">
        <is>
          <t>Bronzor baseAttack</t>
        </is>
      </c>
      <c r="D2213" s="76" t="n">
        <v>24</v>
      </c>
      <c r="E2213" s="76" t="n">
        <v>99</v>
      </c>
      <c r="F2213" s="76" t="inlineStr">
        <is>
          <t>Differs from upstream baseline</t>
        </is>
      </c>
      <c r="G2213" s="76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6" t="inlineStr">
        <is>
          <t>2026-10-01</t>
        </is>
      </c>
      <c r="B2215" s="76" t="inlineStr">
        <is>
          <t>Pokemon Stats</t>
        </is>
      </c>
      <c r="C2215" s="76" t="inlineStr">
        <is>
          <t>Bronzor baseSpAttack</t>
        </is>
      </c>
      <c r="D2215" s="76" t="n">
        <v>24</v>
      </c>
      <c r="E2215" s="76" t="n">
        <v>89</v>
      </c>
      <c r="F2215" s="76" t="inlineStr">
        <is>
          <t>Differs from upstream baseline</t>
        </is>
      </c>
      <c r="G2215" s="76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6" t="inlineStr">
        <is>
          <t>2026-10-01</t>
        </is>
      </c>
      <c r="B2217" s="76" t="inlineStr">
        <is>
          <t>Pokemon Stats</t>
        </is>
      </c>
      <c r="C2217" s="76" t="inlineStr">
        <is>
          <t>Bronzor baseSpeed</t>
        </is>
      </c>
      <c r="D2217" s="76" t="n">
        <v>23</v>
      </c>
      <c r="E2217" s="76" t="n">
        <v>33</v>
      </c>
      <c r="F2217" s="76" t="inlineStr">
        <is>
          <t>Differs from upstream baseline</t>
        </is>
      </c>
      <c r="G2217" s="76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6" t="inlineStr">
        <is>
          <t>2026-10-01</t>
        </is>
      </c>
      <c r="B2219" s="76" t="inlineStr">
        <is>
          <t>Abilities</t>
        </is>
      </c>
      <c r="C2219" s="76" t="inlineStr">
        <is>
          <t>Budew abilities</t>
        </is>
      </c>
      <c r="D2219" s="76" t="inlineStr">
        <is>
          <t>Natural Cure / Poison Point / Leaf Guard</t>
        </is>
      </c>
      <c r="E2219" s="76" t="inlineStr">
        <is>
          <t>Natural Cure / Natural Cure / Leaf Guard</t>
        </is>
      </c>
      <c r="F2219" s="76" t="inlineStr">
        <is>
          <t>Differs from upstream baseline</t>
        </is>
      </c>
      <c r="G2219" s="76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6" t="inlineStr">
        <is>
          <t>2026-10-01</t>
        </is>
      </c>
      <c r="B2221" s="76" t="inlineStr">
        <is>
          <t>Abilities</t>
        </is>
      </c>
      <c r="C2221" s="76" t="inlineStr">
        <is>
          <t>Bulbasaur abilities</t>
        </is>
      </c>
      <c r="D2221" s="76" t="inlineStr">
        <is>
          <t>Overgrow / Chlorophyll</t>
        </is>
      </c>
      <c r="E2221" s="76" t="inlineStr">
        <is>
          <t>Overgrow / Overgrow / Chlorophyll</t>
        </is>
      </c>
      <c r="F2221" s="76" t="inlineStr">
        <is>
          <t>Differs from upstream baseline</t>
        </is>
      </c>
      <c r="G2221" s="76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6" t="inlineStr">
        <is>
          <t>2026-10-01</t>
        </is>
      </c>
      <c r="B2223" s="76" t="inlineStr">
        <is>
          <t>Evolutions</t>
        </is>
      </c>
      <c r="C2223" s="76" t="inlineStr">
        <is>
          <t>Buneary evolution</t>
        </is>
      </c>
      <c r="D2223" s="76" t="inlineStr">
        <is>
          <t>Friendship -&gt; Lopunny</t>
        </is>
      </c>
      <c r="E2223" s="76" t="inlineStr">
        <is>
          <t>Lv 28 -&gt; Lopunny</t>
        </is>
      </c>
      <c r="F2223" s="76" t="inlineStr">
        <is>
          <t>Differs from upstream baseline</t>
        </is>
      </c>
      <c r="G2223" s="76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6" t="inlineStr">
        <is>
          <t>2026-10-01</t>
        </is>
      </c>
      <c r="B2225" s="76" t="inlineStr">
        <is>
          <t>Pokemon Stats</t>
        </is>
      </c>
      <c r="C2225" s="76" t="inlineStr">
        <is>
          <t>Bunnelby baseAttack</t>
        </is>
      </c>
      <c r="D2225" s="76" t="n">
        <v>36</v>
      </c>
      <c r="E2225" s="76" t="n">
        <v>57</v>
      </c>
      <c r="F2225" s="76" t="inlineStr">
        <is>
          <t>Differs from upstream baseline</t>
        </is>
      </c>
      <c r="G2225" s="76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6" t="inlineStr">
        <is>
          <t>2026-10-01</t>
        </is>
      </c>
      <c r="B2227" s="76" t="inlineStr">
        <is>
          <t>Pokemon Stats</t>
        </is>
      </c>
      <c r="C2227" s="76" t="inlineStr">
        <is>
          <t>Bunnelby baseSpAttack</t>
        </is>
      </c>
      <c r="D2227" s="76" t="n">
        <v>32</v>
      </c>
      <c r="E2227" s="76" t="n">
        <v>36</v>
      </c>
      <c r="F2227" s="76" t="inlineStr">
        <is>
          <t>Differs from upstream baseline</t>
        </is>
      </c>
      <c r="G2227" s="76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6" t="inlineStr">
        <is>
          <t>2026-10-01</t>
        </is>
      </c>
      <c r="B2229" s="76" t="inlineStr">
        <is>
          <t>Abilities</t>
        </is>
      </c>
      <c r="C2229" s="76" t="inlineStr">
        <is>
          <t>Burmy abilities</t>
        </is>
      </c>
      <c r="D2229" s="76" t="inlineStr">
        <is>
          <t>Shed Skin / Overcoat</t>
        </is>
      </c>
      <c r="E2229" s="76" t="inlineStr">
        <is>
          <t>Snow Cloak / Overcoat</t>
        </is>
      </c>
      <c r="F2229" s="76" t="inlineStr">
        <is>
          <t>Differs from upstream baseline</t>
        </is>
      </c>
      <c r="G2229" s="76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6" t="inlineStr">
        <is>
          <t>2026-10-01</t>
        </is>
      </c>
      <c r="B2231" s="76" t="inlineStr">
        <is>
          <t>Pokemon Stats</t>
        </is>
      </c>
      <c r="C2231" s="76" t="inlineStr">
        <is>
          <t>Cacnea baseSpDefense</t>
        </is>
      </c>
      <c r="D2231" s="76" t="n">
        <v>40</v>
      </c>
      <c r="E2231" s="76" t="n">
        <v>60</v>
      </c>
      <c r="F2231" s="76" t="inlineStr">
        <is>
          <t>Differs from upstream baseline</t>
        </is>
      </c>
      <c r="G2231" s="76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6" t="inlineStr">
        <is>
          <t>2026-10-01</t>
        </is>
      </c>
      <c r="B2233" s="76" t="inlineStr">
        <is>
          <t>Pokemon Stats</t>
        </is>
      </c>
      <c r="C2233" s="76" t="inlineStr">
        <is>
          <t>Cacturne baseSpDefense</t>
        </is>
      </c>
      <c r="D2233" s="76" t="n">
        <v>60</v>
      </c>
      <c r="E2233" s="76" t="n">
        <v>85</v>
      </c>
      <c r="F2233" s="76" t="inlineStr">
        <is>
          <t>Differs from upstream baseline</t>
        </is>
      </c>
      <c r="G2233" s="76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6" t="inlineStr">
        <is>
          <t>2026-10-01</t>
        </is>
      </c>
      <c r="B2235" s="76" t="inlineStr">
        <is>
          <t>Pokemon Stats</t>
        </is>
      </c>
      <c r="C2235" s="76" t="inlineStr">
        <is>
          <t>Camerupt baseDefense</t>
        </is>
      </c>
      <c r="D2235" s="76" t="n">
        <v>70</v>
      </c>
      <c r="E2235" s="76" t="n">
        <v>80</v>
      </c>
      <c r="F2235" s="76" t="inlineStr">
        <is>
          <t>Differs from upstream baseline</t>
        </is>
      </c>
      <c r="G2235" s="76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6" t="inlineStr">
        <is>
          <t>2026-10-01</t>
        </is>
      </c>
      <c r="B2237" s="76" t="inlineStr">
        <is>
          <t>Pokemon Stats</t>
        </is>
      </c>
      <c r="C2237" s="76" t="inlineStr">
        <is>
          <t>Camerupt baseDefense</t>
        </is>
      </c>
      <c r="D2237" s="76" t="n">
        <v>100</v>
      </c>
      <c r="E2237" s="76" t="n">
        <v>110</v>
      </c>
      <c r="F2237" s="76" t="inlineStr">
        <is>
          <t>Differs from upstream baseline</t>
        </is>
      </c>
      <c r="G2237" s="76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6" t="inlineStr">
        <is>
          <t>2026-10-01</t>
        </is>
      </c>
      <c r="B2239" s="76" t="inlineStr">
        <is>
          <t>Pokemon Stats</t>
        </is>
      </c>
      <c r="C2239" s="76" t="inlineStr">
        <is>
          <t>Carbink baseHP</t>
        </is>
      </c>
      <c r="D2239" s="76" t="n">
        <v>50</v>
      </c>
      <c r="E2239" s="76" t="n">
        <v>60</v>
      </c>
      <c r="F2239" s="76" t="inlineStr">
        <is>
          <t>Differs from upstream baseline</t>
        </is>
      </c>
      <c r="G2239" s="76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6" t="inlineStr">
        <is>
          <t>2026-10-01</t>
        </is>
      </c>
      <c r="B2241" s="76" t="inlineStr">
        <is>
          <t>Abilities</t>
        </is>
      </c>
      <c r="C2241" s="76" t="inlineStr">
        <is>
          <t>Carbink abilities</t>
        </is>
      </c>
      <c r="D2241" s="76" t="inlineStr">
        <is>
          <t>Clear Body / Sturdy</t>
        </is>
      </c>
      <c r="E2241" s="76" t="inlineStr">
        <is>
          <t>Clear Body / Sturdy / Magic Bounce</t>
        </is>
      </c>
      <c r="F2241" s="76" t="inlineStr">
        <is>
          <t>Differs from upstream baseline</t>
        </is>
      </c>
      <c r="G2241" s="76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6" t="inlineStr">
        <is>
          <t>2026-10-01</t>
        </is>
      </c>
      <c r="B2243" s="76" t="inlineStr">
        <is>
          <t>Pokemon Stats</t>
        </is>
      </c>
      <c r="C2243" s="76" t="inlineStr">
        <is>
          <t>Carnivine baseSpAttack</t>
        </is>
      </c>
      <c r="D2243" s="76" t="n">
        <v>90</v>
      </c>
      <c r="E2243" s="76" t="n">
        <v>100</v>
      </c>
      <c r="F2243" s="76" t="inlineStr">
        <is>
          <t>Differs from upstream baseline</t>
        </is>
      </c>
      <c r="G2243" s="76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6" t="inlineStr">
        <is>
          <t>2026-10-01</t>
        </is>
      </c>
      <c r="B2245" s="76" t="inlineStr">
        <is>
          <t>Abilities</t>
        </is>
      </c>
      <c r="C2245" s="76" t="inlineStr">
        <is>
          <t>Carnivine abilities</t>
        </is>
      </c>
      <c r="D2245" s="76" t="inlineStr">
        <is>
          <t>Levitate</t>
        </is>
      </c>
      <c r="E2245" s="76" t="inlineStr">
        <is>
          <t>Chlorophyll / Levitate</t>
        </is>
      </c>
      <c r="F2245" s="76" t="inlineStr">
        <is>
          <t>Differs from upstream baseline</t>
        </is>
      </c>
      <c r="G2245" s="76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6" t="inlineStr">
        <is>
          <t>2026-10-01</t>
        </is>
      </c>
      <c r="B2247" s="76" t="inlineStr">
        <is>
          <t>Pokemon Stats</t>
        </is>
      </c>
      <c r="C2247" s="76" t="inlineStr">
        <is>
          <t>Carracosta baseSpeed</t>
        </is>
      </c>
      <c r="D2247" s="76" t="n">
        <v>32</v>
      </c>
      <c r="E2247" s="76" t="n">
        <v>37</v>
      </c>
      <c r="F2247" s="76" t="inlineStr">
        <is>
          <t>Differs from upstream baseline</t>
        </is>
      </c>
      <c r="G2247" s="76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6" t="inlineStr">
        <is>
          <t>2026-10-01</t>
        </is>
      </c>
      <c r="B2249" s="76" t="inlineStr">
        <is>
          <t>Abilities</t>
        </is>
      </c>
      <c r="C2249" s="76" t="inlineStr">
        <is>
          <t>Cascoon abilities</t>
        </is>
      </c>
      <c r="D2249" s="76" t="inlineStr">
        <is>
          <t>Shed Skin</t>
        </is>
      </c>
      <c r="E2249" s="76" t="inlineStr">
        <is>
          <t>Shed Skin / Shed Skin</t>
        </is>
      </c>
      <c r="F2249" s="76" t="inlineStr">
        <is>
          <t>Differs from upstream baseline</t>
        </is>
      </c>
      <c r="G2249" s="76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6" t="inlineStr">
        <is>
          <t>2026-10-01</t>
        </is>
      </c>
      <c r="B2251" s="76" t="inlineStr">
        <is>
          <t>Pokemon Stats</t>
        </is>
      </c>
      <c r="C2251" s="76" t="inlineStr">
        <is>
          <t>Castform baseSpAttack</t>
        </is>
      </c>
      <c r="D2251" s="76" t="n">
        <v>70</v>
      </c>
      <c r="E2251" s="76" t="n">
        <v>110</v>
      </c>
      <c r="F2251" s="76" t="inlineStr">
        <is>
          <t>Differs from upstream baseline</t>
        </is>
      </c>
      <c r="G2251" s="76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6" t="inlineStr">
        <is>
          <t>2026-10-01</t>
        </is>
      </c>
      <c r="B2253" s="76" t="inlineStr">
        <is>
          <t>Pokemon Stats</t>
        </is>
      </c>
      <c r="C2253" s="76" t="inlineStr">
        <is>
          <t>Castform baseSpeed</t>
        </is>
      </c>
      <c r="D2253" s="76" t="n">
        <v>70</v>
      </c>
      <c r="E2253" s="76" t="n">
        <v>100</v>
      </c>
      <c r="F2253" s="76" t="inlineStr">
        <is>
          <t>Differs from upstream baseline</t>
        </is>
      </c>
      <c r="G2253" s="76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6" t="inlineStr">
        <is>
          <t>2026-10-01</t>
        </is>
      </c>
      <c r="B2255" s="76" t="inlineStr">
        <is>
          <t>Pokemon Stats</t>
        </is>
      </c>
      <c r="C2255" s="76" t="inlineStr">
        <is>
          <t>Chandelure baseAttack</t>
        </is>
      </c>
      <c r="D2255" s="76" t="n">
        <v>55</v>
      </c>
      <c r="E2255" s="76" t="n">
        <v>30</v>
      </c>
      <c r="F2255" s="76" t="inlineStr">
        <is>
          <t>Differs from upstream baseline</t>
        </is>
      </c>
      <c r="G2255" s="76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6" t="inlineStr">
        <is>
          <t>2026-10-01</t>
        </is>
      </c>
      <c r="B2257" s="76" t="inlineStr">
        <is>
          <t>Pokemon Stats</t>
        </is>
      </c>
      <c r="C2257" s="76" t="inlineStr">
        <is>
          <t>Chandelure baseSpeed</t>
        </is>
      </c>
      <c r="D2257" s="76" t="n">
        <v>80</v>
      </c>
      <c r="E2257" s="76" t="n">
        <v>91</v>
      </c>
      <c r="F2257" s="76" t="inlineStr">
        <is>
          <t>Differs from upstream baseline</t>
        </is>
      </c>
      <c r="G2257" s="76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6" t="inlineStr">
        <is>
          <t>2026-10-01</t>
        </is>
      </c>
      <c r="B2259" s="76" t="inlineStr">
        <is>
          <t>Abilities</t>
        </is>
      </c>
      <c r="C2259" s="76" t="inlineStr">
        <is>
          <t>Chansey abilities</t>
        </is>
      </c>
      <c r="D2259" s="76" t="inlineStr">
        <is>
          <t>Natural Cure / Serene Grace / Healer</t>
        </is>
      </c>
      <c r="E2259" s="76" t="inlineStr">
        <is>
          <t>Natural Cure / Natural Cure / Healer</t>
        </is>
      </c>
      <c r="F2259" s="76" t="inlineStr">
        <is>
          <t>Differs from upstream baseline</t>
        </is>
      </c>
      <c r="G2259" s="76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6" t="inlineStr">
        <is>
          <t>2026-10-01</t>
        </is>
      </c>
      <c r="B2261" s="76" t="inlineStr">
        <is>
          <t>Abilities</t>
        </is>
      </c>
      <c r="C2261" s="76" t="inlineStr">
        <is>
          <t>Charizard abilities</t>
        </is>
      </c>
      <c r="D2261" s="76" t="inlineStr">
        <is>
          <t>Blaze / Solar Power</t>
        </is>
      </c>
      <c r="E2261" s="76" t="inlineStr">
        <is>
          <t>Solar Power / Blaze / Solar Power</t>
        </is>
      </c>
      <c r="F2261" s="76" t="inlineStr">
        <is>
          <t>Differs from upstream baseline</t>
        </is>
      </c>
      <c r="G2261" s="76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6" t="inlineStr">
        <is>
          <t>2026-10-01</t>
        </is>
      </c>
      <c r="B2263" s="76" t="inlineStr">
        <is>
          <t>Pokemon Stats</t>
        </is>
      </c>
      <c r="C2263" s="76" t="inlineStr">
        <is>
          <t>Charizard baseSpAttack</t>
        </is>
      </c>
      <c r="D2263" s="76" t="n">
        <v>159</v>
      </c>
      <c r="E2263" s="76" t="n">
        <v>160</v>
      </c>
      <c r="F2263" s="76" t="inlineStr">
        <is>
          <t>Differs from upstream baseline</t>
        </is>
      </c>
      <c r="G2263" s="76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6" t="inlineStr">
        <is>
          <t>2026-10-01</t>
        </is>
      </c>
      <c r="B2265" s="76" t="inlineStr">
        <is>
          <t>Abilities</t>
        </is>
      </c>
      <c r="C2265" s="76" t="inlineStr">
        <is>
          <t>Charmander abilities</t>
        </is>
      </c>
      <c r="D2265" s="76" t="inlineStr">
        <is>
          <t>Blaze / Solar Power</t>
        </is>
      </c>
      <c r="E2265" s="76" t="inlineStr">
        <is>
          <t>Blaze / Blaze / Solar Power</t>
        </is>
      </c>
      <c r="F2265" s="76" t="inlineStr">
        <is>
          <t>Differs from upstream baseline</t>
        </is>
      </c>
      <c r="G2265" s="76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6" t="inlineStr">
        <is>
          <t>2026-10-01</t>
        </is>
      </c>
      <c r="B2267" s="76" t="inlineStr">
        <is>
          <t>Pokemon Stats</t>
        </is>
      </c>
      <c r="C2267" s="76" t="inlineStr">
        <is>
          <t>Chatot baseAttack</t>
        </is>
      </c>
      <c r="D2267" s="76" t="n">
        <v>65</v>
      </c>
      <c r="E2267" s="76" t="n">
        <v>91</v>
      </c>
      <c r="F2267" s="76" t="inlineStr">
        <is>
          <t>Differs from upstream baseline</t>
        </is>
      </c>
      <c r="G2267" s="76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6" t="inlineStr">
        <is>
          <t>2026-10-01</t>
        </is>
      </c>
      <c r="B2269" s="76" t="inlineStr">
        <is>
          <t>Pokemon Stats</t>
        </is>
      </c>
      <c r="C2269" s="76" t="inlineStr">
        <is>
          <t>Chatot baseSpeed</t>
        </is>
      </c>
      <c r="D2269" s="76" t="n">
        <v>91</v>
      </c>
      <c r="E2269" s="76" t="n">
        <v>110</v>
      </c>
      <c r="F2269" s="76" t="inlineStr">
        <is>
          <t>Differs from upstream baseline</t>
        </is>
      </c>
      <c r="G2269" s="76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6" t="inlineStr">
        <is>
          <t>2026-10-01</t>
        </is>
      </c>
      <c r="B2271" s="76" t="inlineStr">
        <is>
          <t>Pokemon Stats</t>
        </is>
      </c>
      <c r="C2271" s="76" t="inlineStr">
        <is>
          <t>Cherrim baseAttack</t>
        </is>
      </c>
      <c r="D2271" s="76" t="n">
        <v>60</v>
      </c>
      <c r="E2271" s="76" t="n">
        <v>87</v>
      </c>
      <c r="F2271" s="76" t="inlineStr">
        <is>
          <t>Differs from upstream baseline</t>
        </is>
      </c>
      <c r="G2271" s="76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6" t="inlineStr">
        <is>
          <t>2026-10-01</t>
        </is>
      </c>
      <c r="B2273" s="76" t="inlineStr">
        <is>
          <t>Pokemon Stats</t>
        </is>
      </c>
      <c r="C2273" s="76" t="inlineStr">
        <is>
          <t>Cherrim baseSpDefense</t>
        </is>
      </c>
      <c r="D2273" s="76" t="n">
        <v>78</v>
      </c>
      <c r="E2273" s="76" t="n">
        <v>98</v>
      </c>
      <c r="F2273" s="76" t="inlineStr">
        <is>
          <t>Differs from upstream baseline</t>
        </is>
      </c>
      <c r="G2273" s="76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6" t="inlineStr">
        <is>
          <t>2026-10-01</t>
        </is>
      </c>
      <c r="B2275" s="76" t="inlineStr">
        <is>
          <t>Abilities</t>
        </is>
      </c>
      <c r="C2275" s="76" t="inlineStr">
        <is>
          <t>Chesnaught abilities</t>
        </is>
      </c>
      <c r="D2275" s="76" t="inlineStr">
        <is>
          <t>Overgrow / Bulletproof</t>
        </is>
      </c>
      <c r="E2275" s="76" t="inlineStr">
        <is>
          <t>Overgrow / Bulletproof / Iron Barbs</t>
        </is>
      </c>
      <c r="F2275" s="76" t="inlineStr">
        <is>
          <t>Differs from upstream baseline</t>
        </is>
      </c>
      <c r="G2275" s="76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6" t="inlineStr">
        <is>
          <t>2026-10-01</t>
        </is>
      </c>
      <c r="B2277" s="76" t="inlineStr">
        <is>
          <t>Pokemon Stats</t>
        </is>
      </c>
      <c r="C2277" s="76" t="inlineStr">
        <is>
          <t>Chimecho baseHP</t>
        </is>
      </c>
      <c r="D2277" s="76" t="n">
        <v>75</v>
      </c>
      <c r="E2277" s="76" t="n">
        <v>65</v>
      </c>
      <c r="F2277" s="76" t="inlineStr">
        <is>
          <t>Differs from upstream baseline</t>
        </is>
      </c>
      <c r="G2277" s="76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6" t="inlineStr">
        <is>
          <t>2026-10-01</t>
        </is>
      </c>
      <c r="B2279" s="76" t="inlineStr">
        <is>
          <t>Pokemon Stats</t>
        </is>
      </c>
      <c r="C2279" s="76" t="inlineStr">
        <is>
          <t>Chimecho baseSpAttack</t>
        </is>
      </c>
      <c r="D2279" s="76" t="n">
        <v>95</v>
      </c>
      <c r="E2279" s="76" t="n">
        <v>105</v>
      </c>
      <c r="F2279" s="76" t="inlineStr">
        <is>
          <t>Differs from upstream baseline</t>
        </is>
      </c>
      <c r="G2279" s="76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6" t="inlineStr">
        <is>
          <t>2026-10-01</t>
        </is>
      </c>
      <c r="B2281" s="76" t="inlineStr">
        <is>
          <t>Pokemon Stats</t>
        </is>
      </c>
      <c r="C2281" s="76" t="inlineStr">
        <is>
          <t>Chimecho baseSpeed</t>
        </is>
      </c>
      <c r="D2281" s="76" t="n">
        <v>65</v>
      </c>
      <c r="E2281" s="76" t="n">
        <v>75</v>
      </c>
      <c r="F2281" s="76" t="inlineStr">
        <is>
          <t>Differs from upstream baseline</t>
        </is>
      </c>
      <c r="G2281" s="76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6" t="inlineStr">
        <is>
          <t>2026-10-01</t>
        </is>
      </c>
      <c r="B2283" s="76" t="inlineStr">
        <is>
          <t>Evolutions</t>
        </is>
      </c>
      <c r="C2283" s="76" t="inlineStr">
        <is>
          <t>Chingling evolution</t>
        </is>
      </c>
      <c r="D2283" s="76" t="inlineStr">
        <is>
          <t>Friendship Night -&gt; Chimecho</t>
        </is>
      </c>
      <c r="E2283" s="76" t="inlineStr">
        <is>
          <t>Lv 21 -&gt; Chimecho</t>
        </is>
      </c>
      <c r="F2283" s="76" t="inlineStr">
        <is>
          <t>Differs from upstream baseline</t>
        </is>
      </c>
      <c r="G2283" s="76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6" t="inlineStr">
        <is>
          <t>2026-10-01</t>
        </is>
      </c>
      <c r="B2285" s="76" t="inlineStr">
        <is>
          <t>Pokemon Stats</t>
        </is>
      </c>
      <c r="C2285" s="76" t="inlineStr">
        <is>
          <t>Clawitzer baseHP</t>
        </is>
      </c>
      <c r="D2285" s="76" t="n">
        <v>71</v>
      </c>
      <c r="E2285" s="76" t="n">
        <v>81</v>
      </c>
      <c r="F2285" s="76" t="inlineStr">
        <is>
          <t>Differs from upstream baseline</t>
        </is>
      </c>
      <c r="G2285" s="76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6" t="inlineStr">
        <is>
          <t>2026-10-01</t>
        </is>
      </c>
      <c r="B2287" s="76" t="inlineStr">
        <is>
          <t>Pokemon Stats</t>
        </is>
      </c>
      <c r="C2287" s="76" t="inlineStr">
        <is>
          <t>Clawitzer baseSpAttack</t>
        </is>
      </c>
      <c r="D2287" s="76" t="n">
        <v>120</v>
      </c>
      <c r="E2287" s="76" t="n">
        <v>142</v>
      </c>
      <c r="F2287" s="76" t="inlineStr">
        <is>
          <t>Differs from upstream baseline</t>
        </is>
      </c>
      <c r="G2287" s="76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6" t="inlineStr">
        <is>
          <t>2026-10-01</t>
        </is>
      </c>
      <c r="B2289" s="76" t="inlineStr">
        <is>
          <t>Abilities</t>
        </is>
      </c>
      <c r="C2289" s="76" t="inlineStr">
        <is>
          <t>Clawitzer abilities</t>
        </is>
      </c>
      <c r="D2289" s="76" t="inlineStr">
        <is>
          <t>Mega Launcher</t>
        </is>
      </c>
      <c r="E2289" s="76" t="inlineStr">
        <is>
          <t>Mega Launcher / Mega Launcher / Mega Launcher</t>
        </is>
      </c>
      <c r="F2289" s="76" t="inlineStr">
        <is>
          <t>Differs from upstream baseline</t>
        </is>
      </c>
      <c r="G2289" s="76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6" t="inlineStr">
        <is>
          <t>2026-10-01</t>
        </is>
      </c>
      <c r="B2291" s="76" t="inlineStr">
        <is>
          <t>Pokemon Stats</t>
        </is>
      </c>
      <c r="C2291" s="76" t="inlineStr">
        <is>
          <t>Claydol baseAttack</t>
        </is>
      </c>
      <c r="D2291" s="76" t="n">
        <v>70</v>
      </c>
      <c r="E2291" s="76" t="n">
        <v>80</v>
      </c>
      <c r="F2291" s="76" t="inlineStr">
        <is>
          <t>Differs from upstream baseline</t>
        </is>
      </c>
      <c r="G2291" s="76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6" t="inlineStr">
        <is>
          <t>2026-10-01</t>
        </is>
      </c>
      <c r="B2293" s="76" t="inlineStr">
        <is>
          <t>Pokemon Stats</t>
        </is>
      </c>
      <c r="C2293" s="76" t="inlineStr">
        <is>
          <t>Claydol baseSpeed</t>
        </is>
      </c>
      <c r="D2293" s="76" t="n">
        <v>75</v>
      </c>
      <c r="E2293" s="76" t="n">
        <v>80</v>
      </c>
      <c r="F2293" s="76" t="inlineStr">
        <is>
          <t>Differs from upstream baseline</t>
        </is>
      </c>
      <c r="G2293" s="76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6" t="inlineStr">
        <is>
          <t>2026-10-01</t>
        </is>
      </c>
      <c r="B2295" s="76" t="inlineStr">
        <is>
          <t>Abilities</t>
        </is>
      </c>
      <c r="C2295" s="76" t="inlineStr">
        <is>
          <t>Clefable abilities</t>
        </is>
      </c>
      <c r="D2295" s="76" t="inlineStr">
        <is>
          <t>Cute Charm / Magic Guard / Unaware</t>
        </is>
      </c>
      <c r="E2295" s="76" t="inlineStr">
        <is>
          <t>Magic Guard / Magic Guard / Unaware</t>
        </is>
      </c>
      <c r="F2295" s="76" t="inlineStr">
        <is>
          <t>Differs from upstream baseline</t>
        </is>
      </c>
      <c r="G2295" s="76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6" t="inlineStr">
        <is>
          <t>2026-10-01</t>
        </is>
      </c>
      <c r="B2297" s="76" t="inlineStr">
        <is>
          <t>Abilities</t>
        </is>
      </c>
      <c r="C2297" s="76" t="inlineStr">
        <is>
          <t>Cleffa abilities</t>
        </is>
      </c>
      <c r="D2297" s="76" t="inlineStr">
        <is>
          <t>Cute Charm / Magic Guard / Friend Guard</t>
        </is>
      </c>
      <c r="E2297" s="76" t="inlineStr">
        <is>
          <t>Magic Guard / Cute Charm / Friend Guard</t>
        </is>
      </c>
      <c r="F2297" s="76" t="inlineStr">
        <is>
          <t>Differs from upstream baseline</t>
        </is>
      </c>
      <c r="G2297" s="76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6" t="inlineStr">
        <is>
          <t>2026-10-01</t>
        </is>
      </c>
      <c r="B2299" s="76" t="inlineStr">
        <is>
          <t>Pokemon Stats</t>
        </is>
      </c>
      <c r="C2299" s="76" t="inlineStr">
        <is>
          <t>Clodsire baseAttack</t>
        </is>
      </c>
      <c r="D2299" s="76" t="n">
        <v>75</v>
      </c>
      <c r="E2299" s="76" t="n">
        <v>100</v>
      </c>
      <c r="F2299" s="76" t="inlineStr">
        <is>
          <t>Differs from upstream baseline</t>
        </is>
      </c>
      <c r="G2299" s="76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6" t="inlineStr">
        <is>
          <t>2026-10-01</t>
        </is>
      </c>
      <c r="B2301" s="76" t="inlineStr">
        <is>
          <t>Pokemon Stats</t>
        </is>
      </c>
      <c r="C2301" s="76" t="inlineStr">
        <is>
          <t>Clodsire baseSpAttack</t>
        </is>
      </c>
      <c r="D2301" s="76" t="n">
        <v>45</v>
      </c>
      <c r="E2301" s="76" t="n">
        <v>30</v>
      </c>
      <c r="F2301" s="76" t="inlineStr">
        <is>
          <t>Differs from upstream baseline</t>
        </is>
      </c>
      <c r="G2301" s="76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6" t="inlineStr">
        <is>
          <t>2026-10-01</t>
        </is>
      </c>
      <c r="B2303" s="76" t="inlineStr">
        <is>
          <t>Pokemon Stats</t>
        </is>
      </c>
      <c r="C2303" s="76" t="inlineStr">
        <is>
          <t>Cloyster baseSpDefense</t>
        </is>
      </c>
      <c r="D2303" s="76" t="n">
        <v>45</v>
      </c>
      <c r="E2303" s="76" t="n">
        <v>75</v>
      </c>
      <c r="F2303" s="76" t="inlineStr">
        <is>
          <t>Differs from upstream baseline</t>
        </is>
      </c>
      <c r="G2303" s="76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6" t="inlineStr">
        <is>
          <t>2026-10-01</t>
        </is>
      </c>
      <c r="B2305" s="76" t="inlineStr">
        <is>
          <t>Pokemon Stats</t>
        </is>
      </c>
      <c r="C2305" s="76" t="inlineStr">
        <is>
          <t>Cofagrigus baseHP</t>
        </is>
      </c>
      <c r="D2305" s="76" t="n">
        <v>58</v>
      </c>
      <c r="E2305" s="76" t="n">
        <v>68</v>
      </c>
      <c r="F2305" s="76" t="inlineStr">
        <is>
          <t>Differs from upstream baseline</t>
        </is>
      </c>
      <c r="G2305" s="76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6" t="inlineStr">
        <is>
          <t>2026-10-01</t>
        </is>
      </c>
      <c r="B2307" s="76" t="inlineStr">
        <is>
          <t>Pokemon Stats</t>
        </is>
      </c>
      <c r="C2307" s="76" t="inlineStr">
        <is>
          <t>Cofagrigus baseSpAttack</t>
        </is>
      </c>
      <c r="D2307" s="76" t="n">
        <v>95</v>
      </c>
      <c r="E2307" s="76" t="n">
        <v>125</v>
      </c>
      <c r="F2307" s="76" t="inlineStr">
        <is>
          <t>Differs from upstream baseline</t>
        </is>
      </c>
      <c r="G2307" s="76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6" t="inlineStr">
        <is>
          <t>2026-10-01</t>
        </is>
      </c>
      <c r="B2309" s="76" t="inlineStr">
        <is>
          <t>Pokemon Stats</t>
        </is>
      </c>
      <c r="C2309" s="76" t="inlineStr">
        <is>
          <t>Combee baseAttack</t>
        </is>
      </c>
      <c r="D2309" s="76" t="n">
        <v>30</v>
      </c>
      <c r="E2309" s="76" t="n">
        <v>50</v>
      </c>
      <c r="F2309" s="76" t="inlineStr">
        <is>
          <t>Differs from upstream baseline</t>
        </is>
      </c>
      <c r="G2309" s="76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6" t="inlineStr">
        <is>
          <t>2026-10-01</t>
        </is>
      </c>
      <c r="B2311" s="76" t="inlineStr">
        <is>
          <t>Pokemon Stats</t>
        </is>
      </c>
      <c r="C2311" s="76" t="inlineStr">
        <is>
          <t>Conkeldurr baseAttack</t>
        </is>
      </c>
      <c r="D2311" s="76" t="n">
        <v>140</v>
      </c>
      <c r="E2311" s="76" t="n">
        <v>155</v>
      </c>
      <c r="F2311" s="76" t="inlineStr">
        <is>
          <t>Differs from upstream baseline</t>
        </is>
      </c>
      <c r="G2311" s="76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6" t="inlineStr">
        <is>
          <t>2026-10-01</t>
        </is>
      </c>
      <c r="B2313" s="76" t="inlineStr">
        <is>
          <t>Pokemon Stats</t>
        </is>
      </c>
      <c r="C2313" s="76" t="inlineStr">
        <is>
          <t>Conkeldurr baseSpDefense</t>
        </is>
      </c>
      <c r="D2313" s="76" t="n">
        <v>65</v>
      </c>
      <c r="E2313" s="76" t="n">
        <v>69</v>
      </c>
      <c r="F2313" s="76" t="inlineStr">
        <is>
          <t>Differs from upstream baseline</t>
        </is>
      </c>
      <c r="G2313" s="76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6" t="inlineStr">
        <is>
          <t>2026-10-01</t>
        </is>
      </c>
      <c r="B2315" s="76" t="inlineStr">
        <is>
          <t>Abilities</t>
        </is>
      </c>
      <c r="C2315" s="76" t="inlineStr">
        <is>
          <t>Corphish abilities</t>
        </is>
      </c>
      <c r="D2315" s="76" t="inlineStr">
        <is>
          <t>Hyper Cutter / Shell Armor / Adaptability</t>
        </is>
      </c>
      <c r="E2315" s="76" t="inlineStr">
        <is>
          <t>Adaptability / Hyper Cutter / Adaptability</t>
        </is>
      </c>
      <c r="F2315" s="76" t="inlineStr">
        <is>
          <t>Differs from upstream baseline</t>
        </is>
      </c>
      <c r="G2315" s="76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6" t="inlineStr">
        <is>
          <t>2026-10-01</t>
        </is>
      </c>
      <c r="B2317" s="76" t="inlineStr">
        <is>
          <t>Pokemon Stats</t>
        </is>
      </c>
      <c r="C2317" s="76" t="inlineStr">
        <is>
          <t>Corsola baseDefense</t>
        </is>
      </c>
      <c r="D2317" s="76" t="n">
        <v>95</v>
      </c>
      <c r="E2317" s="76" t="n">
        <v>105</v>
      </c>
      <c r="F2317" s="76" t="inlineStr">
        <is>
          <t>Differs from upstream baseline</t>
        </is>
      </c>
      <c r="G2317" s="76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6" t="inlineStr">
        <is>
          <t>2026-10-01</t>
        </is>
      </c>
      <c r="B2319" s="76" t="inlineStr">
        <is>
          <t>Abilities</t>
        </is>
      </c>
      <c r="C2319" s="76" t="inlineStr">
        <is>
          <t>Corsola abilities</t>
        </is>
      </c>
      <c r="D2319" s="76" t="inlineStr">
        <is>
          <t>Hustle / Natural Cure / Regenerator</t>
        </is>
      </c>
      <c r="E2319" s="76" t="inlineStr">
        <is>
          <t>Solid Rock / Solid Rock / Regenerator</t>
        </is>
      </c>
      <c r="F2319" s="76" t="inlineStr">
        <is>
          <t>Differs from upstream baseline</t>
        </is>
      </c>
      <c r="G2319" s="76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6" t="inlineStr">
        <is>
          <t>2026-10-01</t>
        </is>
      </c>
      <c r="B2321" s="76" t="inlineStr">
        <is>
          <t>Pokemon Stats</t>
        </is>
      </c>
      <c r="C2321" s="76" t="inlineStr">
        <is>
          <t>Cottonee baseAttack</t>
        </is>
      </c>
      <c r="D2321" s="76" t="n">
        <v>27</v>
      </c>
      <c r="E2321" s="76" t="n">
        <v>34</v>
      </c>
      <c r="F2321" s="76" t="inlineStr">
        <is>
          <t>Differs from upstream baseline</t>
        </is>
      </c>
      <c r="G2321" s="76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6" t="inlineStr">
        <is>
          <t>2026-10-01</t>
        </is>
      </c>
      <c r="B2323" s="76" t="inlineStr">
        <is>
          <t>Abilities</t>
        </is>
      </c>
      <c r="C2323" s="76" t="inlineStr">
        <is>
          <t>Cradily abilities</t>
        </is>
      </c>
      <c r="D2323" s="76" t="inlineStr">
        <is>
          <t>Suction Cups / Storm Drain</t>
        </is>
      </c>
      <c r="E2323" s="76" t="inlineStr">
        <is>
          <t>Solid Rock / Storm Drain</t>
        </is>
      </c>
      <c r="F2323" s="76" t="inlineStr">
        <is>
          <t>Differs from upstream baseline</t>
        </is>
      </c>
      <c r="G2323" s="76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6" t="inlineStr">
        <is>
          <t>2026-10-01</t>
        </is>
      </c>
      <c r="B2325" s="76" t="inlineStr">
        <is>
          <t>Pokemon Stats</t>
        </is>
      </c>
      <c r="C2325" s="76" t="inlineStr">
        <is>
          <t>Cranidos baseSpAttack</t>
        </is>
      </c>
      <c r="D2325" s="76" t="n">
        <v>30</v>
      </c>
      <c r="E2325" s="76" t="n">
        <v>10</v>
      </c>
      <c r="F2325" s="76" t="inlineStr">
        <is>
          <t>Differs from upstream baseline</t>
        </is>
      </c>
      <c r="G2325" s="76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6" t="inlineStr">
        <is>
          <t>2026-10-01</t>
        </is>
      </c>
      <c r="B2327" s="76" t="inlineStr">
        <is>
          <t>Abilities</t>
        </is>
      </c>
      <c r="C2327" s="76" t="inlineStr">
        <is>
          <t>Cranidos abilities</t>
        </is>
      </c>
      <c r="D2327" s="76" t="inlineStr">
        <is>
          <t>Mold Breaker / Sheer Force</t>
        </is>
      </c>
      <c r="E2327" s="76" t="inlineStr">
        <is>
          <t>Rock Head / Mold Breaker / Sheer Force</t>
        </is>
      </c>
      <c r="F2327" s="76" t="inlineStr">
        <is>
          <t>Differs from upstream baseline</t>
        </is>
      </c>
      <c r="G2327" s="76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6" t="inlineStr">
        <is>
          <t>2026-10-01</t>
        </is>
      </c>
      <c r="B2329" s="76" t="inlineStr">
        <is>
          <t>Pokemon Stats</t>
        </is>
      </c>
      <c r="C2329" s="76" t="inlineStr">
        <is>
          <t>Cresselia baseDefense</t>
        </is>
      </c>
      <c r="D2329" s="76" t="n">
        <v>110</v>
      </c>
      <c r="E2329" s="76" t="n">
        <v>120</v>
      </c>
      <c r="F2329" s="76" t="inlineStr">
        <is>
          <t>Differs from upstream baseline</t>
        </is>
      </c>
      <c r="G2329" s="76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6" t="inlineStr">
        <is>
          <t>2026-10-01</t>
        </is>
      </c>
      <c r="B2331" s="76" t="inlineStr">
        <is>
          <t>Abilities</t>
        </is>
      </c>
      <c r="C2331" s="76" t="inlineStr">
        <is>
          <t>Croagunk abilities</t>
        </is>
      </c>
      <c r="D2331" s="76" t="inlineStr">
        <is>
          <t>Anticipation / Dry Skin / Poison Touch</t>
        </is>
      </c>
      <c r="E2331" s="76" t="inlineStr">
        <is>
          <t>Dry Skin / Dry Skin / Poison Touch</t>
        </is>
      </c>
      <c r="F2331" s="76" t="inlineStr">
        <is>
          <t>Differs from upstream baseline</t>
        </is>
      </c>
      <c r="G2331" s="76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6" t="inlineStr">
        <is>
          <t>2026-10-01</t>
        </is>
      </c>
      <c r="B2333" s="76" t="inlineStr">
        <is>
          <t>Pokemon Stats</t>
        </is>
      </c>
      <c r="C2333" s="76" t="inlineStr">
        <is>
          <t>Crustle baseHP</t>
        </is>
      </c>
      <c r="D2333" s="76" t="n">
        <v>70</v>
      </c>
      <c r="E2333" s="76" t="n">
        <v>80</v>
      </c>
      <c r="F2333" s="76" t="inlineStr">
        <is>
          <t>Differs from upstream baseline</t>
        </is>
      </c>
      <c r="G2333" s="76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6" t="inlineStr">
        <is>
          <t>2026-10-01</t>
        </is>
      </c>
      <c r="B2335" s="76" t="inlineStr">
        <is>
          <t>Pokemon Stats</t>
        </is>
      </c>
      <c r="C2335" s="76" t="inlineStr">
        <is>
          <t>Cryogonal baseHP</t>
        </is>
      </c>
      <c r="D2335" s="76" t="n">
        <v>80</v>
      </c>
      <c r="E2335" s="76" t="n">
        <v>90</v>
      </c>
      <c r="F2335" s="76" t="inlineStr">
        <is>
          <t>Differs from upstream baseline</t>
        </is>
      </c>
      <c r="G2335" s="76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6" t="inlineStr">
        <is>
          <t>2026-10-01</t>
        </is>
      </c>
      <c r="B2337" s="76" t="inlineStr">
        <is>
          <t>Pokemon Stats</t>
        </is>
      </c>
      <c r="C2337" s="76" t="inlineStr">
        <is>
          <t>Cryogonal baseDefense</t>
        </is>
      </c>
      <c r="D2337" s="76" t="n">
        <v>50</v>
      </c>
      <c r="E2337" s="76" t="n">
        <v>60</v>
      </c>
      <c r="F2337" s="76" t="inlineStr">
        <is>
          <t>Differs from upstream baseline</t>
        </is>
      </c>
      <c r="G2337" s="76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6" t="inlineStr">
        <is>
          <t>2026-10-01</t>
        </is>
      </c>
      <c r="B2339" s="76" t="inlineStr">
        <is>
          <t>Pokemon Stats</t>
        </is>
      </c>
      <c r="C2339" s="76" t="inlineStr">
        <is>
          <t>Cryogonal baseSpeed</t>
        </is>
      </c>
      <c r="D2339" s="76" t="n">
        <v>105</v>
      </c>
      <c r="E2339" s="76" t="n">
        <v>114</v>
      </c>
      <c r="F2339" s="76" t="inlineStr">
        <is>
          <t>Differs from upstream baseline</t>
        </is>
      </c>
      <c r="G2339" s="76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6" t="inlineStr">
        <is>
          <t>2026-10-01</t>
        </is>
      </c>
      <c r="B2341" s="76" t="inlineStr">
        <is>
          <t>Abilities</t>
        </is>
      </c>
      <c r="C2341" s="76" t="inlineStr">
        <is>
          <t>Cubone abilities</t>
        </is>
      </c>
      <c r="D2341" s="76" t="inlineStr">
        <is>
          <t>Rock Head / Lightning Rod / Battle Armor</t>
        </is>
      </c>
      <c r="E2341" s="76" t="inlineStr">
        <is>
          <t>Lightning Rod / Rock Head / Battle Armor</t>
        </is>
      </c>
      <c r="F2341" s="76" t="inlineStr">
        <is>
          <t>Differs from upstream baseline</t>
        </is>
      </c>
      <c r="G2341" s="76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6" t="inlineStr">
        <is>
          <t>2026-10-01</t>
        </is>
      </c>
      <c r="B2343" s="76" t="inlineStr">
        <is>
          <t>Pokemon Stats</t>
        </is>
      </c>
      <c r="C2343" s="76" t="inlineStr">
        <is>
          <t>Dedenne baseAttack</t>
        </is>
      </c>
      <c r="D2343" s="76" t="n">
        <v>58</v>
      </c>
      <c r="E2343" s="76" t="n">
        <v>68</v>
      </c>
      <c r="F2343" s="76" t="inlineStr">
        <is>
          <t>Differs from upstream baseline</t>
        </is>
      </c>
      <c r="G2343" s="76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6" t="inlineStr">
        <is>
          <t>2026-10-01</t>
        </is>
      </c>
      <c r="B2345" s="76" t="inlineStr">
        <is>
          <t>Pokemon Stats</t>
        </is>
      </c>
      <c r="C2345" s="76" t="inlineStr">
        <is>
          <t>Dedenne baseSpAttack</t>
        </is>
      </c>
      <c r="D2345" s="76" t="n">
        <v>81</v>
      </c>
      <c r="E2345" s="76" t="n">
        <v>91</v>
      </c>
      <c r="F2345" s="76" t="inlineStr">
        <is>
          <t>Differs from upstream baseline</t>
        </is>
      </c>
      <c r="G2345" s="76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6" t="inlineStr">
        <is>
          <t>2026-10-01</t>
        </is>
      </c>
      <c r="B2347" s="76" t="inlineStr">
        <is>
          <t>Abilities</t>
        </is>
      </c>
      <c r="C2347" s="76" t="inlineStr">
        <is>
          <t>Dedenne abilities</t>
        </is>
      </c>
      <c r="D2347" s="76" t="inlineStr">
        <is>
          <t>Cheek Pouch / Pickup / Plus</t>
        </is>
      </c>
      <c r="E2347" s="76" t="inlineStr">
        <is>
          <t>Cheek Pouch / Pickup / Pixilate</t>
        </is>
      </c>
      <c r="F2347" s="76" t="inlineStr">
        <is>
          <t>Differs from upstream baseline</t>
        </is>
      </c>
      <c r="G2347" s="76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6" t="inlineStr">
        <is>
          <t>2026-10-01</t>
        </is>
      </c>
      <c r="B2349" s="76" t="inlineStr">
        <is>
          <t>Pokemon Stats</t>
        </is>
      </c>
      <c r="C2349" s="76" t="inlineStr">
        <is>
          <t>Delcatty baseAttack</t>
        </is>
      </c>
      <c r="D2349" s="76" t="n">
        <v>65</v>
      </c>
      <c r="E2349" s="76" t="n">
        <v>80</v>
      </c>
      <c r="F2349" s="76" t="inlineStr">
        <is>
          <t>Differs from upstream baseline</t>
        </is>
      </c>
      <c r="G2349" s="76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6" t="inlineStr">
        <is>
          <t>2026-10-01</t>
        </is>
      </c>
      <c r="B2351" s="76" t="inlineStr">
        <is>
          <t>Pokemon Stats</t>
        </is>
      </c>
      <c r="C2351" s="76" t="inlineStr">
        <is>
          <t>Delcatty baseSpAttack</t>
        </is>
      </c>
      <c r="D2351" s="76" t="n">
        <v>55</v>
      </c>
      <c r="E2351" s="76" t="n">
        <v>80</v>
      </c>
      <c r="F2351" s="76" t="inlineStr">
        <is>
          <t>Differs from upstream baseline</t>
        </is>
      </c>
      <c r="G2351" s="76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6" t="inlineStr">
        <is>
          <t>2026-10-01</t>
        </is>
      </c>
      <c r="B2353" s="76" t="inlineStr">
        <is>
          <t>Pokemon Stats</t>
        </is>
      </c>
      <c r="C2353" s="76" t="inlineStr">
        <is>
          <t>Delcatty baseSpeed</t>
        </is>
      </c>
      <c r="D2353" s="76" t="n">
        <v>90</v>
      </c>
      <c r="E2353" s="76" t="n">
        <v>112</v>
      </c>
      <c r="F2353" s="76" t="inlineStr">
        <is>
          <t>Differs from upstream baseline</t>
        </is>
      </c>
      <c r="G2353" s="76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6" t="inlineStr">
        <is>
          <t>2026-10-01</t>
        </is>
      </c>
      <c r="B2355" s="76" t="inlineStr">
        <is>
          <t>Pokemon Stats</t>
        </is>
      </c>
      <c r="C2355" s="76" t="inlineStr">
        <is>
          <t>Delibird baseAttack</t>
        </is>
      </c>
      <c r="D2355" s="76" t="n">
        <v>55</v>
      </c>
      <c r="E2355" s="76" t="n">
        <v>85</v>
      </c>
      <c r="F2355" s="76" t="inlineStr">
        <is>
          <t>Differs from upstream baseline</t>
        </is>
      </c>
      <c r="G2355" s="76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6" t="inlineStr">
        <is>
          <t>2026-10-01</t>
        </is>
      </c>
      <c r="B2357" s="76" t="inlineStr">
        <is>
          <t>Pokemon Stats</t>
        </is>
      </c>
      <c r="C2357" s="76" t="inlineStr">
        <is>
          <t>Delibird baseSpeed</t>
        </is>
      </c>
      <c r="D2357" s="76" t="n">
        <v>75</v>
      </c>
      <c r="E2357" s="76" t="n">
        <v>85</v>
      </c>
      <c r="F2357" s="76" t="inlineStr">
        <is>
          <t>Differs from upstream baseline</t>
        </is>
      </c>
      <c r="G2357" s="76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6" t="inlineStr">
        <is>
          <t>2026-10-01</t>
        </is>
      </c>
      <c r="B2359" s="76" t="inlineStr">
        <is>
          <t>Pokemon Stats</t>
        </is>
      </c>
      <c r="C2359" s="76" t="inlineStr">
        <is>
          <t>Delphox baseAttack</t>
        </is>
      </c>
      <c r="D2359" s="76" t="n">
        <v>69</v>
      </c>
      <c r="E2359" s="76" t="n">
        <v>30</v>
      </c>
      <c r="F2359" s="76" t="inlineStr">
        <is>
          <t>Differs from upstream baseline</t>
        </is>
      </c>
      <c r="G2359" s="76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6" t="inlineStr">
        <is>
          <t>2026-10-01</t>
        </is>
      </c>
      <c r="B2361" s="76" t="inlineStr">
        <is>
          <t>Pokemon Stats</t>
        </is>
      </c>
      <c r="C2361" s="76" t="inlineStr">
        <is>
          <t>Delphox baseSpAttack</t>
        </is>
      </c>
      <c r="D2361" s="76" t="n">
        <v>114</v>
      </c>
      <c r="E2361" s="76" t="n">
        <v>135</v>
      </c>
      <c r="F2361" s="76" t="inlineStr">
        <is>
          <t>Differs from upstream baseline</t>
        </is>
      </c>
      <c r="G2361" s="76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6" t="inlineStr">
        <is>
          <t>2026-10-01</t>
        </is>
      </c>
      <c r="B2363" s="76" t="inlineStr">
        <is>
          <t>Abilities</t>
        </is>
      </c>
      <c r="C2363" s="76" t="inlineStr">
        <is>
          <t>Delphox abilities</t>
        </is>
      </c>
      <c r="D2363" s="76" t="inlineStr">
        <is>
          <t>Blaze / Magician</t>
        </is>
      </c>
      <c r="E2363" s="76" t="inlineStr">
        <is>
          <t>Blaze / Magician / Magic Guard</t>
        </is>
      </c>
      <c r="F2363" s="76" t="inlineStr">
        <is>
          <t>Differs from upstream baseline</t>
        </is>
      </c>
      <c r="G2363" s="76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6" t="inlineStr">
        <is>
          <t>2026-10-01</t>
        </is>
      </c>
      <c r="B2365" s="76" t="inlineStr">
        <is>
          <t>Pokemon Stats</t>
        </is>
      </c>
      <c r="C2365" s="76" t="inlineStr">
        <is>
          <t>Deoxys baseAttack</t>
        </is>
      </c>
      <c r="D2365" s="76" t="n">
        <v>180</v>
      </c>
      <c r="E2365" s="76" t="n">
        <v>200</v>
      </c>
      <c r="F2365" s="76" t="inlineStr">
        <is>
          <t>Differs from upstream baseline</t>
        </is>
      </c>
      <c r="G2365" s="76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6" t="inlineStr">
        <is>
          <t>2026-10-01</t>
        </is>
      </c>
      <c r="B2367" s="76" t="inlineStr">
        <is>
          <t>Abilities</t>
        </is>
      </c>
      <c r="C2367" s="76" t="inlineStr">
        <is>
          <t>Deoxys abilities</t>
        </is>
      </c>
      <c r="D2367" s="76" t="inlineStr">
        <is>
          <t>Pressure</t>
        </is>
      </c>
      <c r="E2367" s="76" t="inlineStr">
        <is>
          <t>Magic Guard</t>
        </is>
      </c>
      <c r="F2367" s="76" t="inlineStr">
        <is>
          <t>Differs from upstream baseline</t>
        </is>
      </c>
      <c r="G2367" s="76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6" t="inlineStr">
        <is>
          <t>2026-10-01</t>
        </is>
      </c>
      <c r="B2369" s="76" t="inlineStr">
        <is>
          <t>Pokemon Stats</t>
        </is>
      </c>
      <c r="C2369" s="76" t="inlineStr">
        <is>
          <t>Deoxys baseDefense</t>
        </is>
      </c>
      <c r="D2369" s="76" t="n">
        <v>160</v>
      </c>
      <c r="E2369" s="76" t="n">
        <v>150</v>
      </c>
      <c r="F2369" s="76" t="inlineStr">
        <is>
          <t>Differs from upstream baseline</t>
        </is>
      </c>
      <c r="G2369" s="76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6" t="inlineStr">
        <is>
          <t>2026-10-01</t>
        </is>
      </c>
      <c r="B2371" s="76" t="inlineStr">
        <is>
          <t>Pokemon Stats</t>
        </is>
      </c>
      <c r="C2371" s="76" t="inlineStr">
        <is>
          <t>Deoxys baseSpDefense</t>
        </is>
      </c>
      <c r="D2371" s="76" t="n">
        <v>160</v>
      </c>
      <c r="E2371" s="76" t="n">
        <v>150</v>
      </c>
      <c r="F2371" s="76" t="inlineStr">
        <is>
          <t>Differs from upstream baseline</t>
        </is>
      </c>
      <c r="G2371" s="76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6" t="inlineStr">
        <is>
          <t>2026-10-01</t>
        </is>
      </c>
      <c r="B2373" s="76" t="inlineStr">
        <is>
          <t>Pokemon Stats</t>
        </is>
      </c>
      <c r="C2373" s="76" t="inlineStr">
        <is>
          <t>Deoxys baseSpDefense</t>
        </is>
      </c>
      <c r="D2373" s="76" t="n">
        <v>50</v>
      </c>
      <c r="E2373" s="76" t="n">
        <v>70</v>
      </c>
      <c r="F2373" s="76" t="inlineStr">
        <is>
          <t>Differs from upstream baseline</t>
        </is>
      </c>
      <c r="G2373" s="76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6" t="inlineStr">
        <is>
          <t>2026-10-01</t>
        </is>
      </c>
      <c r="B2375" s="76" t="inlineStr">
        <is>
          <t>Pokemon Stats</t>
        </is>
      </c>
      <c r="C2375" s="76" t="inlineStr">
        <is>
          <t>Deoxys baseDefense</t>
        </is>
      </c>
      <c r="D2375" s="76" t="n">
        <v>90</v>
      </c>
      <c r="E2375" s="76" t="n">
        <v>100</v>
      </c>
      <c r="F2375" s="76" t="inlineStr">
        <is>
          <t>Differs from upstream baseline</t>
        </is>
      </c>
      <c r="G2375" s="76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6" t="inlineStr">
        <is>
          <t>2026-10-01</t>
        </is>
      </c>
      <c r="B2377" s="76" t="inlineStr">
        <is>
          <t>Pokemon Stats</t>
        </is>
      </c>
      <c r="C2377" s="76" t="inlineStr">
        <is>
          <t>Deoxys baseSpDefense</t>
        </is>
      </c>
      <c r="D2377" s="76" t="n">
        <v>90</v>
      </c>
      <c r="E2377" s="76" t="n">
        <v>100</v>
      </c>
      <c r="F2377" s="76" t="inlineStr">
        <is>
          <t>Differs from upstream baseline</t>
        </is>
      </c>
      <c r="G2377" s="76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6" t="inlineStr">
        <is>
          <t>2026-10-01</t>
        </is>
      </c>
      <c r="B2379" s="76" t="inlineStr">
        <is>
          <t>Abilities</t>
        </is>
      </c>
      <c r="C2379" s="76" t="inlineStr">
        <is>
          <t>Dewgong abilities</t>
        </is>
      </c>
      <c r="D2379" s="76" t="inlineStr">
        <is>
          <t>Thick Fat / Hydration / Ice Body</t>
        </is>
      </c>
      <c r="E2379" s="76" t="inlineStr">
        <is>
          <t>Swift Swim / Ice Body / Ice Body</t>
        </is>
      </c>
      <c r="F2379" s="76" t="inlineStr">
        <is>
          <t>Differs from upstream baseline</t>
        </is>
      </c>
      <c r="G2379" s="76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6" t="inlineStr">
        <is>
          <t>2026-10-01</t>
        </is>
      </c>
      <c r="B2381" s="76" t="inlineStr">
        <is>
          <t>Pokemon Stats</t>
        </is>
      </c>
      <c r="C2381" s="76" t="inlineStr">
        <is>
          <t>Diggersby baseAttack</t>
        </is>
      </c>
      <c r="D2381" s="76" t="n">
        <v>56</v>
      </c>
      <c r="E2381" s="76" t="n">
        <v>89</v>
      </c>
      <c r="F2381" s="76" t="inlineStr">
        <is>
          <t>Differs from upstream baseline</t>
        </is>
      </c>
      <c r="G2381" s="76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6" t="inlineStr">
        <is>
          <t>2026-10-01</t>
        </is>
      </c>
      <c r="B2383" s="76" t="inlineStr">
        <is>
          <t>Pokemon Stats</t>
        </is>
      </c>
      <c r="C2383" s="76" t="inlineStr">
        <is>
          <t>Diggersby baseSpDefense</t>
        </is>
      </c>
      <c r="D2383" s="76" t="n">
        <v>77</v>
      </c>
      <c r="E2383" s="76" t="n">
        <v>90</v>
      </c>
      <c r="F2383" s="76" t="inlineStr">
        <is>
          <t>Differs from upstream baseline</t>
        </is>
      </c>
      <c r="G2383" s="76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6" t="inlineStr">
        <is>
          <t>2026-10-01</t>
        </is>
      </c>
      <c r="B2385" s="76" t="inlineStr">
        <is>
          <t>Pokemon Stats</t>
        </is>
      </c>
      <c r="C2385" s="76" t="inlineStr">
        <is>
          <t>Diglett baseHP</t>
        </is>
      </c>
      <c r="D2385" s="76" t="n">
        <v>10</v>
      </c>
      <c r="E2385" s="76" t="n">
        <v>34</v>
      </c>
      <c r="F2385" s="76" t="inlineStr">
        <is>
          <t>Differs from upstream baseline</t>
        </is>
      </c>
      <c r="G2385" s="76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6" t="inlineStr">
        <is>
          <t>2026-10-01</t>
        </is>
      </c>
      <c r="B2387" s="76" t="inlineStr">
        <is>
          <t>Pokemon Stats</t>
        </is>
      </c>
      <c r="C2387" s="76" t="inlineStr">
        <is>
          <t>Diglett baseSpAttack</t>
        </is>
      </c>
      <c r="D2387" s="76" t="n">
        <v>35</v>
      </c>
      <c r="E2387" s="76" t="n">
        <v>36</v>
      </c>
      <c r="F2387" s="76" t="inlineStr">
        <is>
          <t>Differs from upstream baseline</t>
        </is>
      </c>
      <c r="G2387" s="76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6" t="inlineStr">
        <is>
          <t>2026-10-01</t>
        </is>
      </c>
      <c r="B2389" s="76" t="inlineStr">
        <is>
          <t>Pokemon Stats</t>
        </is>
      </c>
      <c r="C2389" s="76" t="inlineStr">
        <is>
          <t>Ditto baseHP</t>
        </is>
      </c>
      <c r="D2389" s="76" t="n">
        <v>48</v>
      </c>
      <c r="E2389" s="76" t="n">
        <v>100</v>
      </c>
      <c r="F2389" s="76" t="inlineStr">
        <is>
          <t>Differs from upstream baseline</t>
        </is>
      </c>
      <c r="G2389" s="76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6" t="inlineStr">
        <is>
          <t>2026-10-01</t>
        </is>
      </c>
      <c r="B2391" s="76" t="inlineStr">
        <is>
          <t>Pokemon Stats</t>
        </is>
      </c>
      <c r="C2391" s="76" t="inlineStr">
        <is>
          <t>Ditto baseDefense</t>
        </is>
      </c>
      <c r="D2391" s="76" t="n">
        <v>48</v>
      </c>
      <c r="E2391" s="76" t="n">
        <v>100</v>
      </c>
      <c r="F2391" s="76" t="inlineStr">
        <is>
          <t>Differs from upstream baseline</t>
        </is>
      </c>
      <c r="G2391" s="76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6" t="inlineStr">
        <is>
          <t>2026-10-01</t>
        </is>
      </c>
      <c r="B2393" s="76" t="inlineStr">
        <is>
          <t>Pokemon Stats</t>
        </is>
      </c>
      <c r="C2393" s="76" t="inlineStr">
        <is>
          <t>Ditto baseSpDefense</t>
        </is>
      </c>
      <c r="D2393" s="76" t="n">
        <v>48</v>
      </c>
      <c r="E2393" s="76" t="n">
        <v>100</v>
      </c>
      <c r="F2393" s="76" t="inlineStr">
        <is>
          <t>Differs from upstream baseline</t>
        </is>
      </c>
      <c r="G2393" s="76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6" t="inlineStr">
        <is>
          <t>2026-10-01</t>
        </is>
      </c>
      <c r="B2395" s="76" t="inlineStr">
        <is>
          <t>Abilities</t>
        </is>
      </c>
      <c r="C2395" s="76" t="inlineStr">
        <is>
          <t>Ditto abilities</t>
        </is>
      </c>
      <c r="D2395" s="76" t="inlineStr">
        <is>
          <t>Limber / Imposter</t>
        </is>
      </c>
      <c r="E2395" s="76" t="inlineStr">
        <is>
          <t>Shadow Tag / Imposter</t>
        </is>
      </c>
      <c r="F2395" s="76" t="inlineStr">
        <is>
          <t>Differs from upstream baseline</t>
        </is>
      </c>
      <c r="G2395" s="76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6" t="inlineStr">
        <is>
          <t>2026-10-01</t>
        </is>
      </c>
      <c r="B2397" s="76" t="inlineStr">
        <is>
          <t>Pokemon Stats</t>
        </is>
      </c>
      <c r="C2397" s="76" t="inlineStr">
        <is>
          <t>Dodrio baseAttack</t>
        </is>
      </c>
      <c r="D2397" s="76" t="n">
        <v>110</v>
      </c>
      <c r="E2397" s="76" t="n">
        <v>120</v>
      </c>
      <c r="F2397" s="76" t="inlineStr">
        <is>
          <t>Differs from upstream baseline</t>
        </is>
      </c>
      <c r="G2397" s="76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6" t="inlineStr">
        <is>
          <t>2026-10-01</t>
        </is>
      </c>
      <c r="B2399" s="76" t="inlineStr">
        <is>
          <t>Abilities</t>
        </is>
      </c>
      <c r="C2399" s="76" t="inlineStr">
        <is>
          <t>Doduo abilities</t>
        </is>
      </c>
      <c r="D2399" s="76" t="inlineStr">
        <is>
          <t>Run Away / Early Bird / Tangled Feet</t>
        </is>
      </c>
      <c r="E2399" s="76" t="inlineStr">
        <is>
          <t>Tangled Feet / Tangled Feet / Tangled Feet</t>
        </is>
      </c>
      <c r="F2399" s="76" t="inlineStr">
        <is>
          <t>Differs from upstream baseline</t>
        </is>
      </c>
      <c r="G2399" s="76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6" t="inlineStr">
        <is>
          <t>2026-10-01</t>
        </is>
      </c>
      <c r="B2401" s="76" t="inlineStr">
        <is>
          <t>Pokemon Stats</t>
        </is>
      </c>
      <c r="C2401" s="76" t="inlineStr">
        <is>
          <t>Donphan baseDefense</t>
        </is>
      </c>
      <c r="D2401" s="76" t="n">
        <v>120</v>
      </c>
      <c r="E2401" s="76" t="n">
        <v>130</v>
      </c>
      <c r="F2401" s="76" t="inlineStr">
        <is>
          <t>Differs from upstream baseline</t>
        </is>
      </c>
      <c r="G2401" s="76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6" t="inlineStr">
        <is>
          <t>2026-10-01</t>
        </is>
      </c>
      <c r="B2403" s="76" t="inlineStr">
        <is>
          <t>Abilities</t>
        </is>
      </c>
      <c r="C2403" s="76" t="inlineStr">
        <is>
          <t>Donphan abilities</t>
        </is>
      </c>
      <c r="D2403" s="76" t="inlineStr">
        <is>
          <t>Sturdy / Sand Veil</t>
        </is>
      </c>
      <c r="E2403" s="76" t="inlineStr">
        <is>
          <t>Battle Armor / Sand Veil</t>
        </is>
      </c>
      <c r="F2403" s="76" t="inlineStr">
        <is>
          <t>Differs from upstream baseline</t>
        </is>
      </c>
      <c r="G2403" s="76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6" t="inlineStr">
        <is>
          <t>2026-10-01</t>
        </is>
      </c>
      <c r="B2405" s="76" t="inlineStr">
        <is>
          <t>Pokemon Stats</t>
        </is>
      </c>
      <c r="C2405" s="76" t="inlineStr">
        <is>
          <t>Doublade baseSpAttack</t>
        </is>
      </c>
      <c r="D2405" s="76" t="n">
        <v>45</v>
      </c>
      <c r="E2405" s="76" t="n">
        <v>30</v>
      </c>
      <c r="F2405" s="76" t="inlineStr">
        <is>
          <t>Differs from upstream baseline</t>
        </is>
      </c>
      <c r="G2405" s="76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6" t="inlineStr">
        <is>
          <t>2026-10-01</t>
        </is>
      </c>
      <c r="B2407" s="76" t="inlineStr">
        <is>
          <t>Pokemon Stats</t>
        </is>
      </c>
      <c r="C2407" s="76" t="inlineStr">
        <is>
          <t>Dragalge baseSpAttack</t>
        </is>
      </c>
      <c r="D2407" s="76" t="n">
        <v>97</v>
      </c>
      <c r="E2407" s="76" t="n">
        <v>107</v>
      </c>
      <c r="F2407" s="76" t="inlineStr">
        <is>
          <t>Differs from upstream baseline</t>
        </is>
      </c>
      <c r="G2407" s="76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6" t="inlineStr">
        <is>
          <t>2026-10-01</t>
        </is>
      </c>
      <c r="B2409" s="76" t="inlineStr">
        <is>
          <t>Pokemon Stats</t>
        </is>
      </c>
      <c r="C2409" s="76" t="inlineStr">
        <is>
          <t>Dragonite baseSpeed</t>
        </is>
      </c>
      <c r="D2409" s="76" t="n">
        <v>80</v>
      </c>
      <c r="E2409" s="76" t="n">
        <v>85</v>
      </c>
      <c r="F2409" s="76" t="inlineStr">
        <is>
          <t>Differs from upstream baseline</t>
        </is>
      </c>
      <c r="G2409" s="76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6" t="inlineStr">
        <is>
          <t>2026-10-01</t>
        </is>
      </c>
      <c r="B2411" s="76" t="inlineStr">
        <is>
          <t>Abilities</t>
        </is>
      </c>
      <c r="C2411" s="76" t="inlineStr">
        <is>
          <t>Drapion abilities</t>
        </is>
      </c>
      <c r="D2411" s="76" t="inlineStr">
        <is>
          <t>Battle Armor / Sniper / Keen Eye</t>
        </is>
      </c>
      <c r="E2411" s="76" t="inlineStr">
        <is>
          <t>Battle Armor / Hyper Cutter / Keen Eye</t>
        </is>
      </c>
      <c r="F2411" s="76" t="inlineStr">
        <is>
          <t>Differs from upstream baseline</t>
        </is>
      </c>
      <c r="G2411" s="76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6" t="inlineStr">
        <is>
          <t>2026-10-01</t>
        </is>
      </c>
      <c r="B2413" s="76" t="inlineStr">
        <is>
          <t>Abilities</t>
        </is>
      </c>
      <c r="C2413" s="76" t="inlineStr">
        <is>
          <t>Drifblim abilities</t>
        </is>
      </c>
      <c r="D2413" s="76" t="inlineStr">
        <is>
          <t>Aftermath / Unburden / Flare Boost</t>
        </is>
      </c>
      <c r="E2413" s="76" t="inlineStr">
        <is>
          <t>Unburden / Unburden / Flare Boost</t>
        </is>
      </c>
      <c r="F2413" s="76" t="inlineStr">
        <is>
          <t>Differs from upstream baseline</t>
        </is>
      </c>
      <c r="G2413" s="76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6" t="inlineStr">
        <is>
          <t>2026-10-01</t>
        </is>
      </c>
      <c r="B2415" s="76" t="inlineStr">
        <is>
          <t>Abilities</t>
        </is>
      </c>
      <c r="C2415" s="76" t="inlineStr">
        <is>
          <t>Drowzee abilities</t>
        </is>
      </c>
      <c r="D2415" s="76" t="inlineStr">
        <is>
          <t>Insomnia / Forewarn / Inner Focus</t>
        </is>
      </c>
      <c r="E2415" s="76" t="inlineStr">
        <is>
          <t>Bad Dreams / Bad Dreams / Inner Focus</t>
        </is>
      </c>
      <c r="F2415" s="76" t="inlineStr">
        <is>
          <t>Differs from upstream baseline</t>
        </is>
      </c>
      <c r="G2415" s="76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6" t="inlineStr">
        <is>
          <t>2026-10-01</t>
        </is>
      </c>
      <c r="B2417" s="76" t="inlineStr">
        <is>
          <t>Pokemon Stats</t>
        </is>
      </c>
      <c r="C2417" s="76" t="inlineStr">
        <is>
          <t>Druddigon baseAttack</t>
        </is>
      </c>
      <c r="D2417" s="76" t="n">
        <v>120</v>
      </c>
      <c r="E2417" s="76" t="n">
        <v>137</v>
      </c>
      <c r="F2417" s="76" t="inlineStr">
        <is>
          <t>Differs from upstream baseline</t>
        </is>
      </c>
      <c r="G2417" s="76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6" t="inlineStr">
        <is>
          <t>2026-10-01</t>
        </is>
      </c>
      <c r="B2419" s="76" t="inlineStr">
        <is>
          <t>Pokemon Stats</t>
        </is>
      </c>
      <c r="C2419" s="76" t="inlineStr">
        <is>
          <t>Druddigon baseSpDefense</t>
        </is>
      </c>
      <c r="D2419" s="76" t="n">
        <v>90</v>
      </c>
      <c r="E2419" s="76" t="n">
        <v>100</v>
      </c>
      <c r="F2419" s="76" t="inlineStr">
        <is>
          <t>Differs from upstream baseline</t>
        </is>
      </c>
      <c r="G2419" s="76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6" t="inlineStr">
        <is>
          <t>2026-10-01</t>
        </is>
      </c>
      <c r="B2421" s="76" t="inlineStr">
        <is>
          <t>Abilities</t>
        </is>
      </c>
      <c r="C2421" s="76" t="inlineStr">
        <is>
          <t>Dugtrio abilities</t>
        </is>
      </c>
      <c r="D2421" s="76" t="inlineStr">
        <is>
          <t>Sand Veil / Arena Trap / Sand Force</t>
        </is>
      </c>
      <c r="E2421" s="76" t="inlineStr">
        <is>
          <t>Arena Trap / Arena Trap / Sand Force</t>
        </is>
      </c>
      <c r="F2421" s="76" t="inlineStr">
        <is>
          <t>Differs from upstream baseline</t>
        </is>
      </c>
      <c r="G2421" s="76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6" t="inlineStr">
        <is>
          <t>2026-10-01</t>
        </is>
      </c>
      <c r="B2423" s="76" t="inlineStr">
        <is>
          <t>Pokemon Stats</t>
        </is>
      </c>
      <c r="C2423" s="76" t="inlineStr">
        <is>
          <t>Dugtrio baseAttack</t>
        </is>
      </c>
      <c r="D2423" s="76" t="n">
        <v>100</v>
      </c>
      <c r="E2423" s="76" t="n">
        <v>114</v>
      </c>
      <c r="F2423" s="76" t="inlineStr">
        <is>
          <t>Differs from upstream baseline</t>
        </is>
      </c>
      <c r="G2423" s="76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6" t="inlineStr">
        <is>
          <t>2026-10-01</t>
        </is>
      </c>
      <c r="B2425" s="76" t="inlineStr">
        <is>
          <t>Pokemon Stats</t>
        </is>
      </c>
      <c r="C2425" s="76" t="inlineStr">
        <is>
          <t>Dugtrio baseSpAttack</t>
        </is>
      </c>
      <c r="D2425" s="76" t="n">
        <v>50</v>
      </c>
      <c r="E2425" s="76" t="n">
        <v>30</v>
      </c>
      <c r="F2425" s="76" t="inlineStr">
        <is>
          <t>Differs from upstream baseline</t>
        </is>
      </c>
      <c r="G2425" s="76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6" t="inlineStr">
        <is>
          <t>2026-10-01</t>
        </is>
      </c>
      <c r="B2427" s="76" t="inlineStr">
        <is>
          <t>Pokemon Stats</t>
        </is>
      </c>
      <c r="C2427" s="76" t="inlineStr">
        <is>
          <t>Dugtrio baseSpeed</t>
        </is>
      </c>
      <c r="D2427" s="76" t="n">
        <v>110</v>
      </c>
      <c r="E2427" s="76" t="n">
        <v>121</v>
      </c>
      <c r="F2427" s="76" t="inlineStr">
        <is>
          <t>Differs from upstream baseline</t>
        </is>
      </c>
      <c r="G2427" s="76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6" t="inlineStr">
        <is>
          <t>2026-10-01</t>
        </is>
      </c>
      <c r="B2429" s="76" t="inlineStr">
        <is>
          <t>Pokemon Stats</t>
        </is>
      </c>
      <c r="C2429" s="76" t="inlineStr">
        <is>
          <t>Dunsparce baseDefense</t>
        </is>
      </c>
      <c r="D2429" s="76" t="n">
        <v>70</v>
      </c>
      <c r="E2429" s="76" t="n">
        <v>80</v>
      </c>
      <c r="F2429" s="76" t="inlineStr">
        <is>
          <t>Differs from upstream baseline</t>
        </is>
      </c>
      <c r="G2429" s="76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6" t="inlineStr">
        <is>
          <t>2026-10-01</t>
        </is>
      </c>
      <c r="B2431" s="76" t="inlineStr">
        <is>
          <t>Pokemon Stats</t>
        </is>
      </c>
      <c r="C2431" s="76" t="inlineStr">
        <is>
          <t>Dunsparce baseSpDefense</t>
        </is>
      </c>
      <c r="D2431" s="76" t="n">
        <v>65</v>
      </c>
      <c r="E2431" s="76" t="n">
        <v>80</v>
      </c>
      <c r="F2431" s="76" t="inlineStr">
        <is>
          <t>Differs from upstream baseline</t>
        </is>
      </c>
      <c r="G2431" s="76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6" t="inlineStr">
        <is>
          <t>2026-10-01</t>
        </is>
      </c>
      <c r="B2433" s="76" t="inlineStr">
        <is>
          <t>Abilities</t>
        </is>
      </c>
      <c r="C2433" s="76" t="inlineStr">
        <is>
          <t>Dunsparce abilities</t>
        </is>
      </c>
      <c r="D2433" s="76" t="inlineStr">
        <is>
          <t>Serene Grace / Run Away / Rattled</t>
        </is>
      </c>
      <c r="E2433" s="76" t="inlineStr">
        <is>
          <t>Serene Grace / Serene Grace / Rattled</t>
        </is>
      </c>
      <c r="F2433" s="76" t="inlineStr">
        <is>
          <t>Differs from upstream baseline</t>
        </is>
      </c>
      <c r="G2433" s="76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6" t="inlineStr">
        <is>
          <t>2026-10-01</t>
        </is>
      </c>
      <c r="B2435" s="76" t="inlineStr">
        <is>
          <t>Pokemon Stats</t>
        </is>
      </c>
      <c r="C2435" s="76" t="inlineStr">
        <is>
          <t>Duosion baseDefense</t>
        </is>
      </c>
      <c r="D2435" s="76" t="n">
        <v>50</v>
      </c>
      <c r="E2435" s="76" t="n">
        <v>52</v>
      </c>
      <c r="F2435" s="76" t="inlineStr">
        <is>
          <t>Differs from upstream baseline</t>
        </is>
      </c>
      <c r="G2435" s="76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6" t="inlineStr">
        <is>
          <t>2026-10-01</t>
        </is>
      </c>
      <c r="B2437" s="76" t="inlineStr">
        <is>
          <t>Pokemon Stats</t>
        </is>
      </c>
      <c r="C2437" s="76" t="inlineStr">
        <is>
          <t>Duosion baseSpDefense</t>
        </is>
      </c>
      <c r="D2437" s="76" t="n">
        <v>60</v>
      </c>
      <c r="E2437" s="76" t="n">
        <v>61</v>
      </c>
      <c r="F2437" s="76" t="inlineStr">
        <is>
          <t>Differs from upstream baseline</t>
        </is>
      </c>
      <c r="G2437" s="76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6" t="inlineStr">
        <is>
          <t>2026-10-01</t>
        </is>
      </c>
      <c r="B2439" s="76" t="inlineStr">
        <is>
          <t>Pokemon Stats</t>
        </is>
      </c>
      <c r="C2439" s="76" t="inlineStr">
        <is>
          <t>Durant baseHP</t>
        </is>
      </c>
      <c r="D2439" s="76" t="n">
        <v>58</v>
      </c>
      <c r="E2439" s="76" t="n">
        <v>60</v>
      </c>
      <c r="F2439" s="76" t="inlineStr">
        <is>
          <t>Differs from upstream baseline</t>
        </is>
      </c>
      <c r="G2439" s="76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6" t="inlineStr">
        <is>
          <t>2026-10-01</t>
        </is>
      </c>
      <c r="B2441" s="76" t="inlineStr">
        <is>
          <t>Pokemon Stats</t>
        </is>
      </c>
      <c r="C2441" s="76" t="inlineStr">
        <is>
          <t>Durant baseSpAttack</t>
        </is>
      </c>
      <c r="D2441" s="76" t="n">
        <v>48</v>
      </c>
      <c r="E2441" s="76" t="n">
        <v>30</v>
      </c>
      <c r="F2441" s="76" t="inlineStr">
        <is>
          <t>Differs from upstream baseline</t>
        </is>
      </c>
      <c r="G2441" s="76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6" t="inlineStr">
        <is>
          <t>2026-10-01</t>
        </is>
      </c>
      <c r="B2443" s="76" t="inlineStr">
        <is>
          <t>Pokemon Stats</t>
        </is>
      </c>
      <c r="C2443" s="76" t="inlineStr">
        <is>
          <t>Durant baseSpeed</t>
        </is>
      </c>
      <c r="D2443" s="76" t="n">
        <v>109</v>
      </c>
      <c r="E2443" s="76" t="n">
        <v>118</v>
      </c>
      <c r="F2443" s="76" t="inlineStr">
        <is>
          <t>Differs from upstream baseline</t>
        </is>
      </c>
      <c r="G2443" s="76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6" t="inlineStr">
        <is>
          <t>2026-10-01</t>
        </is>
      </c>
      <c r="B2445" s="76" t="inlineStr">
        <is>
          <t>Pokemon Stats</t>
        </is>
      </c>
      <c r="C2445" s="76" t="inlineStr">
        <is>
          <t>Dusclops baseAttack</t>
        </is>
      </c>
      <c r="D2445" s="76" t="n">
        <v>70</v>
      </c>
      <c r="E2445" s="76" t="n">
        <v>90</v>
      </c>
      <c r="F2445" s="76" t="inlineStr">
        <is>
          <t>Differs from upstream baseline</t>
        </is>
      </c>
      <c r="G2445" s="76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6" t="inlineStr">
        <is>
          <t>2026-10-01</t>
        </is>
      </c>
      <c r="B2447" s="76" t="inlineStr">
        <is>
          <t>Pokemon Stats</t>
        </is>
      </c>
      <c r="C2447" s="76" t="inlineStr">
        <is>
          <t>Dusknoir baseHP</t>
        </is>
      </c>
      <c r="D2447" s="76" t="n">
        <v>45</v>
      </c>
      <c r="E2447" s="76" t="n">
        <v>105</v>
      </c>
      <c r="F2447" s="76" t="inlineStr">
        <is>
          <t>Differs from upstream baseline</t>
        </is>
      </c>
      <c r="G2447" s="76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6" t="inlineStr">
        <is>
          <t>2026-10-01</t>
        </is>
      </c>
      <c r="B2449" s="76" t="inlineStr">
        <is>
          <t>Abilities</t>
        </is>
      </c>
      <c r="C2449" s="76" t="inlineStr">
        <is>
          <t>Dusknoir abilities</t>
        </is>
      </c>
      <c r="D2449" s="76" t="inlineStr">
        <is>
          <t>Pressure / Frisk</t>
        </is>
      </c>
      <c r="E2449" s="76" t="inlineStr">
        <is>
          <t>Levitate / Frisk</t>
        </is>
      </c>
      <c r="F2449" s="76" t="inlineStr">
        <is>
          <t>Differs from upstream baseline</t>
        </is>
      </c>
      <c r="G2449" s="76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6" t="inlineStr">
        <is>
          <t>2026-10-01</t>
        </is>
      </c>
      <c r="B2451" s="76" t="inlineStr">
        <is>
          <t>Pokemon Stats</t>
        </is>
      </c>
      <c r="C2451" s="76" t="inlineStr">
        <is>
          <t>Duskull baseSpAttack</t>
        </is>
      </c>
      <c r="D2451" s="76" t="n">
        <v>30</v>
      </c>
      <c r="E2451" s="76" t="n">
        <v>40</v>
      </c>
      <c r="F2451" s="76" t="inlineStr">
        <is>
          <t>Differs from upstream baseline</t>
        </is>
      </c>
      <c r="G2451" s="76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6" t="inlineStr">
        <is>
          <t>2026-10-01</t>
        </is>
      </c>
      <c r="B2453" s="76" t="inlineStr">
        <is>
          <t>Abilities</t>
        </is>
      </c>
      <c r="C2453" s="76" t="inlineStr">
        <is>
          <t>Dustox abilities</t>
        </is>
      </c>
      <c r="D2453" s="76" t="inlineStr">
        <is>
          <t>Shield Dust / Compound Eyes</t>
        </is>
      </c>
      <c r="E2453" s="76" t="inlineStr">
        <is>
          <t>Tinted Lens / Shield Dust / Compound Eyes</t>
        </is>
      </c>
      <c r="F2453" s="76" t="inlineStr">
        <is>
          <t>Differs from upstream baseline</t>
        </is>
      </c>
      <c r="G2453" s="76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6" t="inlineStr">
        <is>
          <t>2026-10-01</t>
        </is>
      </c>
      <c r="B2455" s="76" t="inlineStr">
        <is>
          <t>Pokemon Stats</t>
        </is>
      </c>
      <c r="C2455" s="76" t="inlineStr">
        <is>
          <t>Dwebble baseSpAttack</t>
        </is>
      </c>
      <c r="D2455" s="76" t="n">
        <v>35</v>
      </c>
      <c r="E2455" s="76" t="n">
        <v>30</v>
      </c>
      <c r="F2455" s="76" t="inlineStr">
        <is>
          <t>Differs from upstream baseline</t>
        </is>
      </c>
      <c r="G2455" s="76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6" t="inlineStr">
        <is>
          <t>2026-10-01</t>
        </is>
      </c>
      <c r="B2457" s="76" t="inlineStr">
        <is>
          <t>Evolutions</t>
        </is>
      </c>
      <c r="C2457" s="76" t="inlineStr">
        <is>
          <t>Dwebble evolution</t>
        </is>
      </c>
      <c r="D2457" s="76" t="inlineStr">
        <is>
          <t>Lv 34 -&gt; Crustle</t>
        </is>
      </c>
      <c r="E2457" s="76" t="inlineStr">
        <is>
          <t>Lv 26 -&gt; Crustle</t>
        </is>
      </c>
      <c r="F2457" s="76" t="inlineStr">
        <is>
          <t>Differs from upstream baseline</t>
        </is>
      </c>
      <c r="G2457" s="76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6" t="inlineStr">
        <is>
          <t>2026-10-01</t>
        </is>
      </c>
      <c r="B2459" s="76" t="inlineStr">
        <is>
          <t>Pokemon Stats</t>
        </is>
      </c>
      <c r="C2459" s="76" t="inlineStr">
        <is>
          <t>Eelektross baseSpDefense</t>
        </is>
      </c>
      <c r="D2459" s="76" t="n">
        <v>80</v>
      </c>
      <c r="E2459" s="76" t="n">
        <v>90</v>
      </c>
      <c r="F2459" s="76" t="inlineStr">
        <is>
          <t>Differs from upstream baseline</t>
        </is>
      </c>
      <c r="G2459" s="76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6" t="inlineStr">
        <is>
          <t>2026-10-01</t>
        </is>
      </c>
      <c r="B2461" s="76" t="inlineStr">
        <is>
          <t>Abilities</t>
        </is>
      </c>
      <c r="C2461" s="76" t="inlineStr">
        <is>
          <t>Eelektross abilities</t>
        </is>
      </c>
      <c r="D2461" s="76" t="inlineStr">
        <is>
          <t>Levitate</t>
        </is>
      </c>
      <c r="E2461" s="76" t="inlineStr">
        <is>
          <t>Levitate / Levitate / Levitate</t>
        </is>
      </c>
      <c r="F2461" s="76" t="inlineStr">
        <is>
          <t>Differs from upstream baseline</t>
        </is>
      </c>
      <c r="G2461" s="76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6" t="inlineStr">
        <is>
          <t>2026-10-01</t>
        </is>
      </c>
      <c r="B2463" s="76" t="inlineStr">
        <is>
          <t>Evolutions</t>
        </is>
      </c>
      <c r="C2463" s="76" t="inlineStr">
        <is>
          <t>Eevee evolution</t>
        </is>
      </c>
      <c r="D2463" s="76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6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6" t="inlineStr">
        <is>
          <t>Differs from upstream baseline</t>
        </is>
      </c>
      <c r="G2463" s="76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6" t="inlineStr">
        <is>
          <t>2026-10-01</t>
        </is>
      </c>
      <c r="B2465" s="76" t="inlineStr">
        <is>
          <t>Pokemon Stats</t>
        </is>
      </c>
      <c r="C2465" s="76" t="inlineStr">
        <is>
          <t>Electabuzz baseAttack</t>
        </is>
      </c>
      <c r="D2465" s="76" t="n">
        <v>83</v>
      </c>
      <c r="E2465" s="76" t="n">
        <v>87</v>
      </c>
      <c r="F2465" s="76" t="inlineStr">
        <is>
          <t>Differs from upstream baseline</t>
        </is>
      </c>
      <c r="G2465" s="76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6" t="inlineStr">
        <is>
          <t>2026-10-01</t>
        </is>
      </c>
      <c r="B2467" s="76" t="inlineStr">
        <is>
          <t>Abilities</t>
        </is>
      </c>
      <c r="C2467" s="76" t="inlineStr">
        <is>
          <t>Electivire abilities</t>
        </is>
      </c>
      <c r="D2467" s="76" t="inlineStr">
        <is>
          <t>Motor Drive / Vital Spirit</t>
        </is>
      </c>
      <c r="E2467" s="76" t="inlineStr">
        <is>
          <t>Adaptability / Vital Spirit</t>
        </is>
      </c>
      <c r="F2467" s="76" t="inlineStr">
        <is>
          <t>Differs from upstream baseline</t>
        </is>
      </c>
      <c r="G2467" s="76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6" t="inlineStr">
        <is>
          <t>2026-10-01</t>
        </is>
      </c>
      <c r="B2469" s="76" t="inlineStr">
        <is>
          <t>Pokemon Stats</t>
        </is>
      </c>
      <c r="C2469" s="76" t="inlineStr">
        <is>
          <t>Electrode baseSpeed</t>
        </is>
      </c>
      <c r="D2469" s="76" t="n">
        <v>150</v>
      </c>
      <c r="E2469" s="76" t="n">
        <v>140</v>
      </c>
      <c r="F2469" s="76" t="inlineStr">
        <is>
          <t>Differs from upstream baseline</t>
        </is>
      </c>
      <c r="G2469" s="76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6" t="inlineStr">
        <is>
          <t>2026-10-01</t>
        </is>
      </c>
      <c r="B2471" s="76" t="inlineStr">
        <is>
          <t>Pokemon Stats</t>
        </is>
      </c>
      <c r="C2471" s="76" t="inlineStr">
        <is>
          <t>Emboar baseDefense</t>
        </is>
      </c>
      <c r="D2471" s="76" t="n">
        <v>65</v>
      </c>
      <c r="E2471" s="76" t="n">
        <v>75</v>
      </c>
      <c r="F2471" s="76" t="inlineStr">
        <is>
          <t>Differs from upstream baseline</t>
        </is>
      </c>
      <c r="G2471" s="76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6" t="inlineStr">
        <is>
          <t>2026-10-01</t>
        </is>
      </c>
      <c r="B2473" s="76" t="inlineStr">
        <is>
          <t>Abilities</t>
        </is>
      </c>
      <c r="C2473" s="76" t="inlineStr">
        <is>
          <t>Emboar abilities</t>
        </is>
      </c>
      <c r="D2473" s="76" t="inlineStr">
        <is>
          <t>Blaze / Reckless</t>
        </is>
      </c>
      <c r="E2473" s="76" t="inlineStr">
        <is>
          <t>Blaze / Reckless / Thick Fat</t>
        </is>
      </c>
      <c r="F2473" s="76" t="inlineStr">
        <is>
          <t>Differs from upstream baseline</t>
        </is>
      </c>
      <c r="G2473" s="76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6" t="inlineStr">
        <is>
          <t>2026-10-01</t>
        </is>
      </c>
      <c r="B2475" s="76" t="inlineStr">
        <is>
          <t>Pokemon Stats</t>
        </is>
      </c>
      <c r="C2475" s="76" t="inlineStr">
        <is>
          <t>Emolga baseAttack</t>
        </is>
      </c>
      <c r="D2475" s="76" t="n">
        <v>75</v>
      </c>
      <c r="E2475" s="76" t="n">
        <v>88</v>
      </c>
      <c r="F2475" s="76" t="inlineStr">
        <is>
          <t>Differs from upstream baseline</t>
        </is>
      </c>
      <c r="G2475" s="76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6" t="inlineStr">
        <is>
          <t>2026-10-01</t>
        </is>
      </c>
      <c r="B2477" s="76" t="inlineStr">
        <is>
          <t>Pokemon Stats</t>
        </is>
      </c>
      <c r="C2477" s="76" t="inlineStr">
        <is>
          <t>Emolga baseSpAttack</t>
        </is>
      </c>
      <c r="D2477" s="76" t="n">
        <v>75</v>
      </c>
      <c r="E2477" s="76" t="n">
        <v>86</v>
      </c>
      <c r="F2477" s="76" t="inlineStr">
        <is>
          <t>Differs from upstream baseline</t>
        </is>
      </c>
      <c r="G2477" s="76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6" t="inlineStr">
        <is>
          <t>2026-10-01</t>
        </is>
      </c>
      <c r="B2479" s="76" t="inlineStr">
        <is>
          <t>Pokemon Stats</t>
        </is>
      </c>
      <c r="C2479" s="76" t="inlineStr">
        <is>
          <t>Emolga baseSpeed</t>
        </is>
      </c>
      <c r="D2479" s="76" t="n">
        <v>103</v>
      </c>
      <c r="E2479" s="76" t="n">
        <v>113</v>
      </c>
      <c r="F2479" s="76" t="inlineStr">
        <is>
          <t>Differs from upstream baseline</t>
        </is>
      </c>
      <c r="G2479" s="76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6" t="inlineStr">
        <is>
          <t>2026-10-01</t>
        </is>
      </c>
      <c r="B2481" s="76" t="inlineStr">
        <is>
          <t>Pokemon Stats</t>
        </is>
      </c>
      <c r="C2481" s="76" t="inlineStr">
        <is>
          <t>Empoleon baseAttack</t>
        </is>
      </c>
      <c r="D2481" s="76" t="n">
        <v>86</v>
      </c>
      <c r="E2481" s="76" t="n">
        <v>111</v>
      </c>
      <c r="F2481" s="76" t="inlineStr">
        <is>
          <t>Differs from upstream baseline</t>
        </is>
      </c>
      <c r="G2481" s="76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6" t="inlineStr">
        <is>
          <t>2026-10-01</t>
        </is>
      </c>
      <c r="B2483" s="76" t="inlineStr">
        <is>
          <t>Pokemon Stats</t>
        </is>
      </c>
      <c r="C2483" s="76" t="inlineStr">
        <is>
          <t>Empoleon baseSpAttack</t>
        </is>
      </c>
      <c r="D2483" s="76" t="n">
        <v>111</v>
      </c>
      <c r="E2483" s="76" t="n">
        <v>86</v>
      </c>
      <c r="F2483" s="76" t="inlineStr">
        <is>
          <t>Differs from upstream baseline</t>
        </is>
      </c>
      <c r="G2483" s="76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6" t="inlineStr">
        <is>
          <t>2026-10-01</t>
        </is>
      </c>
      <c r="B2485" s="76" t="inlineStr">
        <is>
          <t>Pokemon Stats</t>
        </is>
      </c>
      <c r="C2485" s="76" t="inlineStr">
        <is>
          <t>Entei baseAttack</t>
        </is>
      </c>
      <c r="D2485" s="76" t="n">
        <v>115</v>
      </c>
      <c r="E2485" s="76" t="n">
        <v>135</v>
      </c>
      <c r="F2485" s="76" t="inlineStr">
        <is>
          <t>Differs from upstream baseline</t>
        </is>
      </c>
      <c r="G2485" s="76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6" t="inlineStr">
        <is>
          <t>2026-10-01</t>
        </is>
      </c>
      <c r="B2487" s="76" t="inlineStr">
        <is>
          <t>Pokemon Stats</t>
        </is>
      </c>
      <c r="C2487" s="76" t="inlineStr">
        <is>
          <t>Escavalier baseAttack</t>
        </is>
      </c>
      <c r="D2487" s="76" t="n">
        <v>135</v>
      </c>
      <c r="E2487" s="76" t="n">
        <v>167</v>
      </c>
      <c r="F2487" s="76" t="inlineStr">
        <is>
          <t>Differs from upstream baseline</t>
        </is>
      </c>
      <c r="G2487" s="76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6" t="inlineStr">
        <is>
          <t>2026-10-01</t>
        </is>
      </c>
      <c r="B2489" s="76" t="inlineStr">
        <is>
          <t>Pokemon Stats</t>
        </is>
      </c>
      <c r="C2489" s="76" t="inlineStr">
        <is>
          <t>Escavalier baseSpeed</t>
        </is>
      </c>
      <c r="D2489" s="76" t="n">
        <v>20</v>
      </c>
      <c r="E2489" s="76" t="n">
        <v>37</v>
      </c>
      <c r="F2489" s="76" t="inlineStr">
        <is>
          <t>Differs from upstream baseline</t>
        </is>
      </c>
      <c r="G2489" s="76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6" t="inlineStr">
        <is>
          <t>2026-10-01</t>
        </is>
      </c>
      <c r="B2491" s="76" t="inlineStr">
        <is>
          <t>Pokemon Stats</t>
        </is>
      </c>
      <c r="C2491" s="76" t="inlineStr">
        <is>
          <t>Excadrill baseSpAttack</t>
        </is>
      </c>
      <c r="D2491" s="76" t="n">
        <v>50</v>
      </c>
      <c r="E2491" s="76" t="n">
        <v>30</v>
      </c>
      <c r="F2491" s="76" t="inlineStr">
        <is>
          <t>Differs from upstream baseline</t>
        </is>
      </c>
      <c r="G2491" s="76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6" t="inlineStr">
        <is>
          <t>2026-10-01</t>
        </is>
      </c>
      <c r="B2493" s="76" t="inlineStr">
        <is>
          <t>Pokemon Stats</t>
        </is>
      </c>
      <c r="C2493" s="76" t="inlineStr">
        <is>
          <t>Exeggutor baseSpDefense</t>
        </is>
      </c>
      <c r="D2493" s="76" t="n">
        <v>75</v>
      </c>
      <c r="E2493" s="76" t="n">
        <v>85</v>
      </c>
      <c r="F2493" s="76" t="inlineStr">
        <is>
          <t>Differs from upstream baseline</t>
        </is>
      </c>
      <c r="G2493" s="76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6" t="inlineStr">
        <is>
          <t>2026-10-01</t>
        </is>
      </c>
      <c r="B2495" s="76" t="inlineStr">
        <is>
          <t>Pokemon Stats</t>
        </is>
      </c>
      <c r="C2495" s="76" t="inlineStr">
        <is>
          <t>Exploud baseDefense</t>
        </is>
      </c>
      <c r="D2495" s="76" t="n">
        <v>63</v>
      </c>
      <c r="E2495" s="76" t="n">
        <v>73</v>
      </c>
      <c r="F2495" s="76" t="inlineStr">
        <is>
          <t>Differs from upstream baseline</t>
        </is>
      </c>
      <c r="G2495" s="76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6" t="inlineStr">
        <is>
          <t>2026-10-01</t>
        </is>
      </c>
      <c r="B2497" s="76" t="inlineStr">
        <is>
          <t>Pokemon Stats</t>
        </is>
      </c>
      <c r="C2497" s="76" t="inlineStr">
        <is>
          <t>Exploud baseSpeed</t>
        </is>
      </c>
      <c r="D2497" s="76" t="n">
        <v>68</v>
      </c>
      <c r="E2497" s="76" t="n">
        <v>78</v>
      </c>
      <c r="F2497" s="76" t="inlineStr">
        <is>
          <t>Differs from upstream baseline</t>
        </is>
      </c>
      <c r="G2497" s="76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6" t="inlineStr">
        <is>
          <t>2026-10-01</t>
        </is>
      </c>
      <c r="B2499" s="76" t="inlineStr">
        <is>
          <t>Pokemon Stats</t>
        </is>
      </c>
      <c r="C2499" s="76" t="inlineStr">
        <is>
          <t>Farfetch'd baseAttack</t>
        </is>
      </c>
      <c r="D2499" s="76" t="n">
        <v>90</v>
      </c>
      <c r="E2499" s="76" t="n">
        <v>95</v>
      </c>
      <c r="F2499" s="76" t="inlineStr">
        <is>
          <t>Differs from upstream baseline</t>
        </is>
      </c>
      <c r="G2499" s="76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6" t="inlineStr">
        <is>
          <t>2026-10-01</t>
        </is>
      </c>
      <c r="B2501" s="76" t="inlineStr">
        <is>
          <t>Pokemon Stats</t>
        </is>
      </c>
      <c r="C2501" s="76" t="inlineStr">
        <is>
          <t>Farfetch'd baseSpDefense</t>
        </is>
      </c>
      <c r="D2501" s="76" t="n">
        <v>62</v>
      </c>
      <c r="E2501" s="76" t="n">
        <v>82</v>
      </c>
      <c r="F2501" s="76" t="inlineStr">
        <is>
          <t>Differs from upstream baseline</t>
        </is>
      </c>
      <c r="G2501" s="76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6" t="inlineStr">
        <is>
          <t>2026-10-01</t>
        </is>
      </c>
      <c r="B2503" s="76" t="inlineStr">
        <is>
          <t>Abilities</t>
        </is>
      </c>
      <c r="C2503" s="76" t="inlineStr">
        <is>
          <t>Farfetch'd abilities</t>
        </is>
      </c>
      <c r="D2503" s="76" t="inlineStr">
        <is>
          <t>Keen Eye / Inner Focus / Defiant</t>
        </is>
      </c>
      <c r="E2503" s="76" t="inlineStr">
        <is>
          <t>Super Luck / Scrappy / Defiant</t>
        </is>
      </c>
      <c r="F2503" s="76" t="inlineStr">
        <is>
          <t>Differs from upstream baseline</t>
        </is>
      </c>
      <c r="G2503" s="76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6" t="inlineStr">
        <is>
          <t>2026-10-01</t>
        </is>
      </c>
      <c r="B2505" s="76" t="inlineStr">
        <is>
          <t>Pokemon Stats</t>
        </is>
      </c>
      <c r="C2505" s="76" t="inlineStr">
        <is>
          <t>Fearow baseDefense</t>
        </is>
      </c>
      <c r="D2505" s="76" t="n">
        <v>65</v>
      </c>
      <c r="E2505" s="76" t="n">
        <v>75</v>
      </c>
      <c r="F2505" s="76" t="inlineStr">
        <is>
          <t>Differs from upstream baseline</t>
        </is>
      </c>
      <c r="G2505" s="76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6" t="inlineStr">
        <is>
          <t>2026-10-01</t>
        </is>
      </c>
      <c r="B2507" s="76" t="inlineStr">
        <is>
          <t>Abilities</t>
        </is>
      </c>
      <c r="C2507" s="76" t="inlineStr">
        <is>
          <t>Fearow abilities</t>
        </is>
      </c>
      <c r="D2507" s="76" t="inlineStr">
        <is>
          <t>Keen Eye / Sniper</t>
        </is>
      </c>
      <c r="E2507" s="76" t="inlineStr">
        <is>
          <t>Sniper / Sniper</t>
        </is>
      </c>
      <c r="F2507" s="76" t="inlineStr">
        <is>
          <t>Differs from upstream baseline</t>
        </is>
      </c>
      <c r="G2507" s="76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6" t="inlineStr">
        <is>
          <t>2026-10-01</t>
        </is>
      </c>
      <c r="B2509" s="76" t="inlineStr">
        <is>
          <t>Pokemon Stats</t>
        </is>
      </c>
      <c r="C2509" s="76" t="inlineStr">
        <is>
          <t>Feraligatr baseAttack</t>
        </is>
      </c>
      <c r="D2509" s="76" t="n">
        <v>105</v>
      </c>
      <c r="E2509" s="76" t="n">
        <v>125</v>
      </c>
      <c r="F2509" s="76" t="inlineStr">
        <is>
          <t>Differs from upstream baseline</t>
        </is>
      </c>
      <c r="G2509" s="76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6" t="inlineStr">
        <is>
          <t>2026-10-01</t>
        </is>
      </c>
      <c r="B2511" s="76" t="inlineStr">
        <is>
          <t>Pokemon Stats</t>
        </is>
      </c>
      <c r="C2511" s="76" t="inlineStr">
        <is>
          <t>Feraligatr baseSpDefense</t>
        </is>
      </c>
      <c r="D2511" s="76" t="n">
        <v>83</v>
      </c>
      <c r="E2511" s="76" t="n">
        <v>85</v>
      </c>
      <c r="F2511" s="76" t="inlineStr">
        <is>
          <t>Differs from upstream baseline</t>
        </is>
      </c>
      <c r="G2511" s="76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6" t="inlineStr">
        <is>
          <t>2026-10-01</t>
        </is>
      </c>
      <c r="B2513" s="76" t="inlineStr">
        <is>
          <t>Abilities</t>
        </is>
      </c>
      <c r="C2513" s="76" t="inlineStr">
        <is>
          <t>Feraligatr abilities</t>
        </is>
      </c>
      <c r="D2513" s="76" t="inlineStr">
        <is>
          <t>Torrent / Sheer Force</t>
        </is>
      </c>
      <c r="E2513" s="76" t="inlineStr">
        <is>
          <t>Intimidate / Battle Armor / Sheer Force</t>
        </is>
      </c>
      <c r="F2513" s="76" t="inlineStr">
        <is>
          <t>Differs from upstream baseline</t>
        </is>
      </c>
      <c r="G2513" s="76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6" t="inlineStr">
        <is>
          <t>2026-10-01</t>
        </is>
      </c>
      <c r="B2515" s="76" t="inlineStr">
        <is>
          <t>Pokemon Stats</t>
        </is>
      </c>
      <c r="C2515" s="76" t="inlineStr">
        <is>
          <t>Ferrothorn baseSpAttack</t>
        </is>
      </c>
      <c r="D2515" s="76" t="n">
        <v>54</v>
      </c>
      <c r="E2515" s="76" t="n">
        <v>30</v>
      </c>
      <c r="F2515" s="76" t="inlineStr">
        <is>
          <t>Differs from upstream baseline</t>
        </is>
      </c>
      <c r="G2515" s="76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6" t="inlineStr">
        <is>
          <t>2026-10-01</t>
        </is>
      </c>
      <c r="B2517" s="76" t="inlineStr">
        <is>
          <t>Abilities</t>
        </is>
      </c>
      <c r="C2517" s="76" t="inlineStr">
        <is>
          <t>Flareon abilities</t>
        </is>
      </c>
      <c r="D2517" s="76" t="inlineStr">
        <is>
          <t>Flash Fire / Flash Fire / Guts</t>
        </is>
      </c>
      <c r="E2517" s="76" t="inlineStr">
        <is>
          <t>Adaptability / Adaptability / Guts</t>
        </is>
      </c>
      <c r="F2517" s="76" t="inlineStr">
        <is>
          <t>Differs from upstream baseline</t>
        </is>
      </c>
      <c r="G2517" s="76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6" t="inlineStr">
        <is>
          <t>2026-10-01</t>
        </is>
      </c>
      <c r="B2519" s="76" t="inlineStr">
        <is>
          <t>Pokemon Stats</t>
        </is>
      </c>
      <c r="C2519" s="76" t="inlineStr">
        <is>
          <t>None baseSpAttack</t>
        </is>
      </c>
      <c r="D2519" s="76" t="n">
        <v>125</v>
      </c>
      <c r="E2519" s="76" t="n">
        <v>144</v>
      </c>
      <c r="F2519" s="76" t="inlineStr">
        <is>
          <t>Differs from upstream baseline</t>
        </is>
      </c>
      <c r="G2519" s="76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6" t="inlineStr">
        <is>
          <t>2026-10-01</t>
        </is>
      </c>
      <c r="B2521" s="76" t="inlineStr">
        <is>
          <t>Pokemon Stats</t>
        </is>
      </c>
      <c r="C2521" s="76" t="inlineStr">
        <is>
          <t>Flygon baseSpAttack</t>
        </is>
      </c>
      <c r="D2521" s="76" t="n">
        <v>80</v>
      </c>
      <c r="E2521" s="76" t="n">
        <v>110</v>
      </c>
      <c r="F2521" s="76" t="inlineStr">
        <is>
          <t>Differs from upstream baseline</t>
        </is>
      </c>
      <c r="G2521" s="76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6" t="inlineStr">
        <is>
          <t>2026-10-01</t>
        </is>
      </c>
      <c r="B2523" s="76" t="inlineStr">
        <is>
          <t>Pokemon Stats</t>
        </is>
      </c>
      <c r="C2523" s="76" t="inlineStr">
        <is>
          <t>Foongus baseSpeed</t>
        </is>
      </c>
      <c r="D2523" s="76" t="n">
        <v>15</v>
      </c>
      <c r="E2523" s="76" t="n">
        <v>25</v>
      </c>
      <c r="F2523" s="76" t="inlineStr">
        <is>
          <t>Differs from upstream baseline</t>
        </is>
      </c>
      <c r="G2523" s="76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6" t="inlineStr">
        <is>
          <t>2026-10-01</t>
        </is>
      </c>
      <c r="B2525" s="76" t="inlineStr">
        <is>
          <t>Abilities</t>
        </is>
      </c>
      <c r="C2525" s="76" t="inlineStr">
        <is>
          <t>Forretress abilities</t>
        </is>
      </c>
      <c r="D2525" s="76" t="inlineStr">
        <is>
          <t>Sturdy / Overcoat</t>
        </is>
      </c>
      <c r="E2525" s="76" t="inlineStr">
        <is>
          <t>Heatproof / Overcoat</t>
        </is>
      </c>
      <c r="F2525" s="76" t="inlineStr">
        <is>
          <t>Differs from upstream baseline</t>
        </is>
      </c>
      <c r="G2525" s="76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6" t="inlineStr">
        <is>
          <t>2026-10-01</t>
        </is>
      </c>
      <c r="B2527" s="76" t="inlineStr">
        <is>
          <t>Pokemon Stats</t>
        </is>
      </c>
      <c r="C2527" s="76" t="inlineStr">
        <is>
          <t>Fraxure baseSpAttack</t>
        </is>
      </c>
      <c r="D2527" s="76" t="n">
        <v>40</v>
      </c>
      <c r="E2527" s="76" t="n">
        <v>30</v>
      </c>
      <c r="F2527" s="76" t="inlineStr">
        <is>
          <t>Differs from upstream baseline</t>
        </is>
      </c>
      <c r="G2527" s="76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6" t="inlineStr">
        <is>
          <t>2026-10-01</t>
        </is>
      </c>
      <c r="B2529" s="76" t="inlineStr">
        <is>
          <t>Pokemon Stats</t>
        </is>
      </c>
      <c r="C2529" s="76" t="inlineStr">
        <is>
          <t>Frillish baseAttack</t>
        </is>
      </c>
      <c r="D2529" s="76" t="n">
        <v>40</v>
      </c>
      <c r="E2529" s="76" t="n">
        <v>30</v>
      </c>
      <c r="F2529" s="76" t="inlineStr">
        <is>
          <t>Differs from upstream baseline</t>
        </is>
      </c>
      <c r="G2529" s="76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6" t="inlineStr">
        <is>
          <t>2026-10-01</t>
        </is>
      </c>
      <c r="B2531" s="76" t="inlineStr">
        <is>
          <t>Pokemon Stats</t>
        </is>
      </c>
      <c r="C2531" s="76" t="inlineStr">
        <is>
          <t>Froslass baseHP</t>
        </is>
      </c>
      <c r="D2531" s="76" t="n">
        <v>70</v>
      </c>
      <c r="E2531" s="76" t="n">
        <v>80</v>
      </c>
      <c r="F2531" s="76" t="inlineStr">
        <is>
          <t>Differs from upstream baseline</t>
        </is>
      </c>
      <c r="G2531" s="76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6" t="inlineStr">
        <is>
          <t>2026-10-01</t>
        </is>
      </c>
      <c r="B2533" s="76" t="inlineStr">
        <is>
          <t>Abilities</t>
        </is>
      </c>
      <c r="C2533" s="76" t="inlineStr">
        <is>
          <t>Froslass abilities</t>
        </is>
      </c>
      <c r="D2533" s="76" t="inlineStr">
        <is>
          <t>Snow Cloak / Cursed Body</t>
        </is>
      </c>
      <c r="E2533" s="76" t="inlineStr">
        <is>
          <t>Snow Cloak / Snow Cloak / Cursed Body</t>
        </is>
      </c>
      <c r="F2533" s="76" t="inlineStr">
        <is>
          <t>Differs from upstream baseline</t>
        </is>
      </c>
      <c r="G2533" s="76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6" t="inlineStr">
        <is>
          <t>2026-10-01</t>
        </is>
      </c>
      <c r="B2535" s="76" t="inlineStr">
        <is>
          <t>Abilities</t>
        </is>
      </c>
      <c r="C2535" s="76" t="inlineStr">
        <is>
          <t>Furret abilities</t>
        </is>
      </c>
      <c r="D2535" s="76" t="inlineStr">
        <is>
          <t>Run Away / Keen Eye / Frisk</t>
        </is>
      </c>
      <c r="E2535" s="76" t="inlineStr">
        <is>
          <t>Adaptability / Adaptability / Frisk</t>
        </is>
      </c>
      <c r="F2535" s="76" t="inlineStr">
        <is>
          <t>Differs from upstream baseline</t>
        </is>
      </c>
      <c r="G2535" s="76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6" t="inlineStr">
        <is>
          <t>2026-10-01</t>
        </is>
      </c>
      <c r="B2537" s="76" t="inlineStr">
        <is>
          <t>Abilities</t>
        </is>
      </c>
      <c r="C2537" s="76" t="inlineStr">
        <is>
          <t>Gallade abilities</t>
        </is>
      </c>
      <c r="D2537" s="76" t="inlineStr">
        <is>
          <t>Steadfast / Sharpness / Justified</t>
        </is>
      </c>
      <c r="E2537" s="76" t="inlineStr">
        <is>
          <t>Hyper Cutter / Steadfast / Justified</t>
        </is>
      </c>
      <c r="F2537" s="76" t="inlineStr">
        <is>
          <t>Differs from upstream baseline</t>
        </is>
      </c>
      <c r="G2537" s="76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6" t="inlineStr">
        <is>
          <t>2026-10-01</t>
        </is>
      </c>
      <c r="B2539" s="76" t="inlineStr">
        <is>
          <t>Pokemon Stats</t>
        </is>
      </c>
      <c r="C2539" s="76" t="inlineStr">
        <is>
          <t>Garbodor baseHP</t>
        </is>
      </c>
      <c r="D2539" s="76" t="n">
        <v>80</v>
      </c>
      <c r="E2539" s="76" t="n">
        <v>90</v>
      </c>
      <c r="F2539" s="76" t="inlineStr">
        <is>
          <t>Differs from upstream baseline</t>
        </is>
      </c>
      <c r="G2539" s="76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6" t="inlineStr">
        <is>
          <t>2026-10-01</t>
        </is>
      </c>
      <c r="B2541" s="76" t="inlineStr">
        <is>
          <t>Pokemon Stats</t>
        </is>
      </c>
      <c r="C2541" s="76" t="inlineStr">
        <is>
          <t>Garchomp baseSpAttack</t>
        </is>
      </c>
      <c r="D2541" s="76" t="n">
        <v>80</v>
      </c>
      <c r="E2541" s="76" t="n">
        <v>85</v>
      </c>
      <c r="F2541" s="76" t="inlineStr">
        <is>
          <t>Differs from upstream baseline</t>
        </is>
      </c>
      <c r="G2541" s="76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6" t="inlineStr">
        <is>
          <t>2026-10-01</t>
        </is>
      </c>
      <c r="B2543" s="76" t="inlineStr">
        <is>
          <t>Pokemon Stats</t>
        </is>
      </c>
      <c r="C2543" s="76" t="inlineStr">
        <is>
          <t>Garchomp baseSpAttack</t>
        </is>
      </c>
      <c r="D2543" s="76" t="n">
        <v>120</v>
      </c>
      <c r="E2543" s="76" t="n">
        <v>125</v>
      </c>
      <c r="F2543" s="76" t="inlineStr">
        <is>
          <t>Differs from upstream baseline</t>
        </is>
      </c>
      <c r="G2543" s="76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6" t="inlineStr">
        <is>
          <t>2026-10-01</t>
        </is>
      </c>
      <c r="B2545" s="76" t="inlineStr">
        <is>
          <t>Abilities</t>
        </is>
      </c>
      <c r="C2545" s="76" t="inlineStr">
        <is>
          <t>Gardevoir abilities</t>
        </is>
      </c>
      <c r="D2545" s="76" t="inlineStr">
        <is>
          <t>Synchronize / Trace / Telepathy</t>
        </is>
      </c>
      <c r="E2545" s="76" t="inlineStr">
        <is>
          <t>Magic Guard / Trace / Telepathy</t>
        </is>
      </c>
      <c r="F2545" s="76" t="inlineStr">
        <is>
          <t>Differs from upstream baseline</t>
        </is>
      </c>
      <c r="G2545" s="76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6" t="inlineStr">
        <is>
          <t>2026-10-01</t>
        </is>
      </c>
      <c r="B2547" s="76" t="inlineStr">
        <is>
          <t>Abilities</t>
        </is>
      </c>
      <c r="C2547" s="76" t="inlineStr">
        <is>
          <t>Gastrodon abilities</t>
        </is>
      </c>
      <c r="D2547" s="76" t="inlineStr">
        <is>
          <t>Sticky Hold / Storm Drain / Sand Force</t>
        </is>
      </c>
      <c r="E2547" s="76" t="inlineStr">
        <is>
          <t>Dry Skin / Dry Skin / Sand Force</t>
        </is>
      </c>
      <c r="F2547" s="76" t="inlineStr">
        <is>
          <t>Differs from upstream baseline</t>
        </is>
      </c>
      <c r="G2547" s="76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6" t="inlineStr">
        <is>
          <t>2026-10-01</t>
        </is>
      </c>
      <c r="B2549" s="76" t="inlineStr">
        <is>
          <t>Pokemon Stats</t>
        </is>
      </c>
      <c r="C2549" s="76" t="inlineStr">
        <is>
          <t>Geodude baseDefense</t>
        </is>
      </c>
      <c r="D2549" s="76" t="n">
        <v>100</v>
      </c>
      <c r="E2549" s="76" t="n">
        <v>110</v>
      </c>
      <c r="F2549" s="76" t="inlineStr">
        <is>
          <t>Differs from upstream baseline</t>
        </is>
      </c>
      <c r="G2549" s="76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6" t="inlineStr">
        <is>
          <t>2026-10-01</t>
        </is>
      </c>
      <c r="B2551" s="76" t="inlineStr">
        <is>
          <t>Abilities</t>
        </is>
      </c>
      <c r="C2551" s="76" t="inlineStr">
        <is>
          <t>Geodude abilities</t>
        </is>
      </c>
      <c r="D2551" s="76" t="inlineStr">
        <is>
          <t>Magnet Pull / Sturdy / Galvanize</t>
        </is>
      </c>
      <c r="E2551" s="76" t="inlineStr">
        <is>
          <t>Rock Head / Rough Skin / Galvanize</t>
        </is>
      </c>
      <c r="F2551" s="76" t="inlineStr">
        <is>
          <t>Differs from upstream baseline</t>
        </is>
      </c>
      <c r="G2551" s="76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6" t="inlineStr">
        <is>
          <t>2026-10-01</t>
        </is>
      </c>
      <c r="B2553" s="76" t="inlineStr">
        <is>
          <t>Pokemon Stats</t>
        </is>
      </c>
      <c r="C2553" s="76" t="inlineStr">
        <is>
          <t>Gigalith baseHP</t>
        </is>
      </c>
      <c r="D2553" s="76" t="n">
        <v>85</v>
      </c>
      <c r="E2553" s="76" t="n">
        <v>100</v>
      </c>
      <c r="F2553" s="76" t="inlineStr">
        <is>
          <t>Differs from upstream baseline</t>
        </is>
      </c>
      <c r="G2553" s="76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6" t="inlineStr">
        <is>
          <t>2026-10-01</t>
        </is>
      </c>
      <c r="B2555" s="76" t="inlineStr">
        <is>
          <t>Pokemon Stats</t>
        </is>
      </c>
      <c r="C2555" s="76" t="inlineStr">
        <is>
          <t>Gigalith baseSpAttack</t>
        </is>
      </c>
      <c r="D2555" s="76" t="n">
        <v>60</v>
      </c>
      <c r="E2555" s="76" t="n">
        <v>30</v>
      </c>
      <c r="F2555" s="76" t="inlineStr">
        <is>
          <t>Differs from upstream baseline</t>
        </is>
      </c>
      <c r="G2555" s="76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6" t="inlineStr">
        <is>
          <t>2026-10-01</t>
        </is>
      </c>
      <c r="B2557" s="76" t="inlineStr">
        <is>
          <t>Pokemon Stats</t>
        </is>
      </c>
      <c r="C2557" s="76" t="inlineStr">
        <is>
          <t>Gigalith baseSpeed</t>
        </is>
      </c>
      <c r="D2557" s="76" t="n">
        <v>25</v>
      </c>
      <c r="E2557" s="76" t="n">
        <v>28</v>
      </c>
      <c r="F2557" s="76" t="inlineStr">
        <is>
          <t>Differs from upstream baseline</t>
        </is>
      </c>
      <c r="G2557" s="76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6" t="inlineStr">
        <is>
          <t>2026-10-01</t>
        </is>
      </c>
      <c r="B2559" s="76" t="inlineStr">
        <is>
          <t>Pokemon Stats</t>
        </is>
      </c>
      <c r="C2559" s="76" t="inlineStr">
        <is>
          <t>Girafarig baseHP</t>
        </is>
      </c>
      <c r="D2559" s="76" t="n">
        <v>70</v>
      </c>
      <c r="E2559" s="76" t="n">
        <v>85</v>
      </c>
      <c r="F2559" s="76" t="inlineStr">
        <is>
          <t>Differs from upstream baseline</t>
        </is>
      </c>
      <c r="G2559" s="76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6" t="inlineStr">
        <is>
          <t>2026-10-01</t>
        </is>
      </c>
      <c r="B2561" s="76" t="inlineStr">
        <is>
          <t>Pokemon Stats</t>
        </is>
      </c>
      <c r="C2561" s="76" t="inlineStr">
        <is>
          <t>Girafarig baseDefense</t>
        </is>
      </c>
      <c r="D2561" s="76" t="n">
        <v>65</v>
      </c>
      <c r="E2561" s="76" t="n">
        <v>70</v>
      </c>
      <c r="F2561" s="76" t="inlineStr">
        <is>
          <t>Differs from upstream baseline</t>
        </is>
      </c>
      <c r="G2561" s="76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6" t="inlineStr">
        <is>
          <t>2026-10-01</t>
        </is>
      </c>
      <c r="B2563" s="76" t="inlineStr">
        <is>
          <t>Pokemon Stats</t>
        </is>
      </c>
      <c r="C2563" s="76" t="inlineStr">
        <is>
          <t>Girafarig baseSpDefense</t>
        </is>
      </c>
      <c r="D2563" s="76" t="n">
        <v>65</v>
      </c>
      <c r="E2563" s="76" t="n">
        <v>70</v>
      </c>
      <c r="F2563" s="76" t="inlineStr">
        <is>
          <t>Differs from upstream baseline</t>
        </is>
      </c>
      <c r="G2563" s="76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6" t="inlineStr">
        <is>
          <t>2026-10-01</t>
        </is>
      </c>
      <c r="B2565" s="76" t="inlineStr">
        <is>
          <t>Abilities</t>
        </is>
      </c>
      <c r="C2565" s="76" t="inlineStr">
        <is>
          <t>Glaceon abilities</t>
        </is>
      </c>
      <c r="D2565" s="76" t="inlineStr">
        <is>
          <t>Snow Cloak / Snow Cloak / Ice Body</t>
        </is>
      </c>
      <c r="E2565" s="76" t="inlineStr">
        <is>
          <t>Snow Cloak / Ice Body / Ice Body</t>
        </is>
      </c>
      <c r="F2565" s="76" t="inlineStr">
        <is>
          <t>Differs from upstream baseline</t>
        </is>
      </c>
      <c r="G2565" s="76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6" t="inlineStr">
        <is>
          <t>2026-10-01</t>
        </is>
      </c>
      <c r="B2567" s="76" t="inlineStr">
        <is>
          <t>Pokemon Stats</t>
        </is>
      </c>
      <c r="C2567" s="76" t="inlineStr">
        <is>
          <t>Glalie baseSpeed</t>
        </is>
      </c>
      <c r="D2567" s="76" t="n">
        <v>80</v>
      </c>
      <c r="E2567" s="76" t="n">
        <v>100</v>
      </c>
      <c r="F2567" s="76" t="inlineStr">
        <is>
          <t>Differs from upstream baseline</t>
        </is>
      </c>
      <c r="G2567" s="76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6" t="inlineStr">
        <is>
          <t>2026-10-01</t>
        </is>
      </c>
      <c r="B2569" s="76" t="inlineStr">
        <is>
          <t>Pokemon Stats</t>
        </is>
      </c>
      <c r="C2569" s="76" t="inlineStr">
        <is>
          <t>Glalie baseSpAttack</t>
        </is>
      </c>
      <c r="D2569" s="76" t="n">
        <v>120</v>
      </c>
      <c r="E2569" s="76" t="n">
        <v>140</v>
      </c>
      <c r="F2569" s="76" t="inlineStr">
        <is>
          <t>Differs from upstream baseline</t>
        </is>
      </c>
      <c r="G2569" s="76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6" t="inlineStr">
        <is>
          <t>2026-10-01</t>
        </is>
      </c>
      <c r="B2571" s="76" t="inlineStr">
        <is>
          <t>Abilities</t>
        </is>
      </c>
      <c r="C2571" s="76" t="inlineStr">
        <is>
          <t>Glameow abilities</t>
        </is>
      </c>
      <c r="D2571" s="76" t="inlineStr">
        <is>
          <t>Limber / Own Tempo / Keen Eye</t>
        </is>
      </c>
      <c r="E2571" s="76" t="inlineStr">
        <is>
          <t>Limber / Limber / Keen Eye</t>
        </is>
      </c>
      <c r="F2571" s="76" t="inlineStr">
        <is>
          <t>Differs from upstream baseline</t>
        </is>
      </c>
      <c r="G2571" s="76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6" t="inlineStr">
        <is>
          <t>2026-10-01</t>
        </is>
      </c>
      <c r="B2573" s="76" t="inlineStr">
        <is>
          <t>Abilities</t>
        </is>
      </c>
      <c r="C2573" s="76" t="inlineStr">
        <is>
          <t>Gliscor abilities</t>
        </is>
      </c>
      <c r="D2573" s="76" t="inlineStr">
        <is>
          <t>Hyper Cutter / Sand Veil / Poison Heal</t>
        </is>
      </c>
      <c r="E2573" s="76" t="inlineStr">
        <is>
          <t>Sand Veil / Sand Veil / Poison Heal</t>
        </is>
      </c>
      <c r="F2573" s="76" t="inlineStr">
        <is>
          <t>Differs from upstream baseline</t>
        </is>
      </c>
      <c r="G2573" s="76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6" t="inlineStr">
        <is>
          <t>2026-10-01</t>
        </is>
      </c>
      <c r="B2575" s="76" t="inlineStr">
        <is>
          <t>Pokemon Stats</t>
        </is>
      </c>
      <c r="C2575" s="76" t="inlineStr">
        <is>
          <t>Gogoat baseSpeed</t>
        </is>
      </c>
      <c r="D2575" s="76" t="n">
        <v>68</v>
      </c>
      <c r="E2575" s="76" t="n">
        <v>78</v>
      </c>
      <c r="F2575" s="76" t="inlineStr">
        <is>
          <t>Differs from upstream baseline</t>
        </is>
      </c>
      <c r="G2575" s="76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6" t="inlineStr">
        <is>
          <t>2026-10-01</t>
        </is>
      </c>
      <c r="B2577" s="76" t="inlineStr">
        <is>
          <t>Evolutions</t>
        </is>
      </c>
      <c r="C2577" s="76" t="inlineStr">
        <is>
          <t>Golbat evolution</t>
        </is>
      </c>
      <c r="D2577" s="76" t="inlineStr">
        <is>
          <t>Friendship -&gt; Crobat</t>
        </is>
      </c>
      <c r="E2577" s="76" t="inlineStr">
        <is>
          <t>Lv 48 -&gt; Crobat</t>
        </is>
      </c>
      <c r="F2577" s="76" t="inlineStr">
        <is>
          <t>Differs from upstream baseline</t>
        </is>
      </c>
      <c r="G2577" s="76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6" t="inlineStr">
        <is>
          <t>2026-10-01</t>
        </is>
      </c>
      <c r="B2579" s="76" t="inlineStr">
        <is>
          <t>Abilities</t>
        </is>
      </c>
      <c r="C2579" s="76" t="inlineStr">
        <is>
          <t>Golduck abilities</t>
        </is>
      </c>
      <c r="D2579" s="76" t="inlineStr">
        <is>
          <t>Damp / Cloud Nine / Swift Swim</t>
        </is>
      </c>
      <c r="E2579" s="76" t="inlineStr">
        <is>
          <t>Swift Swim / Swift Swim / Swift Swim</t>
        </is>
      </c>
      <c r="F2579" s="76" t="inlineStr">
        <is>
          <t>Differs from upstream baseline</t>
        </is>
      </c>
      <c r="G2579" s="76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6" t="inlineStr">
        <is>
          <t>2026-10-01</t>
        </is>
      </c>
      <c r="B2581" s="76" t="inlineStr">
        <is>
          <t>Pokemon Stats</t>
        </is>
      </c>
      <c r="C2581" s="76" t="inlineStr">
        <is>
          <t>Golem baseAttack</t>
        </is>
      </c>
      <c r="D2581" s="76" t="n">
        <v>120</v>
      </c>
      <c r="E2581" s="76" t="n">
        <v>130</v>
      </c>
      <c r="F2581" s="76" t="inlineStr">
        <is>
          <t>Differs from upstream baseline</t>
        </is>
      </c>
      <c r="G2581" s="76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6" t="inlineStr">
        <is>
          <t>2026-10-01</t>
        </is>
      </c>
      <c r="B2583" s="76" t="inlineStr">
        <is>
          <t>Abilities</t>
        </is>
      </c>
      <c r="C2583" s="76" t="inlineStr">
        <is>
          <t>Golem abilities</t>
        </is>
      </c>
      <c r="D2583" s="76" t="inlineStr">
        <is>
          <t>Rock Head / Sturdy / Sand Veil</t>
        </is>
      </c>
      <c r="E2583" s="76" t="inlineStr">
        <is>
          <t>Shell Armor / Shell Armor / Sand Veil</t>
        </is>
      </c>
      <c r="F2583" s="76" t="inlineStr">
        <is>
          <t>Differs from upstream baseline</t>
        </is>
      </c>
      <c r="G2583" s="76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6" t="inlineStr">
        <is>
          <t>2026-10-01</t>
        </is>
      </c>
      <c r="B2585" s="76" t="inlineStr">
        <is>
          <t>Pokemon Stats</t>
        </is>
      </c>
      <c r="C2585" s="76" t="inlineStr">
        <is>
          <t>Golett baseAttack</t>
        </is>
      </c>
      <c r="D2585" s="76" t="n">
        <v>74</v>
      </c>
      <c r="E2585" s="76" t="n">
        <v>79</v>
      </c>
      <c r="F2585" s="76" t="inlineStr">
        <is>
          <t>Differs from upstream baseline</t>
        </is>
      </c>
      <c r="G2585" s="76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6" t="inlineStr">
        <is>
          <t>2026-10-01</t>
        </is>
      </c>
      <c r="B2587" s="76" t="inlineStr">
        <is>
          <t>Pokemon Stats</t>
        </is>
      </c>
      <c r="C2587" s="76" t="inlineStr">
        <is>
          <t>Golett baseSpeed</t>
        </is>
      </c>
      <c r="D2587" s="76" t="n">
        <v>35</v>
      </c>
      <c r="E2587" s="76" t="n">
        <v>37</v>
      </c>
      <c r="F2587" s="76" t="inlineStr">
        <is>
          <t>Differs from upstream baseline</t>
        </is>
      </c>
      <c r="G2587" s="76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6" t="inlineStr">
        <is>
          <t>2026-10-01</t>
        </is>
      </c>
      <c r="B2589" s="76" t="inlineStr">
        <is>
          <t>Pokemon Stats</t>
        </is>
      </c>
      <c r="C2589" s="76" t="inlineStr">
        <is>
          <t>Golurk baseAttack</t>
        </is>
      </c>
      <c r="D2589" s="76" t="n">
        <v>124</v>
      </c>
      <c r="E2589" s="76" t="n">
        <v>148</v>
      </c>
      <c r="F2589" s="76" t="inlineStr">
        <is>
          <t>Differs from upstream baseline</t>
        </is>
      </c>
      <c r="G2589" s="76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6" t="inlineStr">
        <is>
          <t>2026-10-01</t>
        </is>
      </c>
      <c r="B2591" s="76" t="inlineStr">
        <is>
          <t>Pokemon Stats</t>
        </is>
      </c>
      <c r="C2591" s="76" t="inlineStr">
        <is>
          <t>Golurk baseSpeed</t>
        </is>
      </c>
      <c r="D2591" s="76" t="n">
        <v>55</v>
      </c>
      <c r="E2591" s="76" t="n">
        <v>66</v>
      </c>
      <c r="F2591" s="76" t="inlineStr">
        <is>
          <t>Differs from upstream baseline</t>
        </is>
      </c>
      <c r="G2591" s="76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6" t="inlineStr">
        <is>
          <t>2026-10-01</t>
        </is>
      </c>
      <c r="B2593" s="76" t="inlineStr">
        <is>
          <t>Pokemon Stats</t>
        </is>
      </c>
      <c r="C2593" s="76" t="inlineStr">
        <is>
          <t>Gothitelle baseHP</t>
        </is>
      </c>
      <c r="D2593" s="76" t="n">
        <v>70</v>
      </c>
      <c r="E2593" s="76" t="n">
        <v>90</v>
      </c>
      <c r="F2593" s="76" t="inlineStr">
        <is>
          <t>Differs from upstream baseline</t>
        </is>
      </c>
      <c r="G2593" s="76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6" t="inlineStr">
        <is>
          <t>2026-10-01</t>
        </is>
      </c>
      <c r="B2595" s="76" t="inlineStr">
        <is>
          <t>Pokemon Stats</t>
        </is>
      </c>
      <c r="C2595" s="76" t="inlineStr">
        <is>
          <t>Gothitelle baseSpAttack</t>
        </is>
      </c>
      <c r="D2595" s="76" t="n">
        <v>95</v>
      </c>
      <c r="E2595" s="76" t="n">
        <v>105</v>
      </c>
      <c r="F2595" s="76" t="inlineStr">
        <is>
          <t>Differs from upstream baseline</t>
        </is>
      </c>
      <c r="G2595" s="76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6" t="inlineStr">
        <is>
          <t>2026-10-01</t>
        </is>
      </c>
      <c r="B2597" s="76" t="inlineStr">
        <is>
          <t>Pokemon Stats</t>
        </is>
      </c>
      <c r="C2597" s="76" t="inlineStr">
        <is>
          <t>Gothorita baseAttack</t>
        </is>
      </c>
      <c r="D2597" s="76" t="n">
        <v>45</v>
      </c>
      <c r="E2597" s="76" t="n">
        <v>30</v>
      </c>
      <c r="F2597" s="76" t="inlineStr">
        <is>
          <t>Differs from upstream baseline</t>
        </is>
      </c>
      <c r="G2597" s="76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6" t="inlineStr">
        <is>
          <t>2026-10-01</t>
        </is>
      </c>
      <c r="B2599" s="76" t="inlineStr">
        <is>
          <t>Pokemon Stats</t>
        </is>
      </c>
      <c r="C2599" s="76" t="inlineStr">
        <is>
          <t>Gothorita baseSpeed</t>
        </is>
      </c>
      <c r="D2599" s="76" t="n">
        <v>55</v>
      </c>
      <c r="E2599" s="76" t="n">
        <v>62</v>
      </c>
      <c r="F2599" s="76" t="inlineStr">
        <is>
          <t>Differs from upstream baseline</t>
        </is>
      </c>
      <c r="G2599" s="76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6" t="inlineStr">
        <is>
          <t>2026-10-01</t>
        </is>
      </c>
      <c r="B2601" s="76" t="inlineStr">
        <is>
          <t>Pokemon Stats</t>
        </is>
      </c>
      <c r="C2601" s="76" t="inlineStr">
        <is>
          <t>Gourgeist baseAttack</t>
        </is>
      </c>
      <c r="D2601" s="76" t="n">
        <v>90</v>
      </c>
      <c r="E2601" s="76" t="n">
        <v>100</v>
      </c>
      <c r="F2601" s="76" t="inlineStr">
        <is>
          <t>Differs from upstream baseline</t>
        </is>
      </c>
      <c r="G2601" s="76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6" t="inlineStr">
        <is>
          <t>2026-10-01</t>
        </is>
      </c>
      <c r="B2603" s="76" t="inlineStr">
        <is>
          <t>Pokemon Stats</t>
        </is>
      </c>
      <c r="C2603" s="76" t="inlineStr">
        <is>
          <t>Gourgeist baseSpAttack</t>
        </is>
      </c>
      <c r="D2603" s="76" t="n">
        <v>58</v>
      </c>
      <c r="E2603" s="76" t="n">
        <v>30</v>
      </c>
      <c r="F2603" s="76" t="inlineStr">
        <is>
          <t>Differs from upstream baseline</t>
        </is>
      </c>
      <c r="G2603" s="76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6" t="inlineStr">
        <is>
          <t>2026-10-01</t>
        </is>
      </c>
      <c r="B2605" s="76" t="inlineStr">
        <is>
          <t>Pokemon Stats</t>
        </is>
      </c>
      <c r="C2605" s="76" t="inlineStr">
        <is>
          <t>Gourgeist baseAttack</t>
        </is>
      </c>
      <c r="D2605" s="76" t="n">
        <v>100</v>
      </c>
      <c r="E2605" s="76" t="n">
        <v>115</v>
      </c>
      <c r="F2605" s="76" t="inlineStr">
        <is>
          <t>Differs from upstream baseline</t>
        </is>
      </c>
      <c r="G2605" s="76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6" t="inlineStr">
        <is>
          <t>2026-10-01</t>
        </is>
      </c>
      <c r="B2607" s="76" t="inlineStr">
        <is>
          <t>Abilities</t>
        </is>
      </c>
      <c r="C2607" s="76" t="inlineStr">
        <is>
          <t>Granbull abilities</t>
        </is>
      </c>
      <c r="D2607" s="76" t="inlineStr">
        <is>
          <t>Intimidate / Quick Feet / Rattled</t>
        </is>
      </c>
      <c r="E2607" s="76" t="inlineStr">
        <is>
          <t>Intimidate / Intimidate / Rattled</t>
        </is>
      </c>
      <c r="F2607" s="76" t="inlineStr">
        <is>
          <t>Differs from upstream baseline</t>
        </is>
      </c>
      <c r="G2607" s="76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6" t="inlineStr">
        <is>
          <t>2026-10-01</t>
        </is>
      </c>
      <c r="B2609" s="76" t="inlineStr">
        <is>
          <t>Pokemon Stats</t>
        </is>
      </c>
      <c r="C2609" s="76" t="inlineStr">
        <is>
          <t>Graveler baseAttack</t>
        </is>
      </c>
      <c r="D2609" s="76" t="n">
        <v>95</v>
      </c>
      <c r="E2609" s="76" t="n">
        <v>110</v>
      </c>
      <c r="F2609" s="76" t="inlineStr">
        <is>
          <t>Differs from upstream baseline</t>
        </is>
      </c>
      <c r="G2609" s="76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6" t="inlineStr">
        <is>
          <t>2026-10-01</t>
        </is>
      </c>
      <c r="B2611" s="76" t="inlineStr">
        <is>
          <t>Pokemon Stats</t>
        </is>
      </c>
      <c r="C2611" s="76" t="inlineStr">
        <is>
          <t>Graveler baseSpDefense</t>
        </is>
      </c>
      <c r="D2611" s="76" t="n">
        <v>45</v>
      </c>
      <c r="E2611" s="76" t="n">
        <v>65</v>
      </c>
      <c r="F2611" s="76" t="inlineStr">
        <is>
          <t>Differs from upstream baseline</t>
        </is>
      </c>
      <c r="G2611" s="76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6" t="inlineStr">
        <is>
          <t>2026-10-01</t>
        </is>
      </c>
      <c r="B2613" s="76" t="inlineStr">
        <is>
          <t>Abilities</t>
        </is>
      </c>
      <c r="C2613" s="76" t="inlineStr">
        <is>
          <t>Graveler abilities</t>
        </is>
      </c>
      <c r="D2613" s="76" t="inlineStr">
        <is>
          <t>Rock Head / Sturdy / Sand Veil</t>
        </is>
      </c>
      <c r="E2613" s="76" t="inlineStr">
        <is>
          <t>Rock Head / Rough Skin / Sand Veil</t>
        </is>
      </c>
      <c r="F2613" s="76" t="inlineStr">
        <is>
          <t>Differs from upstream baseline</t>
        </is>
      </c>
      <c r="G2613" s="76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6" t="inlineStr">
        <is>
          <t>2026-10-01</t>
        </is>
      </c>
      <c r="B2615" s="76" t="inlineStr">
        <is>
          <t>Pokemon Stats</t>
        </is>
      </c>
      <c r="C2615" s="76" t="inlineStr">
        <is>
          <t>Grimer baseSpDefense</t>
        </is>
      </c>
      <c r="D2615" s="76" t="n">
        <v>50</v>
      </c>
      <c r="E2615" s="76" t="n">
        <v>75</v>
      </c>
      <c r="F2615" s="76" t="inlineStr">
        <is>
          <t>Differs from upstream baseline</t>
        </is>
      </c>
      <c r="G2615" s="76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6" t="inlineStr">
        <is>
          <t>2026-10-01</t>
        </is>
      </c>
      <c r="B2617" s="76" t="inlineStr">
        <is>
          <t>Abilities</t>
        </is>
      </c>
      <c r="C2617" s="76" t="inlineStr">
        <is>
          <t>Grimer abilities</t>
        </is>
      </c>
      <c r="D2617" s="76" t="inlineStr">
        <is>
          <t>Poison Touch / Gluttony / Power Of Alchemy</t>
        </is>
      </c>
      <c r="E2617" s="76" t="inlineStr">
        <is>
          <t>Aftermath / Aftermath / Power Of Alchemy</t>
        </is>
      </c>
      <c r="F2617" s="76" t="inlineStr">
        <is>
          <t>Differs from upstream baseline</t>
        </is>
      </c>
      <c r="G2617" s="76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6" t="inlineStr">
        <is>
          <t>2026-10-01</t>
        </is>
      </c>
      <c r="B2619" s="76" t="inlineStr">
        <is>
          <t>Abilities</t>
        </is>
      </c>
      <c r="C2619" s="76" t="inlineStr">
        <is>
          <t>Groudon abilities</t>
        </is>
      </c>
      <c r="D2619" s="76" t="inlineStr">
        <is>
          <t>Drought</t>
        </is>
      </c>
      <c r="E2619" s="76" t="inlineStr">
        <is>
          <t>Pressure</t>
        </is>
      </c>
      <c r="F2619" s="76" t="inlineStr">
        <is>
          <t>Differs from upstream baseline</t>
        </is>
      </c>
      <c r="G2619" s="76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6" t="inlineStr">
        <is>
          <t>2026-10-01</t>
        </is>
      </c>
      <c r="B2621" s="76" t="inlineStr">
        <is>
          <t>Abilities</t>
        </is>
      </c>
      <c r="C2621" s="76" t="inlineStr">
        <is>
          <t>Growlithe abilities</t>
        </is>
      </c>
      <c r="D2621" s="76" t="inlineStr">
        <is>
          <t>Intimidate / Flash Fire / Justified</t>
        </is>
      </c>
      <c r="E2621" s="76" t="inlineStr">
        <is>
          <t>Intimidate / Intimidate / Justified</t>
        </is>
      </c>
      <c r="F2621" s="76" t="inlineStr">
        <is>
          <t>Differs from upstream baseline</t>
        </is>
      </c>
      <c r="G2621" s="76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6" t="inlineStr">
        <is>
          <t>2026-10-01</t>
        </is>
      </c>
      <c r="B2623" s="76" t="inlineStr">
        <is>
          <t>Abilities</t>
        </is>
      </c>
      <c r="C2623" s="76" t="inlineStr">
        <is>
          <t>Gulpin abilities</t>
        </is>
      </c>
      <c r="D2623" s="76" t="inlineStr">
        <is>
          <t>Liquid Ooze / Sticky Hold / Gluttony</t>
        </is>
      </c>
      <c r="E2623" s="76" t="inlineStr">
        <is>
          <t>Gluttony / Gluttony / Gluttony</t>
        </is>
      </c>
      <c r="F2623" s="76" t="inlineStr">
        <is>
          <t>Differs from upstream baseline</t>
        </is>
      </c>
      <c r="G2623" s="76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6" t="inlineStr">
        <is>
          <t>2026-10-01</t>
        </is>
      </c>
      <c r="B2625" s="76" t="inlineStr">
        <is>
          <t>Pokemon Stats</t>
        </is>
      </c>
      <c r="C2625" s="76" t="inlineStr">
        <is>
          <t>Gurdurr baseSpAttack</t>
        </is>
      </c>
      <c r="D2625" s="76" t="n">
        <v>40</v>
      </c>
      <c r="E2625" s="76" t="n">
        <v>30</v>
      </c>
      <c r="F2625" s="76" t="inlineStr">
        <is>
          <t>Differs from upstream baseline</t>
        </is>
      </c>
      <c r="G2625" s="76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6" t="inlineStr">
        <is>
          <t>2026-10-01</t>
        </is>
      </c>
      <c r="B2627" s="76" t="inlineStr">
        <is>
          <t>Pokemon Stats</t>
        </is>
      </c>
      <c r="C2627" s="76" t="inlineStr">
        <is>
          <t>Gyarados baseSpAttack</t>
        </is>
      </c>
      <c r="D2627" s="76" t="n">
        <v>70</v>
      </c>
      <c r="E2627" s="76" t="n">
        <v>85</v>
      </c>
      <c r="F2627" s="76" t="inlineStr">
        <is>
          <t>Differs from upstream baseline</t>
        </is>
      </c>
      <c r="G2627" s="76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6" t="inlineStr">
        <is>
          <t>2026-10-01</t>
        </is>
      </c>
      <c r="B2629" s="76" t="inlineStr">
        <is>
          <t>Pokemon Stats</t>
        </is>
      </c>
      <c r="C2629" s="76" t="inlineStr">
        <is>
          <t>Haunter baseHP</t>
        </is>
      </c>
      <c r="D2629" s="76" t="n">
        <v>45</v>
      </c>
      <c r="E2629" s="76" t="n">
        <v>60</v>
      </c>
      <c r="F2629" s="76" t="inlineStr">
        <is>
          <t>Differs from upstream baseline</t>
        </is>
      </c>
      <c r="G2629" s="76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6" t="inlineStr">
        <is>
          <t>2026-10-01</t>
        </is>
      </c>
      <c r="B2631" s="76" t="inlineStr">
        <is>
          <t>Pokemon Stats</t>
        </is>
      </c>
      <c r="C2631" s="76" t="inlineStr">
        <is>
          <t>Haunter baseSpDefense</t>
        </is>
      </c>
      <c r="D2631" s="76" t="n">
        <v>55</v>
      </c>
      <c r="E2631" s="76" t="n">
        <v>75</v>
      </c>
      <c r="F2631" s="76" t="inlineStr">
        <is>
          <t>Differs from upstream baseline</t>
        </is>
      </c>
      <c r="G2631" s="76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6" t="inlineStr">
        <is>
          <t>2026-10-01</t>
        </is>
      </c>
      <c r="B2633" s="76" t="inlineStr">
        <is>
          <t>Pokemon Stats</t>
        </is>
      </c>
      <c r="C2633" s="76" t="inlineStr">
        <is>
          <t>Haxorus baseAttack</t>
        </is>
      </c>
      <c r="D2633" s="76" t="n">
        <v>147</v>
      </c>
      <c r="E2633" s="76" t="n">
        <v>163</v>
      </c>
      <c r="F2633" s="76" t="inlineStr">
        <is>
          <t>Differs from upstream baseline</t>
        </is>
      </c>
      <c r="G2633" s="76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6" t="inlineStr">
        <is>
          <t>2026-10-01</t>
        </is>
      </c>
      <c r="B2635" s="76" t="inlineStr">
        <is>
          <t>Pokemon Stats</t>
        </is>
      </c>
      <c r="C2635" s="76" t="inlineStr">
        <is>
          <t>Haxorus baseSpeed</t>
        </is>
      </c>
      <c r="D2635" s="76" t="n">
        <v>97</v>
      </c>
      <c r="E2635" s="76" t="n">
        <v>111</v>
      </c>
      <c r="F2635" s="76" t="inlineStr">
        <is>
          <t>Differs from upstream baseline</t>
        </is>
      </c>
      <c r="G2635" s="76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6" t="inlineStr">
        <is>
          <t>2026-10-01</t>
        </is>
      </c>
      <c r="B2637" s="76" t="inlineStr">
        <is>
          <t>Pokemon Stats</t>
        </is>
      </c>
      <c r="C2637" s="76" t="inlineStr">
        <is>
          <t>Heatmor baseDefense</t>
        </is>
      </c>
      <c r="D2637" s="76" t="n">
        <v>66</v>
      </c>
      <c r="E2637" s="76" t="n">
        <v>69</v>
      </c>
      <c r="F2637" s="76" t="inlineStr">
        <is>
          <t>Differs from upstream baseline</t>
        </is>
      </c>
      <c r="G2637" s="76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6" t="inlineStr">
        <is>
          <t>2026-10-01</t>
        </is>
      </c>
      <c r="B2639" s="76" t="inlineStr">
        <is>
          <t>Pokemon Stats</t>
        </is>
      </c>
      <c r="C2639" s="76" t="inlineStr">
        <is>
          <t>Heatmor baseSpDefense</t>
        </is>
      </c>
      <c r="D2639" s="76" t="n">
        <v>66</v>
      </c>
      <c r="E2639" s="76" t="n">
        <v>69</v>
      </c>
      <c r="F2639" s="76" t="inlineStr">
        <is>
          <t>Differs from upstream baseline</t>
        </is>
      </c>
      <c r="G2639" s="76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6" t="inlineStr">
        <is>
          <t>2026-10-01</t>
        </is>
      </c>
      <c r="B2641" s="76" t="inlineStr">
        <is>
          <t>Pokemon Stats</t>
        </is>
      </c>
      <c r="C2641" s="76" t="inlineStr">
        <is>
          <t>Heliolisk baseAttack</t>
        </is>
      </c>
      <c r="D2641" s="76" t="n">
        <v>55</v>
      </c>
      <c r="E2641" s="76" t="n">
        <v>30</v>
      </c>
      <c r="F2641" s="76" t="inlineStr">
        <is>
          <t>Differs from upstream baseline</t>
        </is>
      </c>
      <c r="G2641" s="76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6" t="inlineStr">
        <is>
          <t>2026-10-01</t>
        </is>
      </c>
      <c r="B2643" s="76" t="inlineStr">
        <is>
          <t>Pokemon Stats</t>
        </is>
      </c>
      <c r="C2643" s="76" t="inlineStr">
        <is>
          <t>Heliolisk baseSpeed</t>
        </is>
      </c>
      <c r="D2643" s="76" t="n">
        <v>109</v>
      </c>
      <c r="E2643" s="76" t="n">
        <v>130</v>
      </c>
      <c r="F2643" s="76" t="inlineStr">
        <is>
          <t>Differs from upstream baseline</t>
        </is>
      </c>
      <c r="G2643" s="76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6" t="inlineStr">
        <is>
          <t>2026-10-01</t>
        </is>
      </c>
      <c r="B2645" s="76" t="inlineStr">
        <is>
          <t>Pokemon Stats</t>
        </is>
      </c>
      <c r="C2645" s="76" t="inlineStr">
        <is>
          <t>Helioptile baseAttack</t>
        </is>
      </c>
      <c r="D2645" s="76" t="n">
        <v>38</v>
      </c>
      <c r="E2645" s="76" t="n">
        <v>40</v>
      </c>
      <c r="F2645" s="76" t="inlineStr">
        <is>
          <t>Differs from upstream baseline</t>
        </is>
      </c>
      <c r="G2645" s="76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6" t="inlineStr">
        <is>
          <t>2026-10-01</t>
        </is>
      </c>
      <c r="B2647" s="76" t="inlineStr">
        <is>
          <t>Pokemon Stats</t>
        </is>
      </c>
      <c r="C2647" s="76" t="inlineStr">
        <is>
          <t>Helioptile baseSpDefense</t>
        </is>
      </c>
      <c r="D2647" s="76" t="n">
        <v>43</v>
      </c>
      <c r="E2647" s="76" t="n">
        <v>46</v>
      </c>
      <c r="F2647" s="76" t="inlineStr">
        <is>
          <t>Differs from upstream baseline</t>
        </is>
      </c>
      <c r="G2647" s="76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6" t="inlineStr">
        <is>
          <t>2026-10-01</t>
        </is>
      </c>
      <c r="B2649" s="76" t="inlineStr">
        <is>
          <t>Pokemon Stats</t>
        </is>
      </c>
      <c r="C2649" s="76" t="inlineStr">
        <is>
          <t>Herdier baseAttack</t>
        </is>
      </c>
      <c r="D2649" s="76" t="n">
        <v>80</v>
      </c>
      <c r="E2649" s="76" t="n">
        <v>87</v>
      </c>
      <c r="F2649" s="76" t="inlineStr">
        <is>
          <t>Differs from upstream baseline</t>
        </is>
      </c>
      <c r="G2649" s="76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6" t="inlineStr">
        <is>
          <t>2026-10-01</t>
        </is>
      </c>
      <c r="B2651" s="76" t="inlineStr">
        <is>
          <t>Pokemon Stats</t>
        </is>
      </c>
      <c r="C2651" s="76" t="inlineStr">
        <is>
          <t>Herdier baseSpeed</t>
        </is>
      </c>
      <c r="D2651" s="76" t="n">
        <v>60</v>
      </c>
      <c r="E2651" s="76" t="n">
        <v>66</v>
      </c>
      <c r="F2651" s="76" t="inlineStr">
        <is>
          <t>Differs from upstream baseline</t>
        </is>
      </c>
      <c r="G2651" s="76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6" t="inlineStr">
        <is>
          <t>2026-10-01</t>
        </is>
      </c>
      <c r="B2653" s="76" t="inlineStr">
        <is>
          <t>Abilities</t>
        </is>
      </c>
      <c r="C2653" s="76" t="inlineStr">
        <is>
          <t>Hippowdon abilities</t>
        </is>
      </c>
      <c r="D2653" s="76" t="inlineStr">
        <is>
          <t>Sand Stream / Sand Force</t>
        </is>
      </c>
      <c r="E2653" s="76" t="inlineStr">
        <is>
          <t>Thick Fat / Thick Fat / Sand Force</t>
        </is>
      </c>
      <c r="F2653" s="76" t="inlineStr">
        <is>
          <t>Differs from upstream baseline</t>
        </is>
      </c>
      <c r="G2653" s="76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6" t="inlineStr">
        <is>
          <t>2026-10-01</t>
        </is>
      </c>
      <c r="B2655" s="76" t="inlineStr">
        <is>
          <t>Abilities</t>
        </is>
      </c>
      <c r="C2655" s="76" t="inlineStr">
        <is>
          <t>Hitmonlee abilities</t>
        </is>
      </c>
      <c r="D2655" s="76" t="inlineStr">
        <is>
          <t>Limber / Reckless / Unburden</t>
        </is>
      </c>
      <c r="E2655" s="76" t="inlineStr">
        <is>
          <t>Quick Feet / Quick Feet / Unburden</t>
        </is>
      </c>
      <c r="F2655" s="76" t="inlineStr">
        <is>
          <t>Differs from upstream baseline</t>
        </is>
      </c>
      <c r="G2655" s="76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6" t="inlineStr">
        <is>
          <t>2026-10-01</t>
        </is>
      </c>
      <c r="B2657" s="76" t="inlineStr">
        <is>
          <t>Pokemon Stats</t>
        </is>
      </c>
      <c r="C2657" s="76" t="inlineStr">
        <is>
          <t>Honchkrow baseDefense</t>
        </is>
      </c>
      <c r="D2657" s="76" t="n">
        <v>52</v>
      </c>
      <c r="E2657" s="76" t="n">
        <v>62</v>
      </c>
      <c r="F2657" s="76" t="inlineStr">
        <is>
          <t>Differs from upstream baseline</t>
        </is>
      </c>
      <c r="G2657" s="76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6" t="inlineStr">
        <is>
          <t>2026-10-01</t>
        </is>
      </c>
      <c r="B2659" s="76" t="inlineStr">
        <is>
          <t>Pokemon Stats</t>
        </is>
      </c>
      <c r="C2659" s="76" t="inlineStr">
        <is>
          <t>Honchkrow baseSpDefense</t>
        </is>
      </c>
      <c r="D2659" s="76" t="n">
        <v>52</v>
      </c>
      <c r="E2659" s="76" t="n">
        <v>62</v>
      </c>
      <c r="F2659" s="76" t="inlineStr">
        <is>
          <t>Differs from upstream baseline</t>
        </is>
      </c>
      <c r="G2659" s="76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6" t="inlineStr">
        <is>
          <t>2026-10-01</t>
        </is>
      </c>
      <c r="B2661" s="76" t="inlineStr">
        <is>
          <t>Abilities</t>
        </is>
      </c>
      <c r="C2661" s="76" t="inlineStr">
        <is>
          <t>Honchkrow abilities</t>
        </is>
      </c>
      <c r="D2661" s="76" t="inlineStr">
        <is>
          <t>Insomnia / Super Luck / Moxie</t>
        </is>
      </c>
      <c r="E2661" s="76" t="inlineStr">
        <is>
          <t>Super Luck / Super Luck / Moxie</t>
        </is>
      </c>
      <c r="F2661" s="76" t="inlineStr">
        <is>
          <t>Differs from upstream baseline</t>
        </is>
      </c>
      <c r="G2661" s="76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6" t="inlineStr">
        <is>
          <t>2026-10-01</t>
        </is>
      </c>
      <c r="B2663" s="76" t="inlineStr">
        <is>
          <t>Pokemon Stats</t>
        </is>
      </c>
      <c r="C2663" s="76" t="inlineStr">
        <is>
          <t>Honedge baseSpAttack</t>
        </is>
      </c>
      <c r="D2663" s="76" t="n">
        <v>35</v>
      </c>
      <c r="E2663" s="76" t="n">
        <v>30</v>
      </c>
      <c r="F2663" s="76" t="inlineStr">
        <is>
          <t>Differs from upstream baseline</t>
        </is>
      </c>
      <c r="G2663" s="76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6" t="inlineStr">
        <is>
          <t>2026-10-01</t>
        </is>
      </c>
      <c r="B2665" s="76" t="inlineStr">
        <is>
          <t>Abilities</t>
        </is>
      </c>
      <c r="C2665" s="76" t="inlineStr">
        <is>
          <t>Hoothoot abilities</t>
        </is>
      </c>
      <c r="D2665" s="76" t="inlineStr">
        <is>
          <t>Insomnia / Keen Eye / Tinted Lens</t>
        </is>
      </c>
      <c r="E2665" s="76" t="inlineStr">
        <is>
          <t>Insomnia / Insomnia / Tinted Lens</t>
        </is>
      </c>
      <c r="F2665" s="76" t="inlineStr">
        <is>
          <t>Differs from upstream baseline</t>
        </is>
      </c>
      <c r="G2665" s="76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6" t="inlineStr">
        <is>
          <t>2026-10-01</t>
        </is>
      </c>
      <c r="B2667" s="76" t="inlineStr">
        <is>
          <t>Abilities</t>
        </is>
      </c>
      <c r="C2667" s="76" t="inlineStr">
        <is>
          <t>Horsea abilities</t>
        </is>
      </c>
      <c r="D2667" s="76" t="inlineStr">
        <is>
          <t>Swift Swim / Sniper / Damp</t>
        </is>
      </c>
      <c r="E2667" s="76" t="inlineStr">
        <is>
          <t>Swift Swim / Swift Swim / Damp</t>
        </is>
      </c>
      <c r="F2667" s="76" t="inlineStr">
        <is>
          <t>Differs from upstream baseline</t>
        </is>
      </c>
      <c r="G2667" s="76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6" t="inlineStr">
        <is>
          <t>2026-10-01</t>
        </is>
      </c>
      <c r="B2669" s="76" t="inlineStr">
        <is>
          <t>Pokemon Stats</t>
        </is>
      </c>
      <c r="C2669" s="76" t="inlineStr">
        <is>
          <t>Houndoom baseSpeed</t>
        </is>
      </c>
      <c r="D2669" s="76" t="n">
        <v>95</v>
      </c>
      <c r="E2669" s="76" t="n">
        <v>105</v>
      </c>
      <c r="F2669" s="76" t="inlineStr">
        <is>
          <t>Differs from upstream baseline</t>
        </is>
      </c>
      <c r="G2669" s="76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6" t="inlineStr">
        <is>
          <t>2026-10-01</t>
        </is>
      </c>
      <c r="B2671" s="76" t="inlineStr">
        <is>
          <t>Pokemon Stats</t>
        </is>
      </c>
      <c r="C2671" s="76" t="inlineStr">
        <is>
          <t>Houndoom baseSpAttack</t>
        </is>
      </c>
      <c r="D2671" s="76" t="n">
        <v>140</v>
      </c>
      <c r="E2671" s="76" t="n">
        <v>150</v>
      </c>
      <c r="F2671" s="76" t="inlineStr">
        <is>
          <t>Differs from upstream baseline</t>
        </is>
      </c>
      <c r="G2671" s="76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6" t="inlineStr">
        <is>
          <t>2026-10-01</t>
        </is>
      </c>
      <c r="B2673" s="76" t="inlineStr">
        <is>
          <t>Abilities</t>
        </is>
      </c>
      <c r="C2673" s="76" t="inlineStr">
        <is>
          <t>Houndour abilities</t>
        </is>
      </c>
      <c r="D2673" s="76" t="inlineStr">
        <is>
          <t>Early Bird / Flash Fire / Unnerve</t>
        </is>
      </c>
      <c r="E2673" s="76" t="inlineStr">
        <is>
          <t>Solar Power / Solar Power / Unnerve</t>
        </is>
      </c>
      <c r="F2673" s="76" t="inlineStr">
        <is>
          <t>Differs from upstream baseline</t>
        </is>
      </c>
      <c r="G2673" s="76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6" t="inlineStr">
        <is>
          <t>2026-10-01</t>
        </is>
      </c>
      <c r="B2675" s="76" t="inlineStr">
        <is>
          <t>Pokemon Stats</t>
        </is>
      </c>
      <c r="C2675" s="76" t="inlineStr">
        <is>
          <t>Huntail baseAttack</t>
        </is>
      </c>
      <c r="D2675" s="76" t="n">
        <v>104</v>
      </c>
      <c r="E2675" s="76" t="n">
        <v>114</v>
      </c>
      <c r="F2675" s="76" t="inlineStr">
        <is>
          <t>Differs from upstream baseline</t>
        </is>
      </c>
      <c r="G2675" s="76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6" t="inlineStr">
        <is>
          <t>2026-10-01</t>
        </is>
      </c>
      <c r="B2677" s="76" t="inlineStr">
        <is>
          <t>Pokemon Stats</t>
        </is>
      </c>
      <c r="C2677" s="76" t="inlineStr">
        <is>
          <t>Hypno baseAttack</t>
        </is>
      </c>
      <c r="D2677" s="76" t="n">
        <v>73</v>
      </c>
      <c r="E2677" s="76" t="n">
        <v>93</v>
      </c>
      <c r="F2677" s="76" t="inlineStr">
        <is>
          <t>Differs from upstream baseline</t>
        </is>
      </c>
      <c r="G2677" s="76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6" t="inlineStr">
        <is>
          <t>2026-10-01</t>
        </is>
      </c>
      <c r="B2679" s="76" t="inlineStr">
        <is>
          <t>Abilities</t>
        </is>
      </c>
      <c r="C2679" s="76" t="inlineStr">
        <is>
          <t>Hypno abilities</t>
        </is>
      </c>
      <c r="D2679" s="76" t="inlineStr">
        <is>
          <t>Insomnia / Forewarn / Inner Focus</t>
        </is>
      </c>
      <c r="E2679" s="76" t="inlineStr">
        <is>
          <t>Bad Dreams / Bad Dreams / Inner Focus</t>
        </is>
      </c>
      <c r="F2679" s="76" t="inlineStr">
        <is>
          <t>Differs from upstream baseline</t>
        </is>
      </c>
      <c r="G2679" s="76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6" t="inlineStr">
        <is>
          <t>2026-10-01</t>
        </is>
      </c>
      <c r="B2681" s="76" t="inlineStr">
        <is>
          <t>Pokemon Stats</t>
        </is>
      </c>
      <c r="C2681" s="76" t="inlineStr">
        <is>
          <t>Igglybuff baseDefense</t>
        </is>
      </c>
      <c r="D2681" s="76" t="n">
        <v>15</v>
      </c>
      <c r="E2681" s="76" t="n">
        <v>20</v>
      </c>
      <c r="F2681" s="76" t="inlineStr">
        <is>
          <t>Differs from upstream baseline</t>
        </is>
      </c>
      <c r="G2681" s="76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6" t="inlineStr">
        <is>
          <t>2026-10-01</t>
        </is>
      </c>
      <c r="B2683" s="76" t="inlineStr">
        <is>
          <t>Pokemon Stats</t>
        </is>
      </c>
      <c r="C2683" s="76" t="inlineStr">
        <is>
          <t>Igglybuff baseSpDefense</t>
        </is>
      </c>
      <c r="D2683" s="76" t="n">
        <v>20</v>
      </c>
      <c r="E2683" s="76" t="n">
        <v>25</v>
      </c>
      <c r="F2683" s="76" t="inlineStr">
        <is>
          <t>Differs from upstream baseline</t>
        </is>
      </c>
      <c r="G2683" s="76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6" t="inlineStr">
        <is>
          <t>2026-10-01</t>
        </is>
      </c>
      <c r="B2685" s="76" t="inlineStr">
        <is>
          <t>Abilities</t>
        </is>
      </c>
      <c r="C2685" s="76" t="inlineStr">
        <is>
          <t>Igglybuff abilities</t>
        </is>
      </c>
      <c r="D2685" s="76" t="inlineStr">
        <is>
          <t>Cute Charm / Competitive / Friend Guard</t>
        </is>
      </c>
      <c r="E2685" s="76" t="inlineStr">
        <is>
          <t>Cute Charm / Friend Guard</t>
        </is>
      </c>
      <c r="F2685" s="76" t="inlineStr">
        <is>
          <t>Differs from upstream baseline</t>
        </is>
      </c>
      <c r="G2685" s="76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6" t="inlineStr">
        <is>
          <t>2026-10-01</t>
        </is>
      </c>
      <c r="B2687" s="76" t="inlineStr">
        <is>
          <t>Pokemon Stats</t>
        </is>
      </c>
      <c r="C2687" s="76" t="inlineStr">
        <is>
          <t>Illumise baseAttack</t>
        </is>
      </c>
      <c r="D2687" s="76" t="n">
        <v>47</v>
      </c>
      <c r="E2687" s="76" t="n">
        <v>77</v>
      </c>
      <c r="F2687" s="76" t="inlineStr">
        <is>
          <t>Differs from upstream baseline</t>
        </is>
      </c>
      <c r="G2687" s="76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6" t="inlineStr">
        <is>
          <t>2026-10-01</t>
        </is>
      </c>
      <c r="B2689" s="76" t="inlineStr">
        <is>
          <t>Pokemon Stats</t>
        </is>
      </c>
      <c r="C2689" s="76" t="inlineStr">
        <is>
          <t>Illumise baseSpDefense</t>
        </is>
      </c>
      <c r="D2689" s="76" t="n">
        <v>85</v>
      </c>
      <c r="E2689" s="76" t="n">
        <v>75</v>
      </c>
      <c r="F2689" s="76" t="inlineStr">
        <is>
          <t>Differs from upstream baseline</t>
        </is>
      </c>
      <c r="G2689" s="76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6" t="inlineStr">
        <is>
          <t>2026-10-01</t>
        </is>
      </c>
      <c r="B2691" s="76" t="inlineStr">
        <is>
          <t>Pokemon Stats</t>
        </is>
      </c>
      <c r="C2691" s="76" t="inlineStr">
        <is>
          <t>Infernape baseHP</t>
        </is>
      </c>
      <c r="D2691" s="76" t="n">
        <v>76</v>
      </c>
      <c r="E2691" s="76" t="n">
        <v>77</v>
      </c>
      <c r="F2691" s="76" t="inlineStr">
        <is>
          <t>Differs from upstream baseline</t>
        </is>
      </c>
      <c r="G2691" s="76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6" t="inlineStr">
        <is>
          <t>2026-10-01</t>
        </is>
      </c>
      <c r="B2693" s="76" t="inlineStr">
        <is>
          <t>Pokemon Stats</t>
        </is>
      </c>
      <c r="C2693" s="76" t="inlineStr">
        <is>
          <t>Inkay baseAttack</t>
        </is>
      </c>
      <c r="D2693" s="76" t="n">
        <v>54</v>
      </c>
      <c r="E2693" s="76" t="n">
        <v>55</v>
      </c>
      <c r="F2693" s="76" t="inlineStr">
        <is>
          <t>Differs from upstream baseline</t>
        </is>
      </c>
      <c r="G2693" s="76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6" t="inlineStr">
        <is>
          <t>2026-10-01</t>
        </is>
      </c>
      <c r="B2695" s="76" t="inlineStr">
        <is>
          <t>Pokemon Stats</t>
        </is>
      </c>
      <c r="C2695" s="76" t="inlineStr">
        <is>
          <t>Inkay baseSpDefense</t>
        </is>
      </c>
      <c r="D2695" s="76" t="n">
        <v>46</v>
      </c>
      <c r="E2695" s="76" t="n">
        <v>50</v>
      </c>
      <c r="F2695" s="76" t="inlineStr">
        <is>
          <t>Differs from upstream baseline</t>
        </is>
      </c>
      <c r="G2695" s="76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6" t="inlineStr">
        <is>
          <t>2026-10-01</t>
        </is>
      </c>
      <c r="B2697" s="76" t="inlineStr">
        <is>
          <t>Abilities</t>
        </is>
      </c>
      <c r="C2697" s="76" t="inlineStr">
        <is>
          <t>Ivysaur abilities</t>
        </is>
      </c>
      <c r="D2697" s="76" t="inlineStr">
        <is>
          <t>Overgrow / Chlorophyll</t>
        </is>
      </c>
      <c r="E2697" s="76" t="inlineStr">
        <is>
          <t>Overgrow / Overgrow / Chlorophyll</t>
        </is>
      </c>
      <c r="F2697" s="76" t="inlineStr">
        <is>
          <t>Differs from upstream baseline</t>
        </is>
      </c>
      <c r="G2697" s="76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6" t="inlineStr">
        <is>
          <t>2026-10-01</t>
        </is>
      </c>
      <c r="B2699" s="76" t="inlineStr">
        <is>
          <t>Pokemon Stats</t>
        </is>
      </c>
      <c r="C2699" s="76" t="inlineStr">
        <is>
          <t>Jigglypuff baseDefense</t>
        </is>
      </c>
      <c r="D2699" s="76" t="n">
        <v>20</v>
      </c>
      <c r="E2699" s="76" t="n">
        <v>38</v>
      </c>
      <c r="F2699" s="76" t="inlineStr">
        <is>
          <t>Differs from upstream baseline</t>
        </is>
      </c>
      <c r="G2699" s="76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6" t="inlineStr">
        <is>
          <t>2026-10-01</t>
        </is>
      </c>
      <c r="B2701" s="76" t="inlineStr">
        <is>
          <t>Pokemon Stats</t>
        </is>
      </c>
      <c r="C2701" s="76" t="inlineStr">
        <is>
          <t>Jigglypuff baseSpDefense</t>
        </is>
      </c>
      <c r="D2701" s="76" t="n">
        <v>25</v>
      </c>
      <c r="E2701" s="76" t="n">
        <v>55</v>
      </c>
      <c r="F2701" s="76" t="inlineStr">
        <is>
          <t>Differs from upstream baseline</t>
        </is>
      </c>
      <c r="G2701" s="76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6" t="inlineStr">
        <is>
          <t>2026-10-01</t>
        </is>
      </c>
      <c r="B2703" s="76" t="inlineStr">
        <is>
          <t>Abilities</t>
        </is>
      </c>
      <c r="C2703" s="76" t="inlineStr">
        <is>
          <t>Jolteon abilities</t>
        </is>
      </c>
      <c r="D2703" s="76" t="inlineStr">
        <is>
          <t>Volt Absorb / Volt Absorb / Quick Feet</t>
        </is>
      </c>
      <c r="E2703" s="76" t="inlineStr">
        <is>
          <t>Static / Rough Skin / Quick Feet</t>
        </is>
      </c>
      <c r="F2703" s="76" t="inlineStr">
        <is>
          <t>Differs from upstream baseline</t>
        </is>
      </c>
      <c r="G2703" s="76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6" t="inlineStr">
        <is>
          <t>2026-10-01</t>
        </is>
      </c>
      <c r="B2705" s="76" t="inlineStr">
        <is>
          <t>Abilities</t>
        </is>
      </c>
      <c r="C2705" s="76" t="inlineStr">
        <is>
          <t>Jumpluff abilities</t>
        </is>
      </c>
      <c r="D2705" s="76" t="inlineStr">
        <is>
          <t>Chlorophyll / Leaf Guard / Infiltrator</t>
        </is>
      </c>
      <c r="E2705" s="76" t="inlineStr">
        <is>
          <t>Chlorophyll / Chlorophyll / Infiltrator</t>
        </is>
      </c>
      <c r="F2705" s="76" t="inlineStr">
        <is>
          <t>Differs from upstream baseline</t>
        </is>
      </c>
      <c r="G2705" s="76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6" t="inlineStr">
        <is>
          <t>2026-10-01</t>
        </is>
      </c>
      <c r="B2707" s="76" t="inlineStr">
        <is>
          <t>Pokemon Stats</t>
        </is>
      </c>
      <c r="C2707" s="76" t="inlineStr">
        <is>
          <t>Jynx baseSpDefense</t>
        </is>
      </c>
      <c r="D2707" s="76" t="n">
        <v>95</v>
      </c>
      <c r="E2707" s="76" t="n">
        <v>113</v>
      </c>
      <c r="F2707" s="76" t="inlineStr">
        <is>
          <t>Differs from upstream baseline</t>
        </is>
      </c>
      <c r="G2707" s="76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6" t="inlineStr">
        <is>
          <t>2026-10-01</t>
        </is>
      </c>
      <c r="B2709" s="76" t="inlineStr">
        <is>
          <t>Pokemon Stats</t>
        </is>
      </c>
      <c r="C2709" s="76" t="inlineStr">
        <is>
          <t>Kadabra baseHP</t>
        </is>
      </c>
      <c r="D2709" s="76" t="n">
        <v>40</v>
      </c>
      <c r="E2709" s="76" t="n">
        <v>55</v>
      </c>
      <c r="F2709" s="76" t="inlineStr">
        <is>
          <t>Differs from upstream baseline</t>
        </is>
      </c>
      <c r="G2709" s="76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6" t="inlineStr">
        <is>
          <t>2026-10-01</t>
        </is>
      </c>
      <c r="B2711" s="76" t="inlineStr">
        <is>
          <t>Pokemon Stats</t>
        </is>
      </c>
      <c r="C2711" s="76" t="inlineStr">
        <is>
          <t>Kadabra baseSpDefense</t>
        </is>
      </c>
      <c r="D2711" s="76" t="n">
        <v>70</v>
      </c>
      <c r="E2711" s="76" t="n">
        <v>85</v>
      </c>
      <c r="F2711" s="76" t="inlineStr">
        <is>
          <t>Differs from upstream baseline</t>
        </is>
      </c>
      <c r="G2711" s="76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6" t="inlineStr">
        <is>
          <t>2026-10-01</t>
        </is>
      </c>
      <c r="B2713" s="76" t="inlineStr">
        <is>
          <t>Abilities</t>
        </is>
      </c>
      <c r="C2713" s="76" t="inlineStr">
        <is>
          <t>Kadabra abilities</t>
        </is>
      </c>
      <c r="D2713" s="76" t="inlineStr">
        <is>
          <t>Synchronize / Inner Focus / Magic Guard</t>
        </is>
      </c>
      <c r="E2713" s="76" t="inlineStr">
        <is>
          <t>Magic Guard / Inner Focus / Magic Guard</t>
        </is>
      </c>
      <c r="F2713" s="76" t="inlineStr">
        <is>
          <t>Differs from upstream baseline</t>
        </is>
      </c>
      <c r="G2713" s="76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6" t="inlineStr">
        <is>
          <t>2026-10-01</t>
        </is>
      </c>
      <c r="B2715" s="76" t="inlineStr">
        <is>
          <t>Abilities</t>
        </is>
      </c>
      <c r="C2715" s="76" t="inlineStr">
        <is>
          <t>Kangaskhan abilities</t>
        </is>
      </c>
      <c r="D2715" s="76" t="inlineStr">
        <is>
          <t>Early Bird / Scrappy / Inner Focus</t>
        </is>
      </c>
      <c r="E2715" s="76" t="inlineStr">
        <is>
          <t>Scrappy / Scrappy / Inner Focus</t>
        </is>
      </c>
      <c r="F2715" s="76" t="inlineStr">
        <is>
          <t>Differs from upstream baseline</t>
        </is>
      </c>
      <c r="G2715" s="76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6" t="inlineStr">
        <is>
          <t>2026-10-01</t>
        </is>
      </c>
      <c r="B2717" s="76" t="inlineStr">
        <is>
          <t>Pokemon Stats</t>
        </is>
      </c>
      <c r="C2717" s="76" t="inlineStr">
        <is>
          <t>Karrablast baseAttack</t>
        </is>
      </c>
      <c r="D2717" s="76" t="n">
        <v>75</v>
      </c>
      <c r="E2717" s="76" t="n">
        <v>84</v>
      </c>
      <c r="F2717" s="76" t="inlineStr">
        <is>
          <t>Differs from upstream baseline</t>
        </is>
      </c>
      <c r="G2717" s="76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6" t="inlineStr">
        <is>
          <t>2026-10-01</t>
        </is>
      </c>
      <c r="B2719" s="76" t="inlineStr">
        <is>
          <t>Pokemon Stats</t>
        </is>
      </c>
      <c r="C2719" s="76" t="inlineStr">
        <is>
          <t>Karrablast baseSpAttack</t>
        </is>
      </c>
      <c r="D2719" s="76" t="n">
        <v>40</v>
      </c>
      <c r="E2719" s="76" t="n">
        <v>30</v>
      </c>
      <c r="F2719" s="76" t="inlineStr">
        <is>
          <t>Differs from upstream baseline</t>
        </is>
      </c>
      <c r="G2719" s="76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6" t="inlineStr">
        <is>
          <t>2026-10-01</t>
        </is>
      </c>
      <c r="B2721" s="76" t="inlineStr">
        <is>
          <t>Pokemon Stats</t>
        </is>
      </c>
      <c r="C2721" s="76" t="inlineStr">
        <is>
          <t>Karrablast baseSpeed</t>
        </is>
      </c>
      <c r="D2721" s="76" t="n">
        <v>60</v>
      </c>
      <c r="E2721" s="76" t="n">
        <v>67</v>
      </c>
      <c r="F2721" s="76" t="inlineStr">
        <is>
          <t>Differs from upstream baseline</t>
        </is>
      </c>
      <c r="G2721" s="76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6" t="inlineStr">
        <is>
          <t>2026-10-01</t>
        </is>
      </c>
      <c r="B2723" s="76" t="inlineStr">
        <is>
          <t>Pokemon Stats</t>
        </is>
      </c>
      <c r="C2723" s="76" t="inlineStr">
        <is>
          <t>Kecleon baseHP</t>
        </is>
      </c>
      <c r="D2723" s="76" t="n">
        <v>60</v>
      </c>
      <c r="E2723" s="76" t="n">
        <v>65</v>
      </c>
      <c r="F2723" s="76" t="inlineStr">
        <is>
          <t>Differs from upstream baseline</t>
        </is>
      </c>
      <c r="G2723" s="76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6" t="inlineStr">
        <is>
          <t>2026-10-01</t>
        </is>
      </c>
      <c r="B2725" s="76" t="inlineStr">
        <is>
          <t>Pokemon Stats</t>
        </is>
      </c>
      <c r="C2725" s="76" t="inlineStr">
        <is>
          <t>Kecleon baseSpDefense</t>
        </is>
      </c>
      <c r="D2725" s="76" t="n">
        <v>120</v>
      </c>
      <c r="E2725" s="76" t="n">
        <v>135</v>
      </c>
      <c r="F2725" s="76" t="inlineStr">
        <is>
          <t>Differs from upstream baseline</t>
        </is>
      </c>
      <c r="G2725" s="76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6" t="inlineStr">
        <is>
          <t>2026-10-01</t>
        </is>
      </c>
      <c r="B2727" s="76" t="inlineStr">
        <is>
          <t>Pokemon Stats</t>
        </is>
      </c>
      <c r="C2727" s="76" t="inlineStr">
        <is>
          <t>Keldeo baseAttack</t>
        </is>
      </c>
      <c r="D2727" s="76" t="n">
        <v>72</v>
      </c>
      <c r="E2727" s="76" t="n">
        <v>32</v>
      </c>
      <c r="F2727" s="76" t="inlineStr">
        <is>
          <t>Differs from upstream baseline</t>
        </is>
      </c>
      <c r="G2727" s="76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6" t="inlineStr">
        <is>
          <t>2026-10-01</t>
        </is>
      </c>
      <c r="B2729" s="76" t="inlineStr">
        <is>
          <t>Pokemon Stats</t>
        </is>
      </c>
      <c r="C2729" s="76" t="inlineStr">
        <is>
          <t>Keldeo baseSpeed</t>
        </is>
      </c>
      <c r="D2729" s="76" t="n">
        <v>108</v>
      </c>
      <c r="E2729" s="76" t="n">
        <v>126</v>
      </c>
      <c r="F2729" s="76" t="inlineStr">
        <is>
          <t>Differs from upstream baseline</t>
        </is>
      </c>
      <c r="G2729" s="76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6" t="inlineStr">
        <is>
          <t>2026-10-01</t>
        </is>
      </c>
      <c r="B2731" s="76" t="inlineStr">
        <is>
          <t>Pokemon Stats</t>
        </is>
      </c>
      <c r="C2731" s="76" t="inlineStr">
        <is>
          <t>Kingambit baseSpAttack</t>
        </is>
      </c>
      <c r="D2731" s="76" t="n">
        <v>60</v>
      </c>
      <c r="E2731" s="76" t="n">
        <v>30</v>
      </c>
      <c r="F2731" s="76" t="inlineStr">
        <is>
          <t>Differs from upstream baseline</t>
        </is>
      </c>
      <c r="G2731" s="76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6" t="inlineStr">
        <is>
          <t>2026-10-01</t>
        </is>
      </c>
      <c r="B2733" s="76" t="inlineStr">
        <is>
          <t>Abilities</t>
        </is>
      </c>
      <c r="C2733" s="76" t="inlineStr">
        <is>
          <t>Kingdra abilities</t>
        </is>
      </c>
      <c r="D2733" s="76" t="inlineStr">
        <is>
          <t>Swift Swim / Sniper / Damp</t>
        </is>
      </c>
      <c r="E2733" s="76" t="inlineStr">
        <is>
          <t>Swift Swim / Swift Swim / Damp</t>
        </is>
      </c>
      <c r="F2733" s="76" t="inlineStr">
        <is>
          <t>Differs from upstream baseline</t>
        </is>
      </c>
      <c r="G2733" s="76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6" t="inlineStr">
        <is>
          <t>2026-10-01</t>
        </is>
      </c>
      <c r="B2735" s="76" t="inlineStr">
        <is>
          <t>Abilities</t>
        </is>
      </c>
      <c r="C2735" s="76" t="inlineStr">
        <is>
          <t>Kirlia abilities</t>
        </is>
      </c>
      <c r="D2735" s="76" t="inlineStr">
        <is>
          <t>Synchronize / Trace / Telepathy</t>
        </is>
      </c>
      <c r="E2735" s="76" t="inlineStr">
        <is>
          <t>Trace / Trace / Telepathy</t>
        </is>
      </c>
      <c r="F2735" s="76" t="inlineStr">
        <is>
          <t>Differs from upstream baseline</t>
        </is>
      </c>
      <c r="G2735" s="76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6" t="inlineStr">
        <is>
          <t>2026-10-01</t>
        </is>
      </c>
      <c r="B2737" s="76" t="inlineStr">
        <is>
          <t>Pokemon Stats</t>
        </is>
      </c>
      <c r="C2737" s="76" t="inlineStr">
        <is>
          <t>Kleavor baseAttack</t>
        </is>
      </c>
      <c r="D2737" s="76" t="n">
        <v>135</v>
      </c>
      <c r="E2737" s="76" t="n">
        <v>143</v>
      </c>
      <c r="F2737" s="76" t="inlineStr">
        <is>
          <t>Differs from upstream baseline</t>
        </is>
      </c>
      <c r="G2737" s="76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6" t="inlineStr">
        <is>
          <t>2026-10-01</t>
        </is>
      </c>
      <c r="B2739" s="76" t="inlineStr">
        <is>
          <t>Pokemon Stats</t>
        </is>
      </c>
      <c r="C2739" s="76" t="inlineStr">
        <is>
          <t>Kleavor baseSpeed</t>
        </is>
      </c>
      <c r="D2739" s="76" t="n">
        <v>85</v>
      </c>
      <c r="E2739" s="76" t="n">
        <v>92</v>
      </c>
      <c r="F2739" s="76" t="inlineStr">
        <is>
          <t>Differs from upstream baseline</t>
        </is>
      </c>
      <c r="G2739" s="76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6" t="inlineStr">
        <is>
          <t>2026-10-01</t>
        </is>
      </c>
      <c r="B2741" s="76" t="inlineStr">
        <is>
          <t>Pokemon Stats</t>
        </is>
      </c>
      <c r="C2741" s="76" t="inlineStr">
        <is>
          <t>Klefki baseAttack</t>
        </is>
      </c>
      <c r="D2741" s="76" t="n">
        <v>80</v>
      </c>
      <c r="E2741" s="76" t="n">
        <v>87</v>
      </c>
      <c r="F2741" s="76" t="inlineStr">
        <is>
          <t>Differs from upstream baseline</t>
        </is>
      </c>
      <c r="G2741" s="76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6" t="inlineStr">
        <is>
          <t>2026-10-01</t>
        </is>
      </c>
      <c r="B2743" s="76" t="inlineStr">
        <is>
          <t>Pokemon Stats</t>
        </is>
      </c>
      <c r="C2743" s="76" t="inlineStr">
        <is>
          <t>Klinklang baseHP</t>
        </is>
      </c>
      <c r="D2743" s="76" t="n">
        <v>60</v>
      </c>
      <c r="E2743" s="76" t="n">
        <v>70</v>
      </c>
      <c r="F2743" s="76" t="inlineStr">
        <is>
          <t>Differs from upstream baseline</t>
        </is>
      </c>
      <c r="G2743" s="76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6" t="inlineStr">
        <is>
          <t>2026-10-01</t>
        </is>
      </c>
      <c r="B2745" s="76" t="inlineStr">
        <is>
          <t>Abilities</t>
        </is>
      </c>
      <c r="C2745" s="76" t="inlineStr">
        <is>
          <t>Koffing abilities</t>
        </is>
      </c>
      <c r="D2745" s="76" t="inlineStr">
        <is>
          <t>Levitate / Neutralizing Gas / Stench</t>
        </is>
      </c>
      <c r="E2745" s="76" t="inlineStr">
        <is>
          <t>Levitate / Stench</t>
        </is>
      </c>
      <c r="F2745" s="76" t="inlineStr">
        <is>
          <t>Differs from upstream baseline</t>
        </is>
      </c>
      <c r="G2745" s="76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6" t="inlineStr">
        <is>
          <t>2026-10-01</t>
        </is>
      </c>
      <c r="B2747" s="76" t="inlineStr">
        <is>
          <t>Abilities</t>
        </is>
      </c>
      <c r="C2747" s="76" t="inlineStr">
        <is>
          <t>Krabby abilities</t>
        </is>
      </c>
      <c r="D2747" s="76" t="inlineStr">
        <is>
          <t>Hyper Cutter / Shell Armor / Sheer Force</t>
        </is>
      </c>
      <c r="E2747" s="76" t="inlineStr">
        <is>
          <t>Hyper Cutter / Hyper Cutter / Sheer Force</t>
        </is>
      </c>
      <c r="F2747" s="76" t="inlineStr">
        <is>
          <t>Differs from upstream baseline</t>
        </is>
      </c>
      <c r="G2747" s="76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6" t="inlineStr">
        <is>
          <t>2026-10-01</t>
        </is>
      </c>
      <c r="B2749" s="76" t="inlineStr">
        <is>
          <t>Pokemon Stats</t>
        </is>
      </c>
      <c r="C2749" s="76" t="inlineStr">
        <is>
          <t>Krokorok baseHP</t>
        </is>
      </c>
      <c r="D2749" s="76" t="n">
        <v>60</v>
      </c>
      <c r="E2749" s="76" t="n">
        <v>63</v>
      </c>
      <c r="F2749" s="76" t="inlineStr">
        <is>
          <t>Differs from upstream baseline</t>
        </is>
      </c>
      <c r="G2749" s="76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6" t="inlineStr">
        <is>
          <t>2026-10-01</t>
        </is>
      </c>
      <c r="B2751" s="76" t="inlineStr">
        <is>
          <t>Pokemon Stats</t>
        </is>
      </c>
      <c r="C2751" s="76" t="inlineStr">
        <is>
          <t>Krokorok baseDefense</t>
        </is>
      </c>
      <c r="D2751" s="76" t="n">
        <v>45</v>
      </c>
      <c r="E2751" s="76" t="n">
        <v>55</v>
      </c>
      <c r="F2751" s="76" t="inlineStr">
        <is>
          <t>Differs from upstream baseline</t>
        </is>
      </c>
      <c r="G2751" s="76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6" t="inlineStr">
        <is>
          <t>2026-10-01</t>
        </is>
      </c>
      <c r="B2753" s="76" t="inlineStr">
        <is>
          <t>Pokemon Stats</t>
        </is>
      </c>
      <c r="C2753" s="76" t="inlineStr">
        <is>
          <t>Krokorok baseSpDefense</t>
        </is>
      </c>
      <c r="D2753" s="76" t="n">
        <v>45</v>
      </c>
      <c r="E2753" s="76" t="n">
        <v>57</v>
      </c>
      <c r="F2753" s="76" t="inlineStr">
        <is>
          <t>Differs from upstream baseline</t>
        </is>
      </c>
      <c r="G2753" s="76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6" t="inlineStr">
        <is>
          <t>2026-10-01</t>
        </is>
      </c>
      <c r="B2755" s="76" t="inlineStr">
        <is>
          <t>Pokemon Stats</t>
        </is>
      </c>
      <c r="C2755" s="76" t="inlineStr">
        <is>
          <t>Krookodile baseAttack</t>
        </is>
      </c>
      <c r="D2755" s="76" t="n">
        <v>117</v>
      </c>
      <c r="E2755" s="76" t="n">
        <v>136</v>
      </c>
      <c r="F2755" s="76" t="inlineStr">
        <is>
          <t>Differs from upstream baseline</t>
        </is>
      </c>
      <c r="G2755" s="76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6" t="inlineStr">
        <is>
          <t>2026-10-01</t>
        </is>
      </c>
      <c r="B2757" s="76" t="inlineStr">
        <is>
          <t>Pokemon Stats</t>
        </is>
      </c>
      <c r="C2757" s="76" t="inlineStr">
        <is>
          <t>Krookodile baseSpeed</t>
        </is>
      </c>
      <c r="D2757" s="76" t="n">
        <v>92</v>
      </c>
      <c r="E2757" s="76" t="n">
        <v>108</v>
      </c>
      <c r="F2757" s="76" t="inlineStr">
        <is>
          <t>Differs from upstream baseline</t>
        </is>
      </c>
      <c r="G2757" s="76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6" t="inlineStr">
        <is>
          <t>2026-10-01</t>
        </is>
      </c>
      <c r="B2759" s="76" t="inlineStr">
        <is>
          <t>Abilities</t>
        </is>
      </c>
      <c r="C2759" s="76" t="inlineStr">
        <is>
          <t>Kyogre abilities</t>
        </is>
      </c>
      <c r="D2759" s="76" t="inlineStr">
        <is>
          <t>Primordial Sea / Primordial Sea</t>
        </is>
      </c>
      <c r="E2759" s="76" t="inlineStr">
        <is>
          <t>Water Bubble / Water Bubble</t>
        </is>
      </c>
      <c r="F2759" s="76" t="inlineStr">
        <is>
          <t>Differs from upstream baseline</t>
        </is>
      </c>
      <c r="G2759" s="76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6" t="inlineStr">
        <is>
          <t>2026-10-01</t>
        </is>
      </c>
      <c r="B2761" s="76" t="inlineStr">
        <is>
          <t>Pokemon Stats</t>
        </is>
      </c>
      <c r="C2761" s="76" t="inlineStr">
        <is>
          <t>Lampent baseHP</t>
        </is>
      </c>
      <c r="D2761" s="76" t="n">
        <v>60</v>
      </c>
      <c r="E2761" s="76" t="n">
        <v>62</v>
      </c>
      <c r="F2761" s="76" t="inlineStr">
        <is>
          <t>Differs from upstream baseline</t>
        </is>
      </c>
      <c r="G2761" s="76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6" t="inlineStr">
        <is>
          <t>2026-10-01</t>
        </is>
      </c>
      <c r="B2763" s="76" t="inlineStr">
        <is>
          <t>Pokemon Stats</t>
        </is>
      </c>
      <c r="C2763" s="76" t="inlineStr">
        <is>
          <t>Lampent baseSpAttack</t>
        </is>
      </c>
      <c r="D2763" s="76" t="n">
        <v>95</v>
      </c>
      <c r="E2763" s="76" t="n">
        <v>102</v>
      </c>
      <c r="F2763" s="76" t="inlineStr">
        <is>
          <t>Differs from upstream baseline</t>
        </is>
      </c>
      <c r="G2763" s="76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6" t="inlineStr">
        <is>
          <t>2026-10-01</t>
        </is>
      </c>
      <c r="B2765" s="76" t="inlineStr">
        <is>
          <t>Pokemon Stats</t>
        </is>
      </c>
      <c r="C2765" s="76" t="inlineStr">
        <is>
          <t>Lampent baseSpeed</t>
        </is>
      </c>
      <c r="D2765" s="76" t="n">
        <v>55</v>
      </c>
      <c r="E2765" s="76" t="n">
        <v>62</v>
      </c>
      <c r="F2765" s="76" t="inlineStr">
        <is>
          <t>Differs from upstream baseline</t>
        </is>
      </c>
      <c r="G2765" s="76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6" t="inlineStr">
        <is>
          <t>2026-10-01</t>
        </is>
      </c>
      <c r="B2767" s="76" t="inlineStr">
        <is>
          <t>Pokemon Stats</t>
        </is>
      </c>
      <c r="C2767" s="76" t="inlineStr">
        <is>
          <t>Lapras baseAttack</t>
        </is>
      </c>
      <c r="D2767" s="76" t="n">
        <v>85</v>
      </c>
      <c r="E2767" s="76" t="n">
        <v>95</v>
      </c>
      <c r="F2767" s="76" t="inlineStr">
        <is>
          <t>Differs from upstream baseline</t>
        </is>
      </c>
      <c r="G2767" s="76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6" t="inlineStr">
        <is>
          <t>2026-10-01</t>
        </is>
      </c>
      <c r="B2769" s="76" t="inlineStr">
        <is>
          <t>Abilities</t>
        </is>
      </c>
      <c r="C2769" s="76" t="inlineStr">
        <is>
          <t>Lapras abilities</t>
        </is>
      </c>
      <c r="D2769" s="76" t="inlineStr">
        <is>
          <t>Water Absorb / Shell Armor / Hydration</t>
        </is>
      </c>
      <c r="E2769" s="76" t="inlineStr">
        <is>
          <t>Serene Grace / Shell Armor / Hydration</t>
        </is>
      </c>
      <c r="F2769" s="76" t="inlineStr">
        <is>
          <t>Differs from upstream baseline</t>
        </is>
      </c>
      <c r="G2769" s="76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6" t="inlineStr">
        <is>
          <t>2026-10-01</t>
        </is>
      </c>
      <c r="B2771" s="76" t="inlineStr">
        <is>
          <t>Pokemon Stats</t>
        </is>
      </c>
      <c r="C2771" s="76" t="inlineStr">
        <is>
          <t>Larvesta baseSpAttack</t>
        </is>
      </c>
      <c r="D2771" s="76" t="n">
        <v>50</v>
      </c>
      <c r="E2771" s="76" t="n">
        <v>30</v>
      </c>
      <c r="F2771" s="76" t="inlineStr">
        <is>
          <t>Differs from upstream baseline</t>
        </is>
      </c>
      <c r="G2771" s="76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6" t="inlineStr">
        <is>
          <t>2026-10-01</t>
        </is>
      </c>
      <c r="B2773" s="76" t="inlineStr">
        <is>
          <t>Evolutions</t>
        </is>
      </c>
      <c r="C2773" s="76" t="inlineStr">
        <is>
          <t>Larvesta evolution</t>
        </is>
      </c>
      <c r="D2773" s="76" t="inlineStr">
        <is>
          <t>Lv 59 -&gt; Volcarona</t>
        </is>
      </c>
      <c r="E2773" s="76" t="inlineStr">
        <is>
          <t>Lv 48 -&gt; Volcarona</t>
        </is>
      </c>
      <c r="F2773" s="76" t="inlineStr">
        <is>
          <t>Differs from upstream baseline</t>
        </is>
      </c>
      <c r="G2773" s="76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6" t="inlineStr">
        <is>
          <t>2026-10-01</t>
        </is>
      </c>
      <c r="B2775" s="76" t="inlineStr">
        <is>
          <t>Abilities</t>
        </is>
      </c>
      <c r="C2775" s="76" t="inlineStr">
        <is>
          <t>Leafeon abilities</t>
        </is>
      </c>
      <c r="D2775" s="76" t="inlineStr">
        <is>
          <t>Leaf Guard / Leaf Guard / Chlorophyll</t>
        </is>
      </c>
      <c r="E2775" s="76" t="inlineStr">
        <is>
          <t>Magic Guard / Natural Cure / Chlorophyll</t>
        </is>
      </c>
      <c r="F2775" s="76" t="inlineStr">
        <is>
          <t>Differs from upstream baseline</t>
        </is>
      </c>
      <c r="G2775" s="76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6" t="inlineStr">
        <is>
          <t>2026-10-01</t>
        </is>
      </c>
      <c r="B2777" s="76" t="inlineStr">
        <is>
          <t>Pokemon Stats</t>
        </is>
      </c>
      <c r="C2777" s="76" t="inlineStr">
        <is>
          <t>Leavanny baseAttack</t>
        </is>
      </c>
      <c r="D2777" s="76" t="n">
        <v>103</v>
      </c>
      <c r="E2777" s="76" t="n">
        <v>113</v>
      </c>
      <c r="F2777" s="76" t="inlineStr">
        <is>
          <t>Differs from upstream baseline</t>
        </is>
      </c>
      <c r="G2777" s="76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6" t="inlineStr">
        <is>
          <t>2026-10-01</t>
        </is>
      </c>
      <c r="B2779" s="76" t="inlineStr">
        <is>
          <t>Pokemon Stats</t>
        </is>
      </c>
      <c r="C2779" s="76" t="inlineStr">
        <is>
          <t>Leavanny baseSpDefense</t>
        </is>
      </c>
      <c r="D2779" s="76" t="n">
        <v>80</v>
      </c>
      <c r="E2779" s="76" t="n">
        <v>85</v>
      </c>
      <c r="F2779" s="76" t="inlineStr">
        <is>
          <t>Differs from upstream baseline</t>
        </is>
      </c>
      <c r="G2779" s="76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6" t="inlineStr">
        <is>
          <t>2026-10-01</t>
        </is>
      </c>
      <c r="B2781" s="76" t="inlineStr">
        <is>
          <t>Abilities</t>
        </is>
      </c>
      <c r="C2781" s="76" t="inlineStr">
        <is>
          <t>Leavanny abilities</t>
        </is>
      </c>
      <c r="D2781" s="76" t="inlineStr">
        <is>
          <t>Swarm / Chlorophyll / Overcoat</t>
        </is>
      </c>
      <c r="E2781" s="76" t="inlineStr">
        <is>
          <t>Swarm / Chlorophyll / Sharpness</t>
        </is>
      </c>
      <c r="F2781" s="76" t="inlineStr">
        <is>
          <t>Differs from upstream baseline</t>
        </is>
      </c>
      <c r="G2781" s="76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6" t="inlineStr">
        <is>
          <t>2026-10-01</t>
        </is>
      </c>
      <c r="B2783" s="76" t="inlineStr">
        <is>
          <t>Abilities</t>
        </is>
      </c>
      <c r="C2783" s="76" t="inlineStr">
        <is>
          <t>Ledian abilities</t>
        </is>
      </c>
      <c r="D2783" s="76" t="inlineStr">
        <is>
          <t>Swarm / Early Bird / Iron Fist</t>
        </is>
      </c>
      <c r="E2783" s="76" t="inlineStr">
        <is>
          <t>Iron Fist / Iron Fist / Iron Fist</t>
        </is>
      </c>
      <c r="F2783" s="76" t="inlineStr">
        <is>
          <t>Differs from upstream baseline</t>
        </is>
      </c>
      <c r="G2783" s="76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6" t="inlineStr">
        <is>
          <t>2026-10-01</t>
        </is>
      </c>
      <c r="B2785" s="76" t="inlineStr">
        <is>
          <t>Abilities</t>
        </is>
      </c>
      <c r="C2785" s="76" t="inlineStr">
        <is>
          <t>Ledyba abilities</t>
        </is>
      </c>
      <c r="D2785" s="76" t="inlineStr">
        <is>
          <t>Swarm / Early Bird / Rattled</t>
        </is>
      </c>
      <c r="E2785" s="76" t="inlineStr">
        <is>
          <t>Swarm / Swarm / Rattled</t>
        </is>
      </c>
      <c r="F2785" s="76" t="inlineStr">
        <is>
          <t>Differs from upstream baseline</t>
        </is>
      </c>
      <c r="G2785" s="76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6" t="inlineStr">
        <is>
          <t>2026-10-01</t>
        </is>
      </c>
      <c r="B2787" s="76" t="inlineStr">
        <is>
          <t>Pokemon Stats</t>
        </is>
      </c>
      <c r="C2787" s="76" t="inlineStr">
        <is>
          <t>Lickitung baseAttack</t>
        </is>
      </c>
      <c r="D2787" s="76" t="n">
        <v>55</v>
      </c>
      <c r="E2787" s="76" t="n">
        <v>60</v>
      </c>
      <c r="F2787" s="76" t="inlineStr">
        <is>
          <t>Differs from upstream baseline</t>
        </is>
      </c>
      <c r="G2787" s="76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6" t="inlineStr">
        <is>
          <t>2026-10-01</t>
        </is>
      </c>
      <c r="B2789" s="76" t="inlineStr">
        <is>
          <t>Pokemon Stats</t>
        </is>
      </c>
      <c r="C2789" s="76" t="inlineStr">
        <is>
          <t>Liepard baseHP</t>
        </is>
      </c>
      <c r="D2789" s="76" t="n">
        <v>64</v>
      </c>
      <c r="E2789" s="76" t="n">
        <v>66</v>
      </c>
      <c r="F2789" s="76" t="inlineStr">
        <is>
          <t>Differs from upstream baseline</t>
        </is>
      </c>
      <c r="G2789" s="76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6" t="inlineStr">
        <is>
          <t>2026-10-01</t>
        </is>
      </c>
      <c r="B2791" s="76" t="inlineStr">
        <is>
          <t>Pokemon Stats</t>
        </is>
      </c>
      <c r="C2791" s="76" t="inlineStr">
        <is>
          <t>Liepard baseDefense</t>
        </is>
      </c>
      <c r="D2791" s="76" t="n">
        <v>50</v>
      </c>
      <c r="E2791" s="76" t="n">
        <v>59</v>
      </c>
      <c r="F2791" s="76" t="inlineStr">
        <is>
          <t>Differs from upstream baseline</t>
        </is>
      </c>
      <c r="G2791" s="76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6" t="inlineStr">
        <is>
          <t>2026-10-01</t>
        </is>
      </c>
      <c r="B2793" s="76" t="inlineStr">
        <is>
          <t>Pokemon Stats</t>
        </is>
      </c>
      <c r="C2793" s="76" t="inlineStr">
        <is>
          <t>Liepard baseSpeed</t>
        </is>
      </c>
      <c r="D2793" s="76" t="n">
        <v>106</v>
      </c>
      <c r="E2793" s="76" t="n">
        <v>116</v>
      </c>
      <c r="F2793" s="76" t="inlineStr">
        <is>
          <t>Differs from upstream baseline</t>
        </is>
      </c>
      <c r="G2793" s="76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6" t="inlineStr">
        <is>
          <t>2026-10-01</t>
        </is>
      </c>
      <c r="B2795" s="76" t="inlineStr">
        <is>
          <t>Pokemon Stats</t>
        </is>
      </c>
      <c r="C2795" s="76" t="inlineStr">
        <is>
          <t>Lilligant baseAttack</t>
        </is>
      </c>
      <c r="D2795" s="76" t="n">
        <v>60</v>
      </c>
      <c r="E2795" s="76" t="n">
        <v>30</v>
      </c>
      <c r="F2795" s="76" t="inlineStr">
        <is>
          <t>Differs from upstream baseline</t>
        </is>
      </c>
      <c r="G2795" s="76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6" t="inlineStr">
        <is>
          <t>2026-10-01</t>
        </is>
      </c>
      <c r="B2797" s="76" t="inlineStr">
        <is>
          <t>Pokemon Stats</t>
        </is>
      </c>
      <c r="C2797" s="76" t="inlineStr">
        <is>
          <t>Lilligant baseSpeed</t>
        </is>
      </c>
      <c r="D2797" s="76" t="n">
        <v>90</v>
      </c>
      <c r="E2797" s="76" t="n">
        <v>114</v>
      </c>
      <c r="F2797" s="76" t="inlineStr">
        <is>
          <t>Differs from upstream baseline</t>
        </is>
      </c>
      <c r="G2797" s="76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6" t="inlineStr">
        <is>
          <t>2026-10-01</t>
        </is>
      </c>
      <c r="B2799" s="76" t="inlineStr">
        <is>
          <t>Pokemon Stats</t>
        </is>
      </c>
      <c r="C2799" s="76" t="inlineStr">
        <is>
          <t>Lilligant baseSpAttack</t>
        </is>
      </c>
      <c r="D2799" s="76" t="n">
        <v>50</v>
      </c>
      <c r="E2799" s="76" t="n">
        <v>30</v>
      </c>
      <c r="F2799" s="76" t="inlineStr">
        <is>
          <t>Differs from upstream baseline</t>
        </is>
      </c>
      <c r="G2799" s="76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6" t="inlineStr">
        <is>
          <t>2026-10-01</t>
        </is>
      </c>
      <c r="B2801" s="76" t="inlineStr">
        <is>
          <t>Abilities</t>
        </is>
      </c>
      <c r="C2801" s="76" t="inlineStr">
        <is>
          <t>Linoone abilities</t>
        </is>
      </c>
      <c r="D2801" s="76" t="inlineStr">
        <is>
          <t>Pickup / Gluttony / Quick Feet</t>
        </is>
      </c>
      <c r="E2801" s="76" t="inlineStr">
        <is>
          <t>Gluttony / Gluttony / Quick Feet</t>
        </is>
      </c>
      <c r="F2801" s="76" t="inlineStr">
        <is>
          <t>Differs from upstream baseline</t>
        </is>
      </c>
      <c r="G2801" s="76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6" t="inlineStr">
        <is>
          <t>2026-10-01</t>
        </is>
      </c>
      <c r="B2803" s="76" t="inlineStr">
        <is>
          <t>Pokemon Stats</t>
        </is>
      </c>
      <c r="C2803" s="76" t="inlineStr">
        <is>
          <t>Lopunny baseSpDefense</t>
        </is>
      </c>
      <c r="D2803" s="76" t="n">
        <v>96</v>
      </c>
      <c r="E2803" s="76" t="n">
        <v>116</v>
      </c>
      <c r="F2803" s="76" t="inlineStr">
        <is>
          <t>Differs from upstream baseline</t>
        </is>
      </c>
      <c r="G2803" s="76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6" t="inlineStr">
        <is>
          <t>2026-10-01</t>
        </is>
      </c>
      <c r="B2805" s="76" t="inlineStr">
        <is>
          <t>Pokemon Stats</t>
        </is>
      </c>
      <c r="C2805" s="76" t="inlineStr">
        <is>
          <t>Lopunny baseAttack</t>
        </is>
      </c>
      <c r="D2805" s="76" t="n">
        <v>136</v>
      </c>
      <c r="E2805" s="76" t="n">
        <v>146</v>
      </c>
      <c r="F2805" s="76" t="inlineStr">
        <is>
          <t>Differs from upstream baseline</t>
        </is>
      </c>
      <c r="G2805" s="76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6" t="inlineStr">
        <is>
          <t>2026-10-01</t>
        </is>
      </c>
      <c r="B2807" s="76" t="inlineStr">
        <is>
          <t>Abilities</t>
        </is>
      </c>
      <c r="C2807" s="76" t="inlineStr">
        <is>
          <t>Lucario abilities</t>
        </is>
      </c>
      <c r="D2807" s="76" t="inlineStr">
        <is>
          <t>Steadfast / Inner Focus / Justified</t>
        </is>
      </c>
      <c r="E2807" s="76" t="inlineStr">
        <is>
          <t>Iron Fist / Adaptability / Justified</t>
        </is>
      </c>
      <c r="F2807" s="76" t="inlineStr">
        <is>
          <t>Differs from upstream baseline</t>
        </is>
      </c>
      <c r="G2807" s="76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6" t="inlineStr">
        <is>
          <t>2026-10-01</t>
        </is>
      </c>
      <c r="B2809" s="76" t="inlineStr">
        <is>
          <t>Pokemon Stats</t>
        </is>
      </c>
      <c r="C2809" s="76" t="inlineStr">
        <is>
          <t>Lumineon baseAttack</t>
        </is>
      </c>
      <c r="D2809" s="76" t="n">
        <v>69</v>
      </c>
      <c r="E2809" s="76" t="n">
        <v>85</v>
      </c>
      <c r="F2809" s="76" t="inlineStr">
        <is>
          <t>Differs from upstream baseline</t>
        </is>
      </c>
      <c r="G2809" s="76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6" t="inlineStr">
        <is>
          <t>2026-10-01</t>
        </is>
      </c>
      <c r="B2811" s="76" t="inlineStr">
        <is>
          <t>Abilities</t>
        </is>
      </c>
      <c r="C2811" s="76" t="inlineStr">
        <is>
          <t>Lumineon abilities</t>
        </is>
      </c>
      <c r="D2811" s="76" t="inlineStr">
        <is>
          <t>Swift Swim / Storm Drain / Water Veil</t>
        </is>
      </c>
      <c r="E2811" s="76" t="inlineStr">
        <is>
          <t>Swift Swim / Chlorophyll / Water Veil</t>
        </is>
      </c>
      <c r="F2811" s="76" t="inlineStr">
        <is>
          <t>Differs from upstream baseline</t>
        </is>
      </c>
      <c r="G2811" s="76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6" t="inlineStr">
        <is>
          <t>2026-10-01</t>
        </is>
      </c>
      <c r="B2813" s="76" t="inlineStr">
        <is>
          <t>Abilities</t>
        </is>
      </c>
      <c r="C2813" s="76" t="inlineStr">
        <is>
          <t>Luxio abilities</t>
        </is>
      </c>
      <c r="D2813" s="76" t="inlineStr">
        <is>
          <t>Rivalry / Intimidate / Guts</t>
        </is>
      </c>
      <c r="E2813" s="76" t="inlineStr">
        <is>
          <t>Hyper Cutter / Hyper Cutter / Guts</t>
        </is>
      </c>
      <c r="F2813" s="76" t="inlineStr">
        <is>
          <t>Differs from upstream baseline</t>
        </is>
      </c>
      <c r="G2813" s="76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6" t="inlineStr">
        <is>
          <t>2026-10-01</t>
        </is>
      </c>
      <c r="B2815" s="76" t="inlineStr">
        <is>
          <t>Pokemon Stats</t>
        </is>
      </c>
      <c r="C2815" s="76" t="inlineStr">
        <is>
          <t>Luxray baseSpeed</t>
        </is>
      </c>
      <c r="D2815" s="76" t="n">
        <v>70</v>
      </c>
      <c r="E2815" s="76" t="n">
        <v>95</v>
      </c>
      <c r="F2815" s="76" t="inlineStr">
        <is>
          <t>Differs from upstream baseline</t>
        </is>
      </c>
      <c r="G2815" s="76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6" t="inlineStr">
        <is>
          <t>2026-10-01</t>
        </is>
      </c>
      <c r="B2817" s="76" t="inlineStr">
        <is>
          <t>Pokemon Stats</t>
        </is>
      </c>
      <c r="C2817" s="76" t="inlineStr">
        <is>
          <t>Machamp baseAttack</t>
        </is>
      </c>
      <c r="D2817" s="76" t="n">
        <v>130</v>
      </c>
      <c r="E2817" s="76" t="n">
        <v>140</v>
      </c>
      <c r="F2817" s="76" t="inlineStr">
        <is>
          <t>Differs from upstream baseline</t>
        </is>
      </c>
      <c r="G2817" s="76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6" t="inlineStr">
        <is>
          <t>2026-10-01</t>
        </is>
      </c>
      <c r="B2819" s="76" t="inlineStr">
        <is>
          <t>Pokemon Stats</t>
        </is>
      </c>
      <c r="C2819" s="76" t="inlineStr">
        <is>
          <t>Machoke baseAttack</t>
        </is>
      </c>
      <c r="D2819" s="76" t="n">
        <v>100</v>
      </c>
      <c r="E2819" s="76" t="n">
        <v>55</v>
      </c>
      <c r="F2819" s="76" t="inlineStr">
        <is>
          <t>Differs from upstream baseline</t>
        </is>
      </c>
      <c r="G2819" s="76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6" t="inlineStr">
        <is>
          <t>2026-10-01</t>
        </is>
      </c>
      <c r="B2821" s="76" t="inlineStr">
        <is>
          <t>Abilities</t>
        </is>
      </c>
      <c r="C2821" s="76" t="inlineStr">
        <is>
          <t>Machoke abilities</t>
        </is>
      </c>
      <c r="D2821" s="76" t="inlineStr">
        <is>
          <t>Guts / No Guard / Steadfast</t>
        </is>
      </c>
      <c r="E2821" s="76" t="inlineStr">
        <is>
          <t>Huge Power / Huge Power / Steadfast</t>
        </is>
      </c>
      <c r="F2821" s="76" t="inlineStr">
        <is>
          <t>Differs from upstream baseline</t>
        </is>
      </c>
      <c r="G2821" s="76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6" t="inlineStr">
        <is>
          <t>2026-10-01</t>
        </is>
      </c>
      <c r="B2823" s="76" t="inlineStr">
        <is>
          <t>Abilities</t>
        </is>
      </c>
      <c r="C2823" s="76" t="inlineStr">
        <is>
          <t>Machop abilities</t>
        </is>
      </c>
      <c r="D2823" s="76" t="inlineStr">
        <is>
          <t>Guts / No Guard / Steadfast</t>
        </is>
      </c>
      <c r="E2823" s="76" t="inlineStr">
        <is>
          <t>No Guard / No Guard / Steadfast</t>
        </is>
      </c>
      <c r="F2823" s="76" t="inlineStr">
        <is>
          <t>Differs from upstream baseline</t>
        </is>
      </c>
      <c r="G2823" s="76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6" t="inlineStr">
        <is>
          <t>2026-10-01</t>
        </is>
      </c>
      <c r="B2825" s="76" t="inlineStr">
        <is>
          <t>Pokemon Stats</t>
        </is>
      </c>
      <c r="C2825" s="76" t="inlineStr">
        <is>
          <t>Magcargo baseAttack</t>
        </is>
      </c>
      <c r="D2825" s="76" t="n">
        <v>50</v>
      </c>
      <c r="E2825" s="76" t="n">
        <v>80</v>
      </c>
      <c r="F2825" s="76" t="inlineStr">
        <is>
          <t>Differs from upstream baseline</t>
        </is>
      </c>
      <c r="G2825" s="76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6" t="inlineStr">
        <is>
          <t>2026-10-01</t>
        </is>
      </c>
      <c r="B2827" s="76" t="inlineStr">
        <is>
          <t>Pokemon Stats</t>
        </is>
      </c>
      <c r="C2827" s="76" t="inlineStr">
        <is>
          <t>Magcargo baseSpDefense</t>
        </is>
      </c>
      <c r="D2827" s="76" t="n">
        <v>80</v>
      </c>
      <c r="E2827" s="76" t="n">
        <v>100</v>
      </c>
      <c r="F2827" s="76" t="inlineStr">
        <is>
          <t>Differs from upstream baseline</t>
        </is>
      </c>
      <c r="G2827" s="76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6" t="inlineStr">
        <is>
          <t>2026-10-01</t>
        </is>
      </c>
      <c r="B2829" s="76" t="inlineStr">
        <is>
          <t>Abilities</t>
        </is>
      </c>
      <c r="C2829" s="76" t="inlineStr">
        <is>
          <t>Magmar abilities</t>
        </is>
      </c>
      <c r="D2829" s="76" t="inlineStr">
        <is>
          <t>Flame Body / Vital Spirit</t>
        </is>
      </c>
      <c r="E2829" s="76" t="inlineStr">
        <is>
          <t>Flame Body / Flame Body / Vital Spirit</t>
        </is>
      </c>
      <c r="F2829" s="76" t="inlineStr">
        <is>
          <t>Differs from upstream baseline</t>
        </is>
      </c>
      <c r="G2829" s="76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6" t="inlineStr">
        <is>
          <t>2026-10-01</t>
        </is>
      </c>
      <c r="B2831" s="76" t="inlineStr">
        <is>
          <t>Abilities</t>
        </is>
      </c>
      <c r="C2831" s="76" t="inlineStr">
        <is>
          <t>Magmortar abilities</t>
        </is>
      </c>
      <c r="D2831" s="76" t="inlineStr">
        <is>
          <t>Flame Body / Vital Spirit</t>
        </is>
      </c>
      <c r="E2831" s="76" t="inlineStr">
        <is>
          <t>Flame Body / Flame Body / Vital Spirit</t>
        </is>
      </c>
      <c r="F2831" s="76" t="inlineStr">
        <is>
          <t>Differs from upstream baseline</t>
        </is>
      </c>
      <c r="G2831" s="76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6" t="inlineStr">
        <is>
          <t>2026-10-01</t>
        </is>
      </c>
      <c r="B2833" s="76" t="inlineStr">
        <is>
          <t>Abilities</t>
        </is>
      </c>
      <c r="C2833" s="76" t="inlineStr">
        <is>
          <t>Magneton abilities</t>
        </is>
      </c>
      <c r="D2833" s="76" t="inlineStr">
        <is>
          <t>Magnet Pull / Sturdy / Analytic</t>
        </is>
      </c>
      <c r="E2833" s="76" t="inlineStr">
        <is>
          <t>Magnet Pull / Magnet Pull / Analytic</t>
        </is>
      </c>
      <c r="F2833" s="76" t="inlineStr">
        <is>
          <t>Differs from upstream baseline</t>
        </is>
      </c>
      <c r="G2833" s="76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6" t="inlineStr">
        <is>
          <t>2026-10-01</t>
        </is>
      </c>
      <c r="B2835" s="76" t="inlineStr">
        <is>
          <t>Abilities</t>
        </is>
      </c>
      <c r="C2835" s="76" t="inlineStr">
        <is>
          <t>Makuhita abilities</t>
        </is>
      </c>
      <c r="D2835" s="76" t="inlineStr">
        <is>
          <t>Thick Fat / Guts / Sheer Force</t>
        </is>
      </c>
      <c r="E2835" s="76" t="inlineStr">
        <is>
          <t>Guts / Guts / Sheer Force</t>
        </is>
      </c>
      <c r="F2835" s="76" t="inlineStr">
        <is>
          <t>Differs from upstream baseline</t>
        </is>
      </c>
      <c r="G2835" s="76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6" t="inlineStr">
        <is>
          <t>2026-10-01</t>
        </is>
      </c>
      <c r="B2837" s="76" t="inlineStr">
        <is>
          <t>Pokemon Stats</t>
        </is>
      </c>
      <c r="C2837" s="76" t="inlineStr">
        <is>
          <t>Malamar baseAttack</t>
        </is>
      </c>
      <c r="D2837" s="76" t="n">
        <v>92</v>
      </c>
      <c r="E2837" s="76" t="n">
        <v>102</v>
      </c>
      <c r="F2837" s="76" t="inlineStr">
        <is>
          <t>Differs from upstream baseline</t>
        </is>
      </c>
      <c r="G2837" s="76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6" t="inlineStr">
        <is>
          <t>2026-10-01</t>
        </is>
      </c>
      <c r="B2839" s="76" t="inlineStr">
        <is>
          <t>Pokemon Stats</t>
        </is>
      </c>
      <c r="C2839" s="76" t="inlineStr">
        <is>
          <t>Mamoswine baseSpDefense</t>
        </is>
      </c>
      <c r="D2839" s="76" t="n">
        <v>60</v>
      </c>
      <c r="E2839" s="76" t="n">
        <v>80</v>
      </c>
      <c r="F2839" s="76" t="inlineStr">
        <is>
          <t>Differs from upstream baseline</t>
        </is>
      </c>
      <c r="G2839" s="76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6" t="inlineStr">
        <is>
          <t>2026-10-01</t>
        </is>
      </c>
      <c r="B2841" s="76" t="inlineStr">
        <is>
          <t>Abilities</t>
        </is>
      </c>
      <c r="C2841" s="76" t="inlineStr">
        <is>
          <t>Manectric abilities</t>
        </is>
      </c>
      <c r="D2841" s="76" t="inlineStr">
        <is>
          <t>Static / Lightning Rod / Minus</t>
        </is>
      </c>
      <c r="E2841" s="76" t="inlineStr">
        <is>
          <t>Lightning Rod / Lightning Rod / Minus</t>
        </is>
      </c>
      <c r="F2841" s="76" t="inlineStr">
        <is>
          <t>Differs from upstream baseline</t>
        </is>
      </c>
      <c r="G2841" s="76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6" t="inlineStr">
        <is>
          <t>2026-10-01</t>
        </is>
      </c>
      <c r="B2843" s="76" t="inlineStr">
        <is>
          <t>Pokemon Stats</t>
        </is>
      </c>
      <c r="C2843" s="76" t="inlineStr">
        <is>
          <t>Mantine baseDefense</t>
        </is>
      </c>
      <c r="D2843" s="76" t="n">
        <v>70</v>
      </c>
      <c r="E2843" s="76" t="n">
        <v>80</v>
      </c>
      <c r="F2843" s="76" t="inlineStr">
        <is>
          <t>Differs from upstream baseline</t>
        </is>
      </c>
      <c r="G2843" s="76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6" t="inlineStr">
        <is>
          <t>2026-10-01</t>
        </is>
      </c>
      <c r="B2845" s="76" t="inlineStr">
        <is>
          <t>Abilities</t>
        </is>
      </c>
      <c r="C2845" s="76" t="inlineStr">
        <is>
          <t>Mantyke abilities</t>
        </is>
      </c>
      <c r="D2845" s="76" t="inlineStr">
        <is>
          <t>Swift Swim / Water Absorb / Water Veil</t>
        </is>
      </c>
      <c r="E2845" s="76" t="inlineStr">
        <is>
          <t>Swift Swim / Swift Swim / Water Veil</t>
        </is>
      </c>
      <c r="F2845" s="76" t="inlineStr">
        <is>
          <t>Differs from upstream baseline</t>
        </is>
      </c>
      <c r="G2845" s="76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6" t="inlineStr">
        <is>
          <t>2026-10-01</t>
        </is>
      </c>
      <c r="B2847" s="76" t="inlineStr">
        <is>
          <t>Pokemon Stats</t>
        </is>
      </c>
      <c r="C2847" s="76" t="inlineStr">
        <is>
          <t>Maractus baseHP</t>
        </is>
      </c>
      <c r="D2847" s="76" t="n">
        <v>75</v>
      </c>
      <c r="E2847" s="76" t="n">
        <v>90</v>
      </c>
      <c r="F2847" s="76" t="inlineStr">
        <is>
          <t>Differs from upstream baseline</t>
        </is>
      </c>
      <c r="G2847" s="76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6" t="inlineStr">
        <is>
          <t>2026-10-01</t>
        </is>
      </c>
      <c r="B2849" s="76" t="inlineStr">
        <is>
          <t>Pokemon Stats</t>
        </is>
      </c>
      <c r="C2849" s="76" t="inlineStr">
        <is>
          <t>Maractus baseDefense</t>
        </is>
      </c>
      <c r="D2849" s="76" t="n">
        <v>67</v>
      </c>
      <c r="E2849" s="76" t="n">
        <v>92</v>
      </c>
      <c r="F2849" s="76" t="inlineStr">
        <is>
          <t>Differs from upstream baseline</t>
        </is>
      </c>
      <c r="G2849" s="76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6" t="inlineStr">
        <is>
          <t>2026-10-01</t>
        </is>
      </c>
      <c r="B2851" s="76" t="inlineStr">
        <is>
          <t>Pokemon Stats</t>
        </is>
      </c>
      <c r="C2851" s="76" t="inlineStr">
        <is>
          <t>Maractus baseSpDefense</t>
        </is>
      </c>
      <c r="D2851" s="76" t="n">
        <v>67</v>
      </c>
      <c r="E2851" s="76" t="n">
        <v>74</v>
      </c>
      <c r="F2851" s="76" t="inlineStr">
        <is>
          <t>Differs from upstream baseline</t>
        </is>
      </c>
      <c r="G2851" s="76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6" t="inlineStr">
        <is>
          <t>2026-10-01</t>
        </is>
      </c>
      <c r="B2853" s="76" t="inlineStr">
        <is>
          <t>Abilities</t>
        </is>
      </c>
      <c r="C2853" s="76" t="inlineStr">
        <is>
          <t>Maractus abilities</t>
        </is>
      </c>
      <c r="D2853" s="76" t="inlineStr">
        <is>
          <t>Water Absorb / Chlorophyll / Storm Drain</t>
        </is>
      </c>
      <c r="E2853" s="76" t="inlineStr">
        <is>
          <t>Water Absorb / Storm Drain / Chlorophyll</t>
        </is>
      </c>
      <c r="F2853" s="76" t="inlineStr">
        <is>
          <t>Differs from upstream baseline</t>
        </is>
      </c>
      <c r="G2853" s="76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6" t="inlineStr">
        <is>
          <t>2026-10-01</t>
        </is>
      </c>
      <c r="B2855" s="76" t="inlineStr">
        <is>
          <t>Abilities</t>
        </is>
      </c>
      <c r="C2855" s="76" t="inlineStr">
        <is>
          <t>Marill abilities</t>
        </is>
      </c>
      <c r="D2855" s="76" t="inlineStr">
        <is>
          <t>Thick Fat / Huge Power / Sap Sipper</t>
        </is>
      </c>
      <c r="E2855" s="76" t="inlineStr">
        <is>
          <t>Huge Power / Huge Power / Sap Sipper</t>
        </is>
      </c>
      <c r="F2855" s="76" t="inlineStr">
        <is>
          <t>Differs from upstream baseline</t>
        </is>
      </c>
      <c r="G2855" s="76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6" t="inlineStr">
        <is>
          <t>2026-10-01</t>
        </is>
      </c>
      <c r="B2857" s="76" t="inlineStr">
        <is>
          <t>Abilities</t>
        </is>
      </c>
      <c r="C2857" s="76" t="inlineStr">
        <is>
          <t>Marowak abilities</t>
        </is>
      </c>
      <c r="D2857" s="76" t="inlineStr">
        <is>
          <t>Cursed Body / Lightning Rod / Rock Head</t>
        </is>
      </c>
      <c r="E2857" s="76" t="inlineStr">
        <is>
          <t>Lightning Rod / Rock Head / Rock Head</t>
        </is>
      </c>
      <c r="F2857" s="76" t="inlineStr">
        <is>
          <t>Differs from upstream baseline</t>
        </is>
      </c>
      <c r="G2857" s="76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6" t="inlineStr">
        <is>
          <t>2026-10-01</t>
        </is>
      </c>
      <c r="B2859" s="76" t="inlineStr">
        <is>
          <t>Abilities</t>
        </is>
      </c>
      <c r="C2859" s="76" t="inlineStr">
        <is>
          <t>Marshtomp abilities</t>
        </is>
      </c>
      <c r="D2859" s="76" t="inlineStr">
        <is>
          <t>Torrent / Damp</t>
        </is>
      </c>
      <c r="E2859" s="76" t="inlineStr">
        <is>
          <t>Torrent / Torrent / Damp</t>
        </is>
      </c>
      <c r="F2859" s="76" t="inlineStr">
        <is>
          <t>Differs from upstream baseline</t>
        </is>
      </c>
      <c r="G2859" s="76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6" t="inlineStr">
        <is>
          <t>2026-10-01</t>
        </is>
      </c>
      <c r="B2861" s="76" t="inlineStr">
        <is>
          <t>Pokemon Stats</t>
        </is>
      </c>
      <c r="C2861" s="76" t="inlineStr">
        <is>
          <t>Masquerain baseSpeed</t>
        </is>
      </c>
      <c r="D2861" s="76" t="n">
        <v>80</v>
      </c>
      <c r="E2861" s="76" t="n">
        <v>60</v>
      </c>
      <c r="F2861" s="76" t="inlineStr">
        <is>
          <t>Differs from upstream baseline</t>
        </is>
      </c>
      <c r="G2861" s="76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6" t="inlineStr">
        <is>
          <t>2026-10-01</t>
        </is>
      </c>
      <c r="B2863" s="76" t="inlineStr">
        <is>
          <t>Abilities</t>
        </is>
      </c>
      <c r="C2863" s="76" t="inlineStr">
        <is>
          <t>Mawile abilities</t>
        </is>
      </c>
      <c r="D2863" s="76" t="inlineStr">
        <is>
          <t>Hyper Cutter / Intimidate / Sheer Force</t>
        </is>
      </c>
      <c r="E2863" s="76" t="inlineStr">
        <is>
          <t>Intimidate / Intimidate / Sheer Force</t>
        </is>
      </c>
      <c r="F2863" s="76" t="inlineStr">
        <is>
          <t>Differs from upstream baseline</t>
        </is>
      </c>
      <c r="G2863" s="76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6" t="inlineStr">
        <is>
          <t>2026-10-01</t>
        </is>
      </c>
      <c r="B2865" s="76" t="inlineStr">
        <is>
          <t>Pokemon Stats</t>
        </is>
      </c>
      <c r="C2865" s="76" t="inlineStr">
        <is>
          <t>Medicham baseAttack</t>
        </is>
      </c>
      <c r="D2865" s="76" t="n">
        <v>60</v>
      </c>
      <c r="E2865" s="76" t="n">
        <v>75</v>
      </c>
      <c r="F2865" s="76" t="inlineStr">
        <is>
          <t>Differs from upstream baseline</t>
        </is>
      </c>
      <c r="G2865" s="76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6" t="inlineStr">
        <is>
          <t>2026-10-01</t>
        </is>
      </c>
      <c r="B2867" s="76" t="inlineStr">
        <is>
          <t>Pokemon Stats</t>
        </is>
      </c>
      <c r="C2867" s="76" t="inlineStr">
        <is>
          <t>Meditite baseAttack</t>
        </is>
      </c>
      <c r="D2867" s="76" t="n">
        <v>40</v>
      </c>
      <c r="E2867" s="76" t="n">
        <v>45</v>
      </c>
      <c r="F2867" s="76" t="inlineStr">
        <is>
          <t>Differs from upstream baseline</t>
        </is>
      </c>
      <c r="G2867" s="76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6" t="inlineStr">
        <is>
          <t>2026-10-01</t>
        </is>
      </c>
      <c r="B2869" s="76" t="inlineStr">
        <is>
          <t>Pokemon Stats</t>
        </is>
      </c>
      <c r="C2869" s="76" t="inlineStr">
        <is>
          <t>Meganium baseAttack</t>
        </is>
      </c>
      <c r="D2869" s="76" t="n">
        <v>82</v>
      </c>
      <c r="E2869" s="76" t="n">
        <v>89</v>
      </c>
      <c r="F2869" s="76" t="inlineStr">
        <is>
          <t>Differs from upstream baseline</t>
        </is>
      </c>
      <c r="G2869" s="76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6" t="inlineStr">
        <is>
          <t>2026-10-01</t>
        </is>
      </c>
      <c r="B2871" s="76" t="inlineStr">
        <is>
          <t>Pokemon Stats</t>
        </is>
      </c>
      <c r="C2871" s="76" t="inlineStr">
        <is>
          <t>Meganium baseSpAttack</t>
        </is>
      </c>
      <c r="D2871" s="76" t="n">
        <v>83</v>
      </c>
      <c r="E2871" s="76" t="n">
        <v>100</v>
      </c>
      <c r="F2871" s="76" t="inlineStr">
        <is>
          <t>Differs from upstream baseline</t>
        </is>
      </c>
      <c r="G2871" s="76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6" t="inlineStr">
        <is>
          <t>2026-10-01</t>
        </is>
      </c>
      <c r="B2873" s="76" t="inlineStr">
        <is>
          <t>Abilities</t>
        </is>
      </c>
      <c r="C2873" s="76" t="inlineStr">
        <is>
          <t>Meganium abilities</t>
        </is>
      </c>
      <c r="D2873" s="76" t="inlineStr">
        <is>
          <t>Overgrow / Leaf Guard</t>
        </is>
      </c>
      <c r="E2873" s="76" t="inlineStr">
        <is>
          <t>Thick Fat / Leaf Guard</t>
        </is>
      </c>
      <c r="F2873" s="76" t="inlineStr">
        <is>
          <t>Differs from upstream baseline</t>
        </is>
      </c>
      <c r="G2873" s="76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6" t="inlineStr">
        <is>
          <t>2026-10-01</t>
        </is>
      </c>
      <c r="B2875" s="76" t="inlineStr">
        <is>
          <t>Pokemon Stats</t>
        </is>
      </c>
      <c r="C2875" s="76" t="inlineStr">
        <is>
          <t>Meloetta baseSpAttack</t>
        </is>
      </c>
      <c r="D2875" s="76" t="n">
        <v>128</v>
      </c>
      <c r="E2875" s="76" t="n">
        <v>150</v>
      </c>
      <c r="F2875" s="76" t="inlineStr">
        <is>
          <t>Differs from upstream baseline</t>
        </is>
      </c>
      <c r="G2875" s="76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6" t="inlineStr">
        <is>
          <t>2026-10-01</t>
        </is>
      </c>
      <c r="B2877" s="76" t="inlineStr">
        <is>
          <t>Pokemon Stats</t>
        </is>
      </c>
      <c r="C2877" s="76" t="inlineStr">
        <is>
          <t>Meloetta baseAttack</t>
        </is>
      </c>
      <c r="D2877" s="76" t="n">
        <v>128</v>
      </c>
      <c r="E2877" s="76" t="n">
        <v>150</v>
      </c>
      <c r="F2877" s="76" t="inlineStr">
        <is>
          <t>Differs from upstream baseline</t>
        </is>
      </c>
      <c r="G2877" s="76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6" t="inlineStr">
        <is>
          <t>2026-10-01</t>
        </is>
      </c>
      <c r="B2879" s="76" t="inlineStr">
        <is>
          <t>Pokemon Stats</t>
        </is>
      </c>
      <c r="C2879" s="76" t="inlineStr">
        <is>
          <t>Meloetta baseSpeed</t>
        </is>
      </c>
      <c r="D2879" s="76" t="n">
        <v>128</v>
      </c>
      <c r="E2879" s="76" t="n">
        <v>146</v>
      </c>
      <c r="F2879" s="76" t="inlineStr">
        <is>
          <t>Differs from upstream baseline</t>
        </is>
      </c>
      <c r="G2879" s="76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6" t="inlineStr">
        <is>
          <t>2026-10-01</t>
        </is>
      </c>
      <c r="B2881" s="76" t="inlineStr">
        <is>
          <t>Pokemon Stats</t>
        </is>
      </c>
      <c r="C2881" s="76" t="inlineStr">
        <is>
          <t>Meowstic baseSpAttack</t>
        </is>
      </c>
      <c r="D2881" s="76" t="n">
        <v>83</v>
      </c>
      <c r="E2881" s="76" t="n">
        <v>103</v>
      </c>
      <c r="F2881" s="76" t="inlineStr">
        <is>
          <t>Differs from upstream baseline</t>
        </is>
      </c>
      <c r="G2881" s="76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6" t="inlineStr">
        <is>
          <t>2026-10-01</t>
        </is>
      </c>
      <c r="B2883" s="76" t="inlineStr">
        <is>
          <t>Abilities</t>
        </is>
      </c>
      <c r="C2883" s="76" t="inlineStr">
        <is>
          <t>Meowth abilities</t>
        </is>
      </c>
      <c r="D2883" s="76" t="inlineStr">
        <is>
          <t>Pickup / Technician / Unnerve</t>
        </is>
      </c>
      <c r="E2883" s="76" t="inlineStr">
        <is>
          <t>Super Luck / Limber / Unnerve</t>
        </is>
      </c>
      <c r="F2883" s="76" t="inlineStr">
        <is>
          <t>Differs from upstream baseline</t>
        </is>
      </c>
      <c r="G2883" s="76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6" t="inlineStr">
        <is>
          <t>2026-10-01</t>
        </is>
      </c>
      <c r="B2885" s="76" t="inlineStr">
        <is>
          <t>Pokemon Stats</t>
        </is>
      </c>
      <c r="C2885" s="76" t="inlineStr">
        <is>
          <t>Meowth baseAttack</t>
        </is>
      </c>
      <c r="D2885" s="76" t="n">
        <v>35</v>
      </c>
      <c r="E2885" s="76" t="n">
        <v>37</v>
      </c>
      <c r="F2885" s="76" t="inlineStr">
        <is>
          <t>Differs from upstream baseline</t>
        </is>
      </c>
      <c r="G2885" s="76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6" t="inlineStr">
        <is>
          <t>2026-10-01</t>
        </is>
      </c>
      <c r="B2887" s="76" t="inlineStr">
        <is>
          <t>Pokemon Stats</t>
        </is>
      </c>
      <c r="C2887" s="76" t="inlineStr">
        <is>
          <t>Meowth baseSpDefense</t>
        </is>
      </c>
      <c r="D2887" s="76" t="n">
        <v>40</v>
      </c>
      <c r="E2887" s="76" t="n">
        <v>44</v>
      </c>
      <c r="F2887" s="76" t="inlineStr">
        <is>
          <t>Differs from upstream baseline</t>
        </is>
      </c>
      <c r="G2887" s="76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6" t="inlineStr">
        <is>
          <t>2026-10-01</t>
        </is>
      </c>
      <c r="B2889" s="76" t="inlineStr">
        <is>
          <t>Pokemon Stats</t>
        </is>
      </c>
      <c r="C2889" s="76" t="inlineStr">
        <is>
          <t>Meowth baseSpAttack</t>
        </is>
      </c>
      <c r="D2889" s="76" t="n">
        <v>40</v>
      </c>
      <c r="E2889" s="76" t="n">
        <v>41</v>
      </c>
      <c r="F2889" s="76" t="inlineStr">
        <is>
          <t>Differs from upstream baseline</t>
        </is>
      </c>
      <c r="G2889" s="76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6" t="inlineStr">
        <is>
          <t>2026-10-01</t>
        </is>
      </c>
      <c r="B2891" s="76" t="inlineStr">
        <is>
          <t>Pokemon Stats</t>
        </is>
      </c>
      <c r="C2891" s="76" t="inlineStr">
        <is>
          <t>Meowth baseSpeed</t>
        </is>
      </c>
      <c r="D2891" s="76" t="n">
        <v>40</v>
      </c>
      <c r="E2891" s="76" t="n">
        <v>48</v>
      </c>
      <c r="F2891" s="76" t="inlineStr">
        <is>
          <t>Differs from upstream baseline</t>
        </is>
      </c>
      <c r="G2891" s="76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6" t="inlineStr">
        <is>
          <t>2026-10-01</t>
        </is>
      </c>
      <c r="B2893" s="76" t="inlineStr">
        <is>
          <t>Pokemon Stats</t>
        </is>
      </c>
      <c r="C2893" s="76" t="inlineStr">
        <is>
          <t>Mesprit baseDefense</t>
        </is>
      </c>
      <c r="D2893" s="76" t="n">
        <v>105</v>
      </c>
      <c r="E2893" s="76" t="n">
        <v>110</v>
      </c>
      <c r="F2893" s="76" t="inlineStr">
        <is>
          <t>Differs from upstream baseline</t>
        </is>
      </c>
      <c r="G2893" s="76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6" t="inlineStr">
        <is>
          <t>2026-10-01</t>
        </is>
      </c>
      <c r="B2895" s="76" t="inlineStr">
        <is>
          <t>Pokemon Stats</t>
        </is>
      </c>
      <c r="C2895" s="76" t="inlineStr">
        <is>
          <t>Mesprit baseSpDefense</t>
        </is>
      </c>
      <c r="D2895" s="76" t="n">
        <v>105</v>
      </c>
      <c r="E2895" s="76" t="n">
        <v>110</v>
      </c>
      <c r="F2895" s="76" t="inlineStr">
        <is>
          <t>Differs from upstream baseline</t>
        </is>
      </c>
      <c r="G2895" s="76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6" t="inlineStr">
        <is>
          <t>2026-10-01</t>
        </is>
      </c>
      <c r="B2897" s="76" t="inlineStr">
        <is>
          <t>Pokemon Stats</t>
        </is>
      </c>
      <c r="C2897" s="76" t="inlineStr">
        <is>
          <t>Metagross baseSpAttack</t>
        </is>
      </c>
      <c r="D2897" s="76" t="n">
        <v>95</v>
      </c>
      <c r="E2897" s="76" t="n">
        <v>100</v>
      </c>
      <c r="F2897" s="76" t="inlineStr">
        <is>
          <t>Differs from upstream baseline</t>
        </is>
      </c>
      <c r="G2897" s="76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6" t="inlineStr">
        <is>
          <t>2026-10-01</t>
        </is>
      </c>
      <c r="B2899" s="76" t="inlineStr">
        <is>
          <t>Pokemon Stats</t>
        </is>
      </c>
      <c r="C2899" s="76" t="inlineStr">
        <is>
          <t>Metang baseAttack</t>
        </is>
      </c>
      <c r="D2899" s="76" t="n">
        <v>75</v>
      </c>
      <c r="E2899" s="76" t="n">
        <v>85</v>
      </c>
      <c r="F2899" s="76" t="inlineStr">
        <is>
          <t>Differs from upstream baseline</t>
        </is>
      </c>
      <c r="G2899" s="76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6" t="inlineStr">
        <is>
          <t>2026-10-01</t>
        </is>
      </c>
      <c r="B2901" s="76" t="inlineStr">
        <is>
          <t>Abilities</t>
        </is>
      </c>
      <c r="C2901" s="76" t="inlineStr">
        <is>
          <t>Mew abilities</t>
        </is>
      </c>
      <c r="D2901" s="76" t="inlineStr">
        <is>
          <t>Synchronize</t>
        </is>
      </c>
      <c r="E2901" s="76" t="inlineStr">
        <is>
          <t>Simple / Magic Guard</t>
        </is>
      </c>
      <c r="F2901" s="76" t="inlineStr">
        <is>
          <t>Differs from upstream baseline</t>
        </is>
      </c>
      <c r="G2901" s="76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6" t="inlineStr">
        <is>
          <t>2026-10-01</t>
        </is>
      </c>
      <c r="B2903" s="76" t="inlineStr">
        <is>
          <t>Evolutions</t>
        </is>
      </c>
      <c r="C2903" s="76" t="inlineStr">
        <is>
          <t>Mienfoo evolution</t>
        </is>
      </c>
      <c r="D2903" s="76" t="inlineStr">
        <is>
          <t>Lv 50 -&gt; Mienshao</t>
        </is>
      </c>
      <c r="E2903" s="76" t="inlineStr">
        <is>
          <t>Lv 46 -&gt; Mienshao</t>
        </is>
      </c>
      <c r="F2903" s="76" t="inlineStr">
        <is>
          <t>Differs from upstream baseline</t>
        </is>
      </c>
      <c r="G2903" s="76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6" t="inlineStr">
        <is>
          <t>2026-10-01</t>
        </is>
      </c>
      <c r="B2905" s="76" t="inlineStr">
        <is>
          <t>Pokemon Stats</t>
        </is>
      </c>
      <c r="C2905" s="76" t="inlineStr">
        <is>
          <t>Mightyena baseSpDefense</t>
        </is>
      </c>
      <c r="D2905" s="76" t="n">
        <v>60</v>
      </c>
      <c r="E2905" s="76" t="n">
        <v>70</v>
      </c>
      <c r="F2905" s="76" t="inlineStr">
        <is>
          <t>Differs from upstream baseline</t>
        </is>
      </c>
      <c r="G2905" s="76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6" t="inlineStr">
        <is>
          <t>2026-10-01</t>
        </is>
      </c>
      <c r="B2907" s="76" t="inlineStr">
        <is>
          <t>Abilities</t>
        </is>
      </c>
      <c r="C2907" s="76" t="inlineStr">
        <is>
          <t>Milotic abilities</t>
        </is>
      </c>
      <c r="D2907" s="76" t="inlineStr">
        <is>
          <t>Marvel Scale / Competitive / Cute Charm</t>
        </is>
      </c>
      <c r="E2907" s="76" t="inlineStr">
        <is>
          <t>Filter / Marvel Scale / Cute Charm</t>
        </is>
      </c>
      <c r="F2907" s="76" t="inlineStr">
        <is>
          <t>Differs from upstream baseline</t>
        </is>
      </c>
      <c r="G2907" s="76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6" t="inlineStr">
        <is>
          <t>2026-10-01</t>
        </is>
      </c>
      <c r="B2909" s="76" t="inlineStr">
        <is>
          <t>Abilities</t>
        </is>
      </c>
      <c r="C2909" s="76" t="inlineStr">
        <is>
          <t>Miltank abilities</t>
        </is>
      </c>
      <c r="D2909" s="76" t="inlineStr">
        <is>
          <t>Thick Fat / Scrappy / Sap Sipper</t>
        </is>
      </c>
      <c r="E2909" s="76" t="inlineStr">
        <is>
          <t>Scrappy / Scrappy / Sap Sipper</t>
        </is>
      </c>
      <c r="F2909" s="76" t="inlineStr">
        <is>
          <t>Differs from upstream baseline</t>
        </is>
      </c>
      <c r="G2909" s="76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6" t="inlineStr">
        <is>
          <t>2026-10-01</t>
        </is>
      </c>
      <c r="B2911" s="76" t="inlineStr">
        <is>
          <t>Pokemon Stats</t>
        </is>
      </c>
      <c r="C2911" s="76" t="inlineStr">
        <is>
          <t>Minccino baseAttack</t>
        </is>
      </c>
      <c r="D2911" s="76" t="n">
        <v>50</v>
      </c>
      <c r="E2911" s="76" t="n">
        <v>51</v>
      </c>
      <c r="F2911" s="76" t="inlineStr">
        <is>
          <t>Differs from upstream baseline</t>
        </is>
      </c>
      <c r="G2911" s="76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6" t="inlineStr">
        <is>
          <t>2026-10-01</t>
        </is>
      </c>
      <c r="B2913" s="76" t="inlineStr">
        <is>
          <t>Pokemon Stats</t>
        </is>
      </c>
      <c r="C2913" s="76" t="inlineStr">
        <is>
          <t>Minccino baseSpDefense</t>
        </is>
      </c>
      <c r="D2913" s="76" t="n">
        <v>40</v>
      </c>
      <c r="E2913" s="76" t="n">
        <v>42</v>
      </c>
      <c r="F2913" s="76" t="inlineStr">
        <is>
          <t>Differs from upstream baseline</t>
        </is>
      </c>
      <c r="G2913" s="76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6" t="inlineStr">
        <is>
          <t>2026-10-01</t>
        </is>
      </c>
      <c r="B2915" s="76" t="inlineStr">
        <is>
          <t>Pokemon Stats</t>
        </is>
      </c>
      <c r="C2915" s="76" t="inlineStr">
        <is>
          <t>Moltres baseSpDefense</t>
        </is>
      </c>
      <c r="D2915" s="76" t="n">
        <v>85</v>
      </c>
      <c r="E2915" s="76" t="n">
        <v>105</v>
      </c>
      <c r="F2915" s="76" t="inlineStr">
        <is>
          <t>Differs from upstream baseline</t>
        </is>
      </c>
      <c r="G2915" s="76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6" t="inlineStr">
        <is>
          <t>2026-10-01</t>
        </is>
      </c>
      <c r="B2917" s="76" t="inlineStr">
        <is>
          <t>Abilities</t>
        </is>
      </c>
      <c r="C2917" s="76" t="inlineStr">
        <is>
          <t>Monferno abilities</t>
        </is>
      </c>
      <c r="D2917" s="76" t="inlineStr">
        <is>
          <t>Blaze / Iron Fist</t>
        </is>
      </c>
      <c r="E2917" s="76" t="inlineStr">
        <is>
          <t>Blaze / Blaze / Iron Fist</t>
        </is>
      </c>
      <c r="F2917" s="76" t="inlineStr">
        <is>
          <t>Differs from upstream baseline</t>
        </is>
      </c>
      <c r="G2917" s="76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6" t="inlineStr">
        <is>
          <t>2026-10-01</t>
        </is>
      </c>
      <c r="B2919" s="76" t="inlineStr">
        <is>
          <t>Pokemon Stats</t>
        </is>
      </c>
      <c r="C2919" s="76" t="inlineStr">
        <is>
          <t>Mr. Mime baseAttack</t>
        </is>
      </c>
      <c r="D2919" s="76" t="n">
        <v>45</v>
      </c>
      <c r="E2919" s="76" t="n">
        <v>25</v>
      </c>
      <c r="F2919" s="76" t="inlineStr">
        <is>
          <t>Differs from upstream baseline</t>
        </is>
      </c>
      <c r="G2919" s="76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6" t="inlineStr">
        <is>
          <t>2026-10-01</t>
        </is>
      </c>
      <c r="B2921" s="76" t="inlineStr">
        <is>
          <t>Abilities</t>
        </is>
      </c>
      <c r="C2921" s="76" t="inlineStr">
        <is>
          <t>Mr. Mime abilities</t>
        </is>
      </c>
      <c r="D2921" s="76" t="inlineStr">
        <is>
          <t>Soundproof / Filter / Technician</t>
        </is>
      </c>
      <c r="E2921" s="76" t="inlineStr">
        <is>
          <t>Filter / Filter / Technician</t>
        </is>
      </c>
      <c r="F2921" s="76" t="inlineStr">
        <is>
          <t>Differs from upstream baseline</t>
        </is>
      </c>
      <c r="G2921" s="76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6" t="inlineStr">
        <is>
          <t>2026-10-01</t>
        </is>
      </c>
      <c r="B2923" s="76" t="inlineStr">
        <is>
          <t>Abilities</t>
        </is>
      </c>
      <c r="C2923" s="76" t="inlineStr">
        <is>
          <t>Mudkip abilities</t>
        </is>
      </c>
      <c r="D2923" s="76" t="inlineStr">
        <is>
          <t>Torrent / Damp</t>
        </is>
      </c>
      <c r="E2923" s="76" t="inlineStr">
        <is>
          <t>Huge Power / Huge Power / Damp</t>
        </is>
      </c>
      <c r="F2923" s="76" t="inlineStr">
        <is>
          <t>Differs from upstream baseline</t>
        </is>
      </c>
      <c r="G2923" s="76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6" t="inlineStr">
        <is>
          <t>2026-10-01</t>
        </is>
      </c>
      <c r="B2925" s="76" t="inlineStr">
        <is>
          <t>Abilities</t>
        </is>
      </c>
      <c r="C2925" s="76" t="inlineStr">
        <is>
          <t>Muk abilities</t>
        </is>
      </c>
      <c r="D2925" s="76" t="inlineStr">
        <is>
          <t>Poison Touch / Gluttony / Power Of Alchemy</t>
        </is>
      </c>
      <c r="E2925" s="76" t="inlineStr">
        <is>
          <t>Aftermath / Aftermath / Power Of Alchemy</t>
        </is>
      </c>
      <c r="F2925" s="76" t="inlineStr">
        <is>
          <t>Differs from upstream baseline</t>
        </is>
      </c>
      <c r="G2925" s="76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6" t="inlineStr">
        <is>
          <t>2026-10-01</t>
        </is>
      </c>
      <c r="B2927" s="76" t="inlineStr">
        <is>
          <t>Evolutions</t>
        </is>
      </c>
      <c r="C2927" s="76" t="inlineStr">
        <is>
          <t>Munchlax evolution</t>
        </is>
      </c>
      <c r="D2927" s="76" t="inlineStr">
        <is>
          <t>Friendship -&gt; Snorlax</t>
        </is>
      </c>
      <c r="E2927" s="76" t="inlineStr">
        <is>
          <t>Lv 70 -&gt; Snorlax</t>
        </is>
      </c>
      <c r="F2927" s="76" t="inlineStr">
        <is>
          <t>Differs from upstream baseline</t>
        </is>
      </c>
      <c r="G2927" s="76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6" t="inlineStr">
        <is>
          <t>2026-10-01</t>
        </is>
      </c>
      <c r="B2929" s="76" t="inlineStr">
        <is>
          <t>Pokemon Stats</t>
        </is>
      </c>
      <c r="C2929" s="76" t="inlineStr">
        <is>
          <t>Munna baseDefense</t>
        </is>
      </c>
      <c r="D2929" s="76" t="n">
        <v>45</v>
      </c>
      <c r="E2929" s="76" t="n">
        <v>47</v>
      </c>
      <c r="F2929" s="76" t="inlineStr">
        <is>
          <t>Differs from upstream baseline</t>
        </is>
      </c>
      <c r="G2929" s="76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6" t="inlineStr">
        <is>
          <t>2026-10-01</t>
        </is>
      </c>
      <c r="B2931" s="76" t="inlineStr">
        <is>
          <t>Abilities</t>
        </is>
      </c>
      <c r="C2931" s="76" t="inlineStr">
        <is>
          <t>Murkrow abilities</t>
        </is>
      </c>
      <c r="D2931" s="76" t="inlineStr">
        <is>
          <t>Insomnia / Super Luck / Prankster</t>
        </is>
      </c>
      <c r="E2931" s="76" t="inlineStr">
        <is>
          <t>Super Luck / Super Luck / Prankster</t>
        </is>
      </c>
      <c r="F2931" s="76" t="inlineStr">
        <is>
          <t>Differs from upstream baseline</t>
        </is>
      </c>
      <c r="G2931" s="76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6" t="inlineStr">
        <is>
          <t>2026-10-01</t>
        </is>
      </c>
      <c r="B2933" s="76" t="inlineStr">
        <is>
          <t>Pokemon Stats</t>
        </is>
      </c>
      <c r="C2933" s="76" t="inlineStr">
        <is>
          <t>Musharna baseAttack</t>
        </is>
      </c>
      <c r="D2933" s="76" t="n">
        <v>55</v>
      </c>
      <c r="E2933" s="76" t="n">
        <v>30</v>
      </c>
      <c r="F2933" s="76" t="inlineStr">
        <is>
          <t>Differs from upstream baseline</t>
        </is>
      </c>
      <c r="G2933" s="76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6" t="inlineStr">
        <is>
          <t>2026-10-01</t>
        </is>
      </c>
      <c r="B2935" s="76" t="inlineStr">
        <is>
          <t>Pokemon Stats</t>
        </is>
      </c>
      <c r="C2935" s="76" t="inlineStr">
        <is>
          <t>Musharna baseSpAttack</t>
        </is>
      </c>
      <c r="D2935" s="76" t="n">
        <v>107</v>
      </c>
      <c r="E2935" s="76" t="n">
        <v>132</v>
      </c>
      <c r="F2935" s="76" t="inlineStr">
        <is>
          <t>Differs from upstream baseline</t>
        </is>
      </c>
      <c r="G2935" s="76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6" t="inlineStr">
        <is>
          <t>2026-10-01</t>
        </is>
      </c>
      <c r="B2937" s="76" t="inlineStr">
        <is>
          <t>Abilities</t>
        </is>
      </c>
      <c r="C2937" s="76" t="inlineStr">
        <is>
          <t>Natu abilities</t>
        </is>
      </c>
      <c r="D2937" s="76" t="inlineStr">
        <is>
          <t>Synchronize / Early Bird / Magic Bounce</t>
        </is>
      </c>
      <c r="E2937" s="76" t="inlineStr">
        <is>
          <t>Magic Guard / Magic Guard / Magic Bounce</t>
        </is>
      </c>
      <c r="F2937" s="76" t="inlineStr">
        <is>
          <t>Differs from upstream baseline</t>
        </is>
      </c>
      <c r="G2937" s="76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6" t="inlineStr">
        <is>
          <t>2026-10-01</t>
        </is>
      </c>
      <c r="B2939" s="76" t="inlineStr">
        <is>
          <t>Pokemon Stats</t>
        </is>
      </c>
      <c r="C2939" s="76" t="inlineStr">
        <is>
          <t>Nidoking baseSpAttack</t>
        </is>
      </c>
      <c r="D2939" s="76" t="n">
        <v>85</v>
      </c>
      <c r="E2939" s="76" t="n">
        <v>95</v>
      </c>
      <c r="F2939" s="76" t="inlineStr">
        <is>
          <t>Differs from upstream baseline</t>
        </is>
      </c>
      <c r="G2939" s="76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6" t="inlineStr">
        <is>
          <t>2026-10-01</t>
        </is>
      </c>
      <c r="B2941" s="76" t="inlineStr">
        <is>
          <t>Abilities</t>
        </is>
      </c>
      <c r="C2941" s="76" t="inlineStr">
        <is>
          <t>Nidoking abilities</t>
        </is>
      </c>
      <c r="D2941" s="76" t="inlineStr">
        <is>
          <t>Poison Point / Rivalry / Sheer Force</t>
        </is>
      </c>
      <c r="E2941" s="76" t="inlineStr">
        <is>
          <t>Mold Breaker / Mold Breaker / Sheer Force</t>
        </is>
      </c>
      <c r="F2941" s="76" t="inlineStr">
        <is>
          <t>Differs from upstream baseline</t>
        </is>
      </c>
      <c r="G2941" s="76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6" t="inlineStr">
        <is>
          <t>2026-10-01</t>
        </is>
      </c>
      <c r="B2943" s="76" t="inlineStr">
        <is>
          <t>Pokemon Stats</t>
        </is>
      </c>
      <c r="C2943" s="76" t="inlineStr">
        <is>
          <t>Nidoqueen baseSpAttack</t>
        </is>
      </c>
      <c r="D2943" s="76" t="n">
        <v>75</v>
      </c>
      <c r="E2943" s="76" t="n">
        <v>85</v>
      </c>
      <c r="F2943" s="76" t="inlineStr">
        <is>
          <t>Differs from upstream baseline</t>
        </is>
      </c>
      <c r="G2943" s="76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6" t="inlineStr">
        <is>
          <t>2026-10-01</t>
        </is>
      </c>
      <c r="B2945" s="76" t="inlineStr">
        <is>
          <t>Abilities</t>
        </is>
      </c>
      <c r="C2945" s="76" t="inlineStr">
        <is>
          <t>Nidoqueen abilities</t>
        </is>
      </c>
      <c r="D2945" s="76" t="inlineStr">
        <is>
          <t>Poison Point / Rivalry / Sheer Force</t>
        </is>
      </c>
      <c r="E2945" s="76" t="inlineStr">
        <is>
          <t>Battle Armor / Battle Armor / Sheer Force</t>
        </is>
      </c>
      <c r="F2945" s="76" t="inlineStr">
        <is>
          <t>Differs from upstream baseline</t>
        </is>
      </c>
      <c r="G2945" s="76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6" t="inlineStr">
        <is>
          <t>2026-10-01</t>
        </is>
      </c>
      <c r="B2947" s="76" t="inlineStr">
        <is>
          <t>Pokemon Stats</t>
        </is>
      </c>
      <c r="C2947" s="76" t="inlineStr">
        <is>
          <t>Ninetales baseAttack</t>
        </is>
      </c>
      <c r="D2947" s="76" t="n">
        <v>76</v>
      </c>
      <c r="E2947" s="76" t="n">
        <v>89</v>
      </c>
      <c r="F2947" s="76" t="inlineStr">
        <is>
          <t>Differs from upstream baseline</t>
        </is>
      </c>
      <c r="G2947" s="76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6" t="inlineStr">
        <is>
          <t>2026-10-01</t>
        </is>
      </c>
      <c r="B2949" s="76" t="inlineStr">
        <is>
          <t>Pokemon Stats</t>
        </is>
      </c>
      <c r="C2949" s="76" t="inlineStr">
        <is>
          <t>Ninetales baseSpAttack</t>
        </is>
      </c>
      <c r="D2949" s="76" t="n">
        <v>81</v>
      </c>
      <c r="E2949" s="76" t="n">
        <v>109</v>
      </c>
      <c r="F2949" s="76" t="inlineStr">
        <is>
          <t>Differs from upstream baseline</t>
        </is>
      </c>
      <c r="G2949" s="76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6" t="inlineStr">
        <is>
          <t>2026-10-01</t>
        </is>
      </c>
      <c r="B2951" s="76" t="inlineStr">
        <is>
          <t>Abilities</t>
        </is>
      </c>
      <c r="C2951" s="76" t="inlineStr">
        <is>
          <t>Ninetales abilities</t>
        </is>
      </c>
      <c r="D2951" s="76" t="inlineStr">
        <is>
          <t>Flash Fire / Drought</t>
        </is>
      </c>
      <c r="E2951" s="76" t="inlineStr">
        <is>
          <t>Magic Guard / Magic Bounce</t>
        </is>
      </c>
      <c r="F2951" s="76" t="inlineStr">
        <is>
          <t>Differs from upstream baseline</t>
        </is>
      </c>
      <c r="G2951" s="76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6" t="inlineStr">
        <is>
          <t>2026-10-01</t>
        </is>
      </c>
      <c r="B2953" s="76" t="inlineStr">
        <is>
          <t>Pokemon Stats</t>
        </is>
      </c>
      <c r="C2953" s="76" t="inlineStr">
        <is>
          <t>Ninjask baseAttack</t>
        </is>
      </c>
      <c r="D2953" s="76" t="n">
        <v>90</v>
      </c>
      <c r="E2953" s="76" t="n">
        <v>100</v>
      </c>
      <c r="F2953" s="76" t="inlineStr">
        <is>
          <t>Differs from upstream baseline</t>
        </is>
      </c>
      <c r="G2953" s="76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6" t="inlineStr">
        <is>
          <t>2026-10-01</t>
        </is>
      </c>
      <c r="B2955" s="76" t="inlineStr">
        <is>
          <t>Abilities</t>
        </is>
      </c>
      <c r="C2955" s="76" t="inlineStr">
        <is>
          <t>Noctowl abilities</t>
        </is>
      </c>
      <c r="D2955" s="76" t="inlineStr">
        <is>
          <t>Insomnia / Keen Eye / Tinted Lens</t>
        </is>
      </c>
      <c r="E2955" s="76" t="inlineStr">
        <is>
          <t>Tinted Lens / Tinted Lens / Tinted Lens</t>
        </is>
      </c>
      <c r="F2955" s="76" t="inlineStr">
        <is>
          <t>Differs from upstream baseline</t>
        </is>
      </c>
      <c r="G2955" s="76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6" t="inlineStr">
        <is>
          <t>2026-10-01</t>
        </is>
      </c>
      <c r="B2957" s="76" t="inlineStr">
        <is>
          <t>Pokemon Stats</t>
        </is>
      </c>
      <c r="C2957" s="76" t="inlineStr">
        <is>
          <t>Noibat baseAttack</t>
        </is>
      </c>
      <c r="D2957" s="76" t="n">
        <v>30</v>
      </c>
      <c r="E2957" s="76" t="n">
        <v>39</v>
      </c>
      <c r="F2957" s="76" t="inlineStr">
        <is>
          <t>Differs from upstream baseline</t>
        </is>
      </c>
      <c r="G2957" s="76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6" t="inlineStr">
        <is>
          <t>2026-10-01</t>
        </is>
      </c>
      <c r="B2959" s="76" t="inlineStr">
        <is>
          <t>Pokemon Stats</t>
        </is>
      </c>
      <c r="C2959" s="76" t="inlineStr">
        <is>
          <t>Noibat baseSpDefense</t>
        </is>
      </c>
      <c r="D2959" s="76" t="n">
        <v>40</v>
      </c>
      <c r="E2959" s="76" t="n">
        <v>54</v>
      </c>
      <c r="F2959" s="76" t="inlineStr">
        <is>
          <t>Differs from upstream baseline</t>
        </is>
      </c>
      <c r="G2959" s="76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6" t="inlineStr">
        <is>
          <t>2026-10-01</t>
        </is>
      </c>
      <c r="B2961" s="76" t="inlineStr">
        <is>
          <t>Pokemon Stats</t>
        </is>
      </c>
      <c r="C2961" s="76" t="inlineStr">
        <is>
          <t>Noivern baseSpAttack</t>
        </is>
      </c>
      <c r="D2961" s="76" t="n">
        <v>97</v>
      </c>
      <c r="E2961" s="76" t="n">
        <v>107</v>
      </c>
      <c r="F2961" s="76" t="inlineStr">
        <is>
          <t>Differs from upstream baseline</t>
        </is>
      </c>
      <c r="G2961" s="76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6" t="inlineStr">
        <is>
          <t>2026-10-01</t>
        </is>
      </c>
      <c r="B2963" s="76" t="inlineStr">
        <is>
          <t>Abilities</t>
        </is>
      </c>
      <c r="C2963" s="76" t="inlineStr">
        <is>
          <t>Nuzleaf abilities</t>
        </is>
      </c>
      <c r="D2963" s="76" t="inlineStr">
        <is>
          <t>Chlorophyll / Early Bird / Pickpocket</t>
        </is>
      </c>
      <c r="E2963" s="76" t="inlineStr">
        <is>
          <t>Chlorophyll / Chlorophyll / Pickpocket</t>
        </is>
      </c>
      <c r="F2963" s="76" t="inlineStr">
        <is>
          <t>Differs from upstream baseline</t>
        </is>
      </c>
      <c r="G2963" s="76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6" t="inlineStr">
        <is>
          <t>2026-10-01</t>
        </is>
      </c>
      <c r="B2965" s="76" t="inlineStr">
        <is>
          <t>Pokemon Stats</t>
        </is>
      </c>
      <c r="C2965" s="76" t="inlineStr">
        <is>
          <t>Octillery baseAttack</t>
        </is>
      </c>
      <c r="D2965" s="76" t="n">
        <v>105</v>
      </c>
      <c r="E2965" s="76" t="n">
        <v>108</v>
      </c>
      <c r="F2965" s="76" t="inlineStr">
        <is>
          <t>Differs from upstream baseline</t>
        </is>
      </c>
      <c r="G2965" s="76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6" t="inlineStr">
        <is>
          <t>2026-10-01</t>
        </is>
      </c>
      <c r="B2967" s="76" t="inlineStr">
        <is>
          <t>Pokemon Stats</t>
        </is>
      </c>
      <c r="C2967" s="76" t="inlineStr">
        <is>
          <t>Octillery baseSpAttack</t>
        </is>
      </c>
      <c r="D2967" s="76" t="n">
        <v>105</v>
      </c>
      <c r="E2967" s="76" t="n">
        <v>108</v>
      </c>
      <c r="F2967" s="76" t="inlineStr">
        <is>
          <t>Differs from upstream baseline</t>
        </is>
      </c>
      <c r="G2967" s="76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6" t="inlineStr">
        <is>
          <t>2026-10-01</t>
        </is>
      </c>
      <c r="B2969" s="76" t="inlineStr">
        <is>
          <t>Pokemon Stats</t>
        </is>
      </c>
      <c r="C2969" s="76" t="inlineStr">
        <is>
          <t>Octillery baseSpeed</t>
        </is>
      </c>
      <c r="D2969" s="76" t="n">
        <v>45</v>
      </c>
      <c r="E2969" s="76" t="n">
        <v>48</v>
      </c>
      <c r="F2969" s="76" t="inlineStr">
        <is>
          <t>Differs from upstream baseline</t>
        </is>
      </c>
      <c r="G2969" s="76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6" t="inlineStr">
        <is>
          <t>2026-10-01</t>
        </is>
      </c>
      <c r="B2971" s="76" t="inlineStr">
        <is>
          <t>Pokemon Stats</t>
        </is>
      </c>
      <c r="C2971" s="76" t="inlineStr">
        <is>
          <t>Onix baseHP</t>
        </is>
      </c>
      <c r="D2971" s="76" t="n">
        <v>35</v>
      </c>
      <c r="E2971" s="76" t="n">
        <v>55</v>
      </c>
      <c r="F2971" s="76" t="inlineStr">
        <is>
          <t>Differs from upstream baseline</t>
        </is>
      </c>
      <c r="G2971" s="76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6" t="inlineStr">
        <is>
          <t>2026-10-01</t>
        </is>
      </c>
      <c r="B2973" s="76" t="inlineStr">
        <is>
          <t>Pokemon Stats</t>
        </is>
      </c>
      <c r="C2973" s="76" t="inlineStr">
        <is>
          <t>Onix baseSpAttack</t>
        </is>
      </c>
      <c r="D2973" s="76" t="n">
        <v>30</v>
      </c>
      <c r="E2973" s="76" t="n">
        <v>10</v>
      </c>
      <c r="F2973" s="76" t="inlineStr">
        <is>
          <t>Differs from upstream baseline</t>
        </is>
      </c>
      <c r="G2973" s="76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6" t="inlineStr">
        <is>
          <t>2026-10-01</t>
        </is>
      </c>
      <c r="B2975" s="76" t="inlineStr">
        <is>
          <t>Abilities</t>
        </is>
      </c>
      <c r="C2975" s="76" t="inlineStr">
        <is>
          <t>Onix abilities</t>
        </is>
      </c>
      <c r="D2975" s="76" t="inlineStr">
        <is>
          <t>Rock Head / Sturdy / Weak Armor</t>
        </is>
      </c>
      <c r="E2975" s="76" t="inlineStr">
        <is>
          <t>Rock Head / Rock Head / Weak Armor</t>
        </is>
      </c>
      <c r="F2975" s="76" t="inlineStr">
        <is>
          <t>Differs from upstream baseline</t>
        </is>
      </c>
      <c r="G2975" s="76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6" t="inlineStr">
        <is>
          <t>2026-10-01</t>
        </is>
      </c>
      <c r="B2977" s="76" t="inlineStr">
        <is>
          <t>Pokemon Stats</t>
        </is>
      </c>
      <c r="C2977" s="76" t="inlineStr">
        <is>
          <t>Overqwil baseSpAttack</t>
        </is>
      </c>
      <c r="D2977" s="76" t="n">
        <v>65</v>
      </c>
      <c r="E2977" s="76" t="n">
        <v>30</v>
      </c>
      <c r="F2977" s="76" t="inlineStr">
        <is>
          <t>Differs from upstream baseline</t>
        </is>
      </c>
      <c r="G2977" s="76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6" t="inlineStr">
        <is>
          <t>2026-10-01</t>
        </is>
      </c>
      <c r="B2979" s="76" t="inlineStr">
        <is>
          <t>Pokemon Stats</t>
        </is>
      </c>
      <c r="C2979" s="76" t="inlineStr">
        <is>
          <t>Pachirisu baseAttack</t>
        </is>
      </c>
      <c r="D2979" s="76" t="n">
        <v>45</v>
      </c>
      <c r="E2979" s="76" t="n">
        <v>65</v>
      </c>
      <c r="F2979" s="76" t="inlineStr">
        <is>
          <t>Differs from upstream baseline</t>
        </is>
      </c>
      <c r="G2979" s="76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6" t="inlineStr">
        <is>
          <t>2026-10-01</t>
        </is>
      </c>
      <c r="B2981" s="76" t="inlineStr">
        <is>
          <t>Abilities</t>
        </is>
      </c>
      <c r="C2981" s="76" t="inlineStr">
        <is>
          <t>Pachirisu abilities</t>
        </is>
      </c>
      <c r="D2981" s="76" t="inlineStr">
        <is>
          <t>Run Away / Pickup / Volt Absorb</t>
        </is>
      </c>
      <c r="E2981" s="76" t="inlineStr">
        <is>
          <t>Adaptability / Adaptability / Volt Absorb</t>
        </is>
      </c>
      <c r="F2981" s="76" t="inlineStr">
        <is>
          <t>Differs from upstream baseline</t>
        </is>
      </c>
      <c r="G2981" s="76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6" t="inlineStr">
        <is>
          <t>2026-10-01</t>
        </is>
      </c>
      <c r="B2983" s="76" t="inlineStr">
        <is>
          <t>Pokemon Stats</t>
        </is>
      </c>
      <c r="C2983" s="76" t="inlineStr">
        <is>
          <t>Pancham baseSpAttack</t>
        </is>
      </c>
      <c r="D2983" s="76" t="n">
        <v>46</v>
      </c>
      <c r="E2983" s="76" t="n">
        <v>30</v>
      </c>
      <c r="F2983" s="76" t="inlineStr">
        <is>
          <t>Differs from upstream baseline</t>
        </is>
      </c>
      <c r="G2983" s="76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6" t="inlineStr">
        <is>
          <t>2026-10-01</t>
        </is>
      </c>
      <c r="B2985" s="76" t="inlineStr">
        <is>
          <t>Pokemon Stats</t>
        </is>
      </c>
      <c r="C2985" s="76" t="inlineStr">
        <is>
          <t>Pangoro baseAttack</t>
        </is>
      </c>
      <c r="D2985" s="76" t="n">
        <v>124</v>
      </c>
      <c r="E2985" s="76" t="n">
        <v>145</v>
      </c>
      <c r="F2985" s="76" t="inlineStr">
        <is>
          <t>Differs from upstream baseline</t>
        </is>
      </c>
      <c r="G2985" s="76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6" t="inlineStr">
        <is>
          <t>2026-10-01</t>
        </is>
      </c>
      <c r="B2987" s="76" t="inlineStr">
        <is>
          <t>Pokemon Stats</t>
        </is>
      </c>
      <c r="C2987" s="76" t="inlineStr">
        <is>
          <t>Pangoro baseSpeed</t>
        </is>
      </c>
      <c r="D2987" s="76" t="n">
        <v>58</v>
      </c>
      <c r="E2987" s="76" t="n">
        <v>86</v>
      </c>
      <c r="F2987" s="76" t="inlineStr">
        <is>
          <t>Differs from upstream baseline</t>
        </is>
      </c>
      <c r="G2987" s="76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6" t="inlineStr">
        <is>
          <t>2026-10-01</t>
        </is>
      </c>
      <c r="B2989" s="76" t="inlineStr">
        <is>
          <t>Abilities</t>
        </is>
      </c>
      <c r="C2989" s="76" t="inlineStr">
        <is>
          <t>Parasect abilities</t>
        </is>
      </c>
      <c r="D2989" s="76" t="inlineStr">
        <is>
          <t>Effect Spore / Dry Skin / Damp</t>
        </is>
      </c>
      <c r="E2989" s="76" t="inlineStr">
        <is>
          <t>Dry Skin / Dry Skin / Damp</t>
        </is>
      </c>
      <c r="F2989" s="76" t="inlineStr">
        <is>
          <t>Differs from upstream baseline</t>
        </is>
      </c>
      <c r="G2989" s="76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6" t="inlineStr">
        <is>
          <t>2026-10-01</t>
        </is>
      </c>
      <c r="B2991" s="76" t="inlineStr">
        <is>
          <t>Pokemon Stats</t>
        </is>
      </c>
      <c r="C2991" s="76" t="inlineStr">
        <is>
          <t>Patrat baseDefense</t>
        </is>
      </c>
      <c r="D2991" s="76" t="n">
        <v>39</v>
      </c>
      <c r="E2991" s="76" t="n">
        <v>52</v>
      </c>
      <c r="F2991" s="76" t="inlineStr">
        <is>
          <t>Differs from upstream baseline</t>
        </is>
      </c>
      <c r="G2991" s="76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6" t="inlineStr">
        <is>
          <t>2026-10-01</t>
        </is>
      </c>
      <c r="B2993" s="76" t="inlineStr">
        <is>
          <t>Pokemon Stats</t>
        </is>
      </c>
      <c r="C2993" s="76" t="inlineStr">
        <is>
          <t>Patrat baseSpDefense</t>
        </is>
      </c>
      <c r="D2993" s="76" t="n">
        <v>39</v>
      </c>
      <c r="E2993" s="76" t="n">
        <v>52</v>
      </c>
      <c r="F2993" s="76" t="inlineStr">
        <is>
          <t>Differs from upstream baseline</t>
        </is>
      </c>
      <c r="G2993" s="76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6" t="inlineStr">
        <is>
          <t>2026-10-01</t>
        </is>
      </c>
      <c r="B2995" s="76" t="inlineStr">
        <is>
          <t>Pokemon Stats</t>
        </is>
      </c>
      <c r="C2995" s="76" t="inlineStr">
        <is>
          <t>Pawniard baseAttack</t>
        </is>
      </c>
      <c r="D2995" s="76" t="n">
        <v>85</v>
      </c>
      <c r="E2995" s="76" t="n">
        <v>91</v>
      </c>
      <c r="F2995" s="76" t="inlineStr">
        <is>
          <t>Differs from upstream baseline</t>
        </is>
      </c>
      <c r="G2995" s="76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6" t="inlineStr">
        <is>
          <t>2026-10-01</t>
        </is>
      </c>
      <c r="B2997" s="76" t="inlineStr">
        <is>
          <t>Pokemon Stats</t>
        </is>
      </c>
      <c r="C2997" s="76" t="inlineStr">
        <is>
          <t>Pawniard baseSpeed</t>
        </is>
      </c>
      <c r="D2997" s="76" t="n">
        <v>60</v>
      </c>
      <c r="E2997" s="76" t="n">
        <v>64</v>
      </c>
      <c r="F2997" s="76" t="inlineStr">
        <is>
          <t>Differs from upstream baseline</t>
        </is>
      </c>
      <c r="G2997" s="76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6" t="inlineStr">
        <is>
          <t>2026-10-01</t>
        </is>
      </c>
      <c r="B2999" s="76" t="inlineStr">
        <is>
          <t>Pokemon Stats</t>
        </is>
      </c>
      <c r="C2999" s="76" t="inlineStr">
        <is>
          <t>Pelipper baseAttack</t>
        </is>
      </c>
      <c r="D2999" s="76" t="n">
        <v>50</v>
      </c>
      <c r="E2999" s="76" t="n">
        <v>80</v>
      </c>
      <c r="F2999" s="76" t="inlineStr">
        <is>
          <t>Differs from upstream baseline</t>
        </is>
      </c>
      <c r="G2999" s="76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6" t="inlineStr">
        <is>
          <t>2026-10-01</t>
        </is>
      </c>
      <c r="B3001" s="76" t="inlineStr">
        <is>
          <t>Pokemon Stats</t>
        </is>
      </c>
      <c r="C3001" s="76" t="inlineStr">
        <is>
          <t>Perrserker baseAttack</t>
        </is>
      </c>
      <c r="D3001" s="76" t="n">
        <v>110</v>
      </c>
      <c r="E3001" s="76" t="n">
        <v>124</v>
      </c>
      <c r="F3001" s="76" t="inlineStr">
        <is>
          <t>Differs from upstream baseline</t>
        </is>
      </c>
      <c r="G3001" s="76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6" t="inlineStr">
        <is>
          <t>2026-10-01</t>
        </is>
      </c>
      <c r="B3003" s="76" t="inlineStr">
        <is>
          <t>Pokemon Stats</t>
        </is>
      </c>
      <c r="C3003" s="76" t="inlineStr">
        <is>
          <t>Perrserker baseSpDefense</t>
        </is>
      </c>
      <c r="D3003" s="76" t="n">
        <v>60</v>
      </c>
      <c r="E3003" s="76" t="n">
        <v>71</v>
      </c>
      <c r="F3003" s="76" t="inlineStr">
        <is>
          <t>Differs from upstream baseline</t>
        </is>
      </c>
      <c r="G3003" s="76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6" t="inlineStr">
        <is>
          <t>2026-10-01</t>
        </is>
      </c>
      <c r="B3005" s="76" t="inlineStr">
        <is>
          <t>Pokemon Stats</t>
        </is>
      </c>
      <c r="C3005" s="76" t="inlineStr">
        <is>
          <t>Persian baseAttack</t>
        </is>
      </c>
      <c r="D3005" s="76" t="n">
        <v>70</v>
      </c>
      <c r="E3005" s="76" t="n">
        <v>92</v>
      </c>
      <c r="F3005" s="76" t="inlineStr">
        <is>
          <t>Differs from upstream baseline</t>
        </is>
      </c>
      <c r="G3005" s="76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6" t="inlineStr">
        <is>
          <t>2026-10-01</t>
        </is>
      </c>
      <c r="B3007" s="76" t="inlineStr">
        <is>
          <t>Pokemon Stats</t>
        </is>
      </c>
      <c r="C3007" s="76" t="inlineStr">
        <is>
          <t>Persian baseHP</t>
        </is>
      </c>
      <c r="D3007" s="76" t="n">
        <v>65</v>
      </c>
      <c r="E3007" s="76" t="n">
        <v>68</v>
      </c>
      <c r="F3007" s="76" t="inlineStr">
        <is>
          <t>Differs from upstream baseline</t>
        </is>
      </c>
      <c r="G3007" s="76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6" t="inlineStr">
        <is>
          <t>2026-10-01</t>
        </is>
      </c>
      <c r="B3009" s="76" t="inlineStr">
        <is>
          <t>Pokemon Stats</t>
        </is>
      </c>
      <c r="C3009" s="76" t="inlineStr">
        <is>
          <t>Persian baseDefense</t>
        </is>
      </c>
      <c r="D3009" s="76" t="n">
        <v>60</v>
      </c>
      <c r="E3009" s="76" t="n">
        <v>69</v>
      </c>
      <c r="F3009" s="76" t="inlineStr">
        <is>
          <t>Differs from upstream baseline</t>
        </is>
      </c>
      <c r="G3009" s="76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6" t="inlineStr">
        <is>
          <t>2026-10-01</t>
        </is>
      </c>
      <c r="B3011" s="76" t="inlineStr">
        <is>
          <t>Pokemon Stats</t>
        </is>
      </c>
      <c r="C3011" s="76" t="inlineStr">
        <is>
          <t>Persian baseSpDefense</t>
        </is>
      </c>
      <c r="D3011" s="76" t="n">
        <v>65</v>
      </c>
      <c r="E3011" s="76" t="n">
        <v>73</v>
      </c>
      <c r="F3011" s="76" t="inlineStr">
        <is>
          <t>Differs from upstream baseline</t>
        </is>
      </c>
      <c r="G3011" s="76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6" t="inlineStr">
        <is>
          <t>2026-10-01</t>
        </is>
      </c>
      <c r="B3013" s="76" t="inlineStr">
        <is>
          <t>Pokemon Stats</t>
        </is>
      </c>
      <c r="C3013" s="76" t="inlineStr">
        <is>
          <t>Petilil baseAttack</t>
        </is>
      </c>
      <c r="D3013" s="76" t="n">
        <v>35</v>
      </c>
      <c r="E3013" s="76" t="n">
        <v>30</v>
      </c>
      <c r="F3013" s="76" t="inlineStr">
        <is>
          <t>Differs from upstream baseline</t>
        </is>
      </c>
      <c r="G3013" s="76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6" t="inlineStr">
        <is>
          <t>2026-10-01</t>
        </is>
      </c>
      <c r="B3015" s="76" t="inlineStr">
        <is>
          <t>Pokemon Stats</t>
        </is>
      </c>
      <c r="C3015" s="76" t="inlineStr">
        <is>
          <t>Petilil baseSpeed</t>
        </is>
      </c>
      <c r="D3015" s="76" t="n">
        <v>30</v>
      </c>
      <c r="E3015" s="76" t="n">
        <v>52</v>
      </c>
      <c r="F3015" s="76" t="inlineStr">
        <is>
          <t>Differs from upstream baseline</t>
        </is>
      </c>
      <c r="G3015" s="76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6" t="inlineStr">
        <is>
          <t>2026-10-01</t>
        </is>
      </c>
      <c r="B3017" s="76" t="inlineStr">
        <is>
          <t>Pokemon Stats</t>
        </is>
      </c>
      <c r="C3017" s="76" t="inlineStr">
        <is>
          <t>Phione baseAttack</t>
        </is>
      </c>
      <c r="D3017" s="76" t="n">
        <v>80</v>
      </c>
      <c r="E3017" s="76" t="n">
        <v>90</v>
      </c>
      <c r="F3017" s="76" t="inlineStr">
        <is>
          <t>Differs from upstream baseline</t>
        </is>
      </c>
      <c r="G3017" s="76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6" t="inlineStr">
        <is>
          <t>2026-10-01</t>
        </is>
      </c>
      <c r="B3019" s="76" t="inlineStr">
        <is>
          <t>Pokemon Stats</t>
        </is>
      </c>
      <c r="C3019" s="76" t="inlineStr">
        <is>
          <t>Phione baseSpAttack</t>
        </is>
      </c>
      <c r="D3019" s="76" t="n">
        <v>80</v>
      </c>
      <c r="E3019" s="76" t="n">
        <v>90</v>
      </c>
      <c r="F3019" s="76" t="inlineStr">
        <is>
          <t>Differs from upstream baseline</t>
        </is>
      </c>
      <c r="G3019" s="76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6" t="inlineStr">
        <is>
          <t>2026-10-01</t>
        </is>
      </c>
      <c r="B3021" s="76" t="inlineStr">
        <is>
          <t>Evolutions</t>
        </is>
      </c>
      <c r="C3021" s="76" t="inlineStr">
        <is>
          <t>Pichu evolution</t>
        </is>
      </c>
      <c r="D3021" s="76" t="inlineStr">
        <is>
          <t>Friendship -&gt; Pikachu</t>
        </is>
      </c>
      <c r="E3021" s="76" t="inlineStr">
        <is>
          <t>Lv 15 -&gt; Pikachu</t>
        </is>
      </c>
      <c r="F3021" s="76" t="inlineStr">
        <is>
          <t>Differs from upstream baseline</t>
        </is>
      </c>
      <c r="G3021" s="76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6" t="inlineStr">
        <is>
          <t>2026-10-01</t>
        </is>
      </c>
      <c r="B3023" s="76" t="inlineStr">
        <is>
          <t>Pokemon Stats</t>
        </is>
      </c>
      <c r="C3023" s="76" t="inlineStr">
        <is>
          <t>Pidgeot baseSpAttack</t>
        </is>
      </c>
      <c r="D3023" s="76" t="n">
        <v>70</v>
      </c>
      <c r="E3023" s="76" t="n">
        <v>100</v>
      </c>
      <c r="F3023" s="76" t="inlineStr">
        <is>
          <t>Differs from upstream baseline</t>
        </is>
      </c>
      <c r="G3023" s="76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6" t="inlineStr">
        <is>
          <t>2026-10-01</t>
        </is>
      </c>
      <c r="B3025" s="76" t="inlineStr">
        <is>
          <t>Abilities</t>
        </is>
      </c>
      <c r="C3025" s="76" t="inlineStr">
        <is>
          <t>Pidgeotto abilities</t>
        </is>
      </c>
      <c r="D3025" s="76" t="inlineStr">
        <is>
          <t>Keen Eye / Tangled Feet / Big Pecks</t>
        </is>
      </c>
      <c r="E3025" s="76" t="inlineStr">
        <is>
          <t>Tangled Feet / Tangled Feet / Big Pecks</t>
        </is>
      </c>
      <c r="F3025" s="76" t="inlineStr">
        <is>
          <t>Differs from upstream baseline</t>
        </is>
      </c>
      <c r="G3025" s="76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6" t="inlineStr">
        <is>
          <t>2026-10-01</t>
        </is>
      </c>
      <c r="B3027" s="76" t="inlineStr">
        <is>
          <t>Abilities</t>
        </is>
      </c>
      <c r="C3027" s="76" t="inlineStr">
        <is>
          <t>Pidgey abilities</t>
        </is>
      </c>
      <c r="D3027" s="76" t="inlineStr">
        <is>
          <t>Keen Eye / Tangled Feet / Big Pecks</t>
        </is>
      </c>
      <c r="E3027" s="76" t="inlineStr">
        <is>
          <t>Tangled Feet / Tangled Feet / Big Pecks</t>
        </is>
      </c>
      <c r="F3027" s="76" t="inlineStr">
        <is>
          <t>Differs from upstream baseline</t>
        </is>
      </c>
      <c r="G3027" s="76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6" t="inlineStr">
        <is>
          <t>2026-10-01</t>
        </is>
      </c>
      <c r="B3029" s="76" t="inlineStr">
        <is>
          <t>Pokemon Stats</t>
        </is>
      </c>
      <c r="C3029" s="76" t="inlineStr">
        <is>
          <t>Pidove baseSpAttack</t>
        </is>
      </c>
      <c r="D3029" s="76" t="n">
        <v>36</v>
      </c>
      <c r="E3029" s="76" t="n">
        <v>55</v>
      </c>
      <c r="F3029" s="76" t="inlineStr">
        <is>
          <t>Differs from upstream baseline</t>
        </is>
      </c>
      <c r="G3029" s="76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6" t="inlineStr">
        <is>
          <t>2026-10-01</t>
        </is>
      </c>
      <c r="B3031" s="76" t="inlineStr">
        <is>
          <t>Pokemon Stats</t>
        </is>
      </c>
      <c r="C3031" s="76" t="inlineStr">
        <is>
          <t>Pikachu baseDefense</t>
        </is>
      </c>
      <c r="D3031" s="76" t="n">
        <v>40</v>
      </c>
      <c r="E3031" s="76" t="n">
        <v>30</v>
      </c>
      <c r="F3031" s="76" t="inlineStr">
        <is>
          <t>Differs from upstream baseline</t>
        </is>
      </c>
      <c r="G3031" s="76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6" t="inlineStr">
        <is>
          <t>2026-10-01</t>
        </is>
      </c>
      <c r="B3033" s="76" t="inlineStr">
        <is>
          <t>Abilities</t>
        </is>
      </c>
      <c r="C3033" s="76" t="inlineStr">
        <is>
          <t>Pikachu abilities</t>
        </is>
      </c>
      <c r="D3033" s="76" t="inlineStr">
        <is>
          <t>Static / Lightning Rod</t>
        </is>
      </c>
      <c r="E3033" s="76" t="inlineStr">
        <is>
          <t>Reckless / Lightning Rod</t>
        </is>
      </c>
      <c r="F3033" s="76" t="inlineStr">
        <is>
          <t>Differs from upstream baseline</t>
        </is>
      </c>
      <c r="G3033" s="76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6" t="inlineStr">
        <is>
          <t>2026-10-01</t>
        </is>
      </c>
      <c r="B3035" s="76" t="inlineStr">
        <is>
          <t>Pokemon Stats</t>
        </is>
      </c>
      <c r="C3035" s="76" t="inlineStr">
        <is>
          <t>Piloswine baseSpeed</t>
        </is>
      </c>
      <c r="D3035" s="76" t="n">
        <v>50</v>
      </c>
      <c r="E3035" s="76" t="n">
        <v>80</v>
      </c>
      <c r="F3035" s="76" t="inlineStr">
        <is>
          <t>Differs from upstream baseline</t>
        </is>
      </c>
      <c r="G3035" s="76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6" t="inlineStr">
        <is>
          <t>2026-10-01</t>
        </is>
      </c>
      <c r="B3037" s="76" t="inlineStr">
        <is>
          <t>Abilities</t>
        </is>
      </c>
      <c r="C3037" s="76" t="inlineStr">
        <is>
          <t>Pineco abilities</t>
        </is>
      </c>
      <c r="D3037" s="76" t="inlineStr">
        <is>
          <t>Sturdy / Overcoat</t>
        </is>
      </c>
      <c r="E3037" s="76" t="inlineStr">
        <is>
          <t>Rough Skin / Overcoat</t>
        </is>
      </c>
      <c r="F3037" s="76" t="inlineStr">
        <is>
          <t>Differs from upstream baseline</t>
        </is>
      </c>
      <c r="G3037" s="76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6" t="inlineStr">
        <is>
          <t>2026-10-01</t>
        </is>
      </c>
      <c r="B3039" s="76" t="inlineStr">
        <is>
          <t>Pokemon Stats</t>
        </is>
      </c>
      <c r="C3039" s="76" t="inlineStr">
        <is>
          <t>Piplup baseSpAttack</t>
        </is>
      </c>
      <c r="D3039" s="76" t="n">
        <v>61</v>
      </c>
      <c r="E3039" s="76" t="n">
        <v>51</v>
      </c>
      <c r="F3039" s="76" t="inlineStr">
        <is>
          <t>Differs from upstream baseline</t>
        </is>
      </c>
      <c r="G3039" s="76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6" t="inlineStr">
        <is>
          <t>2026-10-01</t>
        </is>
      </c>
      <c r="B3041" s="76" t="inlineStr">
        <is>
          <t>Pokemon Stats</t>
        </is>
      </c>
      <c r="C3041" s="76" t="inlineStr">
        <is>
          <t>Politoed baseAttack</t>
        </is>
      </c>
      <c r="D3041" s="76" t="n">
        <v>75</v>
      </c>
      <c r="E3041" s="76" t="n">
        <v>85</v>
      </c>
      <c r="F3041" s="76" t="inlineStr">
        <is>
          <t>Differs from upstream baseline</t>
        </is>
      </c>
      <c r="G3041" s="76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6" t="inlineStr">
        <is>
          <t>2026-10-01</t>
        </is>
      </c>
      <c r="B3043" s="76" t="inlineStr">
        <is>
          <t>Abilities</t>
        </is>
      </c>
      <c r="C3043" s="76" t="inlineStr">
        <is>
          <t>Politoed abilities</t>
        </is>
      </c>
      <c r="D3043" s="76" t="inlineStr">
        <is>
          <t>Water Absorb / Damp / Drizzle</t>
        </is>
      </c>
      <c r="E3043" s="76" t="inlineStr">
        <is>
          <t>Swift Swim / Water Absorb / Regenerator</t>
        </is>
      </c>
      <c r="F3043" s="76" t="inlineStr">
        <is>
          <t>Differs from upstream baseline</t>
        </is>
      </c>
      <c r="G3043" s="76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6" t="inlineStr">
        <is>
          <t>2026-10-01</t>
        </is>
      </c>
      <c r="B3045" s="76" t="inlineStr">
        <is>
          <t>Abilities</t>
        </is>
      </c>
      <c r="C3045" s="76" t="inlineStr">
        <is>
          <t>Poliwhirl abilities</t>
        </is>
      </c>
      <c r="D3045" s="76" t="inlineStr">
        <is>
          <t>Water Absorb / Damp / Swift Swim</t>
        </is>
      </c>
      <c r="E3045" s="76" t="inlineStr">
        <is>
          <t>Swift Swim / Swift Swim / Swift Swim</t>
        </is>
      </c>
      <c r="F3045" s="76" t="inlineStr">
        <is>
          <t>Differs from upstream baseline</t>
        </is>
      </c>
      <c r="G3045" s="76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6" t="inlineStr">
        <is>
          <t>2026-10-01</t>
        </is>
      </c>
      <c r="B3047" s="76" t="inlineStr">
        <is>
          <t>Pokemon Stats</t>
        </is>
      </c>
      <c r="C3047" s="76" t="inlineStr">
        <is>
          <t>Poliwrath baseSpeed</t>
        </is>
      </c>
      <c r="D3047" s="76" t="n">
        <v>70</v>
      </c>
      <c r="E3047" s="76" t="n">
        <v>90</v>
      </c>
      <c r="F3047" s="76" t="inlineStr">
        <is>
          <t>Differs from upstream baseline</t>
        </is>
      </c>
      <c r="G3047" s="76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6" t="inlineStr">
        <is>
          <t>2026-10-01</t>
        </is>
      </c>
      <c r="B3049" s="76" t="inlineStr">
        <is>
          <t>Abilities</t>
        </is>
      </c>
      <c r="C3049" s="76" t="inlineStr">
        <is>
          <t>Ponyta abilities</t>
        </is>
      </c>
      <c r="D3049" s="76" t="inlineStr">
        <is>
          <t>Run Away / Flash Fire / Flame Body</t>
        </is>
      </c>
      <c r="E3049" s="76" t="inlineStr">
        <is>
          <t>Reckless / Reckless / Flame Body</t>
        </is>
      </c>
      <c r="F3049" s="76" t="inlineStr">
        <is>
          <t>Differs from upstream baseline</t>
        </is>
      </c>
      <c r="G3049" s="76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6" t="inlineStr">
        <is>
          <t>2026-10-01</t>
        </is>
      </c>
      <c r="B3051" s="76" t="inlineStr">
        <is>
          <t>Abilities</t>
        </is>
      </c>
      <c r="C3051" s="76" t="inlineStr">
        <is>
          <t>Poochyena abilities</t>
        </is>
      </c>
      <c r="D3051" s="76" t="inlineStr">
        <is>
          <t>Run Away / Quick Feet / Rattled</t>
        </is>
      </c>
      <c r="E3051" s="76" t="inlineStr">
        <is>
          <t>Quick Feet / Quick Feet / Rattled</t>
        </is>
      </c>
      <c r="F3051" s="76" t="inlineStr">
        <is>
          <t>Differs from upstream baseline</t>
        </is>
      </c>
      <c r="G3051" s="76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6" t="inlineStr">
        <is>
          <t>2026-10-01</t>
        </is>
      </c>
      <c r="B3053" s="76" t="inlineStr">
        <is>
          <t>Abilities</t>
        </is>
      </c>
      <c r="C3053" s="76" t="inlineStr">
        <is>
          <t>Porygon2 abilities</t>
        </is>
      </c>
      <c r="D3053" s="76" t="inlineStr">
        <is>
          <t>Trace / Download / Analytic</t>
        </is>
      </c>
      <c r="E3053" s="76" t="inlineStr">
        <is>
          <t>Trace / Trace / Analytic</t>
        </is>
      </c>
      <c r="F3053" s="76" t="inlineStr">
        <is>
          <t>Differs from upstream baseline</t>
        </is>
      </c>
      <c r="G3053" s="76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6" t="inlineStr">
        <is>
          <t>2026-10-01</t>
        </is>
      </c>
      <c r="B3055" s="76" t="inlineStr">
        <is>
          <t>Pokemon Stats</t>
        </is>
      </c>
      <c r="C3055" s="76" t="inlineStr">
        <is>
          <t>Primeape baseHP</t>
        </is>
      </c>
      <c r="D3055" s="76" t="n">
        <v>65</v>
      </c>
      <c r="E3055" s="76" t="n">
        <v>75</v>
      </c>
      <c r="F3055" s="76" t="inlineStr">
        <is>
          <t>Differs from upstream baseline</t>
        </is>
      </c>
      <c r="G3055" s="76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6" t="inlineStr">
        <is>
          <t>2026-10-01</t>
        </is>
      </c>
      <c r="B3057" s="76" t="inlineStr">
        <is>
          <t>Pokemon Stats</t>
        </is>
      </c>
      <c r="C3057" s="76" t="inlineStr">
        <is>
          <t>Primeape baseDefense</t>
        </is>
      </c>
      <c r="D3057" s="76" t="n">
        <v>60</v>
      </c>
      <c r="E3057" s="76" t="n">
        <v>80</v>
      </c>
      <c r="F3057" s="76" t="inlineStr">
        <is>
          <t>Differs from upstream baseline</t>
        </is>
      </c>
      <c r="G3057" s="76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6" t="inlineStr">
        <is>
          <t>2026-10-01</t>
        </is>
      </c>
      <c r="B3059" s="76" t="inlineStr">
        <is>
          <t>Pokemon Stats</t>
        </is>
      </c>
      <c r="C3059" s="76" t="inlineStr">
        <is>
          <t>Primeape baseSpDefense</t>
        </is>
      </c>
      <c r="D3059" s="76" t="n">
        <v>70</v>
      </c>
      <c r="E3059" s="76" t="n">
        <v>90</v>
      </c>
      <c r="F3059" s="76" t="inlineStr">
        <is>
          <t>Differs from upstream baseline</t>
        </is>
      </c>
      <c r="G3059" s="76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6" t="inlineStr">
        <is>
          <t>2026-10-01</t>
        </is>
      </c>
      <c r="B3061" s="76" t="inlineStr">
        <is>
          <t>Pokemon Stats</t>
        </is>
      </c>
      <c r="C3061" s="76" t="inlineStr">
        <is>
          <t>Prinplup baseAttack</t>
        </is>
      </c>
      <c r="D3061" s="76" t="n">
        <v>66</v>
      </c>
      <c r="E3061" s="76" t="n">
        <v>81</v>
      </c>
      <c r="F3061" s="76" t="inlineStr">
        <is>
          <t>Differs from upstream baseline</t>
        </is>
      </c>
      <c r="G3061" s="76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6" t="inlineStr">
        <is>
          <t>2026-10-01</t>
        </is>
      </c>
      <c r="B3063" s="76" t="inlineStr">
        <is>
          <t>Abilities</t>
        </is>
      </c>
      <c r="C3063" s="76" t="inlineStr">
        <is>
          <t>Prinplup abilities</t>
        </is>
      </c>
      <c r="D3063" s="76" t="inlineStr">
        <is>
          <t>Torrent / Competitive</t>
        </is>
      </c>
      <c r="E3063" s="76" t="inlineStr">
        <is>
          <t>Swift Swim / Torrent / Competitive</t>
        </is>
      </c>
      <c r="F3063" s="76" t="inlineStr">
        <is>
          <t>Differs from upstream baseline</t>
        </is>
      </c>
      <c r="G3063" s="76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6" t="inlineStr">
        <is>
          <t>2026-10-01</t>
        </is>
      </c>
      <c r="B3065" s="76" t="inlineStr">
        <is>
          <t>Pokemon Stats</t>
        </is>
      </c>
      <c r="C3065" s="76" t="inlineStr">
        <is>
          <t>Probopass baseAttack</t>
        </is>
      </c>
      <c r="D3065" s="76" t="n">
        <v>55</v>
      </c>
      <c r="E3065" s="76" t="n">
        <v>75</v>
      </c>
      <c r="F3065" s="76" t="inlineStr">
        <is>
          <t>Differs from upstream baseline</t>
        </is>
      </c>
      <c r="G3065" s="76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6" t="inlineStr">
        <is>
          <t>2026-10-01</t>
        </is>
      </c>
      <c r="B3067" s="76" t="inlineStr">
        <is>
          <t>Abilities</t>
        </is>
      </c>
      <c r="C3067" s="76" t="inlineStr">
        <is>
          <t>Psyduck abilities</t>
        </is>
      </c>
      <c r="D3067" s="76" t="inlineStr">
        <is>
          <t>Damp / Cloud Nine / Swift Swim</t>
        </is>
      </c>
      <c r="E3067" s="76" t="inlineStr">
        <is>
          <t>Simple / Unaware / Swift Swim</t>
        </is>
      </c>
      <c r="F3067" s="76" t="inlineStr">
        <is>
          <t>Differs from upstream baseline</t>
        </is>
      </c>
      <c r="G3067" s="76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6" t="inlineStr">
        <is>
          <t>2026-10-01</t>
        </is>
      </c>
      <c r="B3069" s="76" t="inlineStr">
        <is>
          <t>Pokemon Stats</t>
        </is>
      </c>
      <c r="C3069" s="76" t="inlineStr">
        <is>
          <t>Purrloin baseHP</t>
        </is>
      </c>
      <c r="D3069" s="76" t="n">
        <v>41</v>
      </c>
      <c r="E3069" s="76" t="n">
        <v>46</v>
      </c>
      <c r="F3069" s="76" t="inlineStr">
        <is>
          <t>Differs from upstream baseline</t>
        </is>
      </c>
      <c r="G3069" s="76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6" t="inlineStr">
        <is>
          <t>2026-10-01</t>
        </is>
      </c>
      <c r="B3071" s="76" t="inlineStr">
        <is>
          <t>Pokemon Stats</t>
        </is>
      </c>
      <c r="C3071" s="76" t="inlineStr">
        <is>
          <t>Purrloin baseDefense</t>
        </is>
      </c>
      <c r="D3071" s="76" t="n">
        <v>37</v>
      </c>
      <c r="E3071" s="76" t="n">
        <v>45</v>
      </c>
      <c r="F3071" s="76" t="inlineStr">
        <is>
          <t>Differs from upstream baseline</t>
        </is>
      </c>
      <c r="G3071" s="76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6" t="inlineStr">
        <is>
          <t>2026-10-01</t>
        </is>
      </c>
      <c r="B3073" s="76" t="inlineStr">
        <is>
          <t>Pokemon Stats</t>
        </is>
      </c>
      <c r="C3073" s="76" t="inlineStr">
        <is>
          <t>Purugly baseHP</t>
        </is>
      </c>
      <c r="D3073" s="76" t="n">
        <v>71</v>
      </c>
      <c r="E3073" s="76" t="n">
        <v>91</v>
      </c>
      <c r="F3073" s="76" t="inlineStr">
        <is>
          <t>Differs from upstream baseline</t>
        </is>
      </c>
      <c r="G3073" s="76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6" t="inlineStr">
        <is>
          <t>2026-10-01</t>
        </is>
      </c>
      <c r="B3075" s="76" t="inlineStr">
        <is>
          <t>Pokemon Stats</t>
        </is>
      </c>
      <c r="C3075" s="76" t="inlineStr">
        <is>
          <t>Purugly baseSpDefense</t>
        </is>
      </c>
      <c r="D3075" s="76" t="n">
        <v>59</v>
      </c>
      <c r="E3075" s="76" t="n">
        <v>69</v>
      </c>
      <c r="F3075" s="76" t="inlineStr">
        <is>
          <t>Differs from upstream baseline</t>
        </is>
      </c>
      <c r="G3075" s="76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6" t="inlineStr">
        <is>
          <t>2026-10-01</t>
        </is>
      </c>
      <c r="B3077" s="76" t="inlineStr">
        <is>
          <t>Pokemon Stats</t>
        </is>
      </c>
      <c r="C3077" s="76" t="inlineStr">
        <is>
          <t>Pyroar baseAttack</t>
        </is>
      </c>
      <c r="D3077" s="76" t="n">
        <v>68</v>
      </c>
      <c r="E3077" s="76" t="n">
        <v>30</v>
      </c>
      <c r="F3077" s="76" t="inlineStr">
        <is>
          <t>Differs from upstream baseline</t>
        </is>
      </c>
      <c r="G3077" s="76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6" t="inlineStr">
        <is>
          <t>2026-10-01</t>
        </is>
      </c>
      <c r="B3079" s="76" t="inlineStr">
        <is>
          <t>Pokemon Stats</t>
        </is>
      </c>
      <c r="C3079" s="76" t="inlineStr">
        <is>
          <t>Pyroar baseSpeed</t>
        </is>
      </c>
      <c r="D3079" s="76" t="n">
        <v>106</v>
      </c>
      <c r="E3079" s="76" t="n">
        <v>133</v>
      </c>
      <c r="F3079" s="76" t="inlineStr">
        <is>
          <t>Differs from upstream baseline</t>
        </is>
      </c>
      <c r="G3079" s="76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6" t="inlineStr">
        <is>
          <t>2026-10-01</t>
        </is>
      </c>
      <c r="B3081" s="76" t="inlineStr">
        <is>
          <t>Abilities</t>
        </is>
      </c>
      <c r="C3081" s="76" t="inlineStr">
        <is>
          <t>Quagsire abilities</t>
        </is>
      </c>
      <c r="D3081" s="76" t="inlineStr">
        <is>
          <t>Damp / Water Absorb / Unaware</t>
        </is>
      </c>
      <c r="E3081" s="76" t="inlineStr">
        <is>
          <t>Simple / Poison Point / Unaware</t>
        </is>
      </c>
      <c r="F3081" s="76" t="inlineStr">
        <is>
          <t>Differs from upstream baseline</t>
        </is>
      </c>
      <c r="G3081" s="76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6" t="inlineStr">
        <is>
          <t>2026-10-01</t>
        </is>
      </c>
      <c r="B3083" s="76" t="inlineStr">
        <is>
          <t>Pokemon Stats</t>
        </is>
      </c>
      <c r="C3083" s="76" t="inlineStr">
        <is>
          <t>Qwilfish baseAttack</t>
        </is>
      </c>
      <c r="D3083" s="76" t="n">
        <v>95</v>
      </c>
      <c r="E3083" s="76" t="n">
        <v>115</v>
      </c>
      <c r="F3083" s="76" t="inlineStr">
        <is>
          <t>Differs from upstream baseline</t>
        </is>
      </c>
      <c r="G3083" s="76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6" t="inlineStr">
        <is>
          <t>2026-10-01</t>
        </is>
      </c>
      <c r="B3085" s="76" t="inlineStr">
        <is>
          <t>Pokemon Stats</t>
        </is>
      </c>
      <c r="C3085" s="76" t="inlineStr">
        <is>
          <t>Qwilfish baseSpAttack</t>
        </is>
      </c>
      <c r="D3085" s="76" t="n">
        <v>55</v>
      </c>
      <c r="E3085" s="76" t="n">
        <v>65</v>
      </c>
      <c r="F3085" s="76" t="inlineStr">
        <is>
          <t>Differs from upstream baseline</t>
        </is>
      </c>
      <c r="G3085" s="76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6" t="inlineStr">
        <is>
          <t>2026-10-01</t>
        </is>
      </c>
      <c r="B3087" s="76" t="inlineStr">
        <is>
          <t>Abilities</t>
        </is>
      </c>
      <c r="C3087" s="76" t="inlineStr">
        <is>
          <t>Qwilfish abilities</t>
        </is>
      </c>
      <c r="D3087" s="76" t="inlineStr">
        <is>
          <t>Poison Point / Swift Swim / Intimidate</t>
        </is>
      </c>
      <c r="E3087" s="76" t="inlineStr">
        <is>
          <t>Swift Swim / Swift Swim / Intimidate</t>
        </is>
      </c>
      <c r="F3087" s="76" t="inlineStr">
        <is>
          <t>Differs from upstream baseline</t>
        </is>
      </c>
      <c r="G3087" s="76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6" t="inlineStr">
        <is>
          <t>2026-10-01</t>
        </is>
      </c>
      <c r="B3089" s="76" t="inlineStr">
        <is>
          <t>Pokemon Stats</t>
        </is>
      </c>
      <c r="C3089" s="76" t="inlineStr">
        <is>
          <t>Raichu baseSpDefense</t>
        </is>
      </c>
      <c r="D3089" s="76" t="n">
        <v>80</v>
      </c>
      <c r="E3089" s="76" t="n">
        <v>85</v>
      </c>
      <c r="F3089" s="76" t="inlineStr">
        <is>
          <t>Differs from upstream baseline</t>
        </is>
      </c>
      <c r="G3089" s="76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6" t="inlineStr">
        <is>
          <t>2026-10-01</t>
        </is>
      </c>
      <c r="B3091" s="76" t="inlineStr">
        <is>
          <t>Pokemon Stats</t>
        </is>
      </c>
      <c r="C3091" s="76" t="inlineStr">
        <is>
          <t>Raichu baseHP</t>
        </is>
      </c>
      <c r="D3091" s="76" t="n">
        <v>60</v>
      </c>
      <c r="E3091" s="76" t="n">
        <v>74</v>
      </c>
      <c r="F3091" s="76" t="inlineStr">
        <is>
          <t>Differs from upstream baseline</t>
        </is>
      </c>
      <c r="G3091" s="76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6" t="inlineStr">
        <is>
          <t>2026-10-01</t>
        </is>
      </c>
      <c r="B3093" s="76" t="inlineStr">
        <is>
          <t>Pokemon Stats</t>
        </is>
      </c>
      <c r="C3093" s="76" t="inlineStr">
        <is>
          <t>Raichu baseDefense</t>
        </is>
      </c>
      <c r="D3093" s="76" t="n">
        <v>50</v>
      </c>
      <c r="E3093" s="76" t="n">
        <v>68</v>
      </c>
      <c r="F3093" s="76" t="inlineStr">
        <is>
          <t>Differs from upstream baseline</t>
        </is>
      </c>
      <c r="G3093" s="76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6" t="inlineStr">
        <is>
          <t>2026-10-01</t>
        </is>
      </c>
      <c r="B3095" s="76" t="inlineStr">
        <is>
          <t>Abilities</t>
        </is>
      </c>
      <c r="C3095" s="76" t="inlineStr">
        <is>
          <t>Ralts abilities</t>
        </is>
      </c>
      <c r="D3095" s="76" t="inlineStr">
        <is>
          <t>Synchronize / Trace / Telepathy</t>
        </is>
      </c>
      <c r="E3095" s="76" t="inlineStr">
        <is>
          <t>Trace / Trace / Telepathy</t>
        </is>
      </c>
      <c r="F3095" s="76" t="inlineStr">
        <is>
          <t>Differs from upstream baseline</t>
        </is>
      </c>
      <c r="G3095" s="76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6" t="inlineStr">
        <is>
          <t>2026-10-01</t>
        </is>
      </c>
      <c r="B3097" s="76" t="inlineStr">
        <is>
          <t>Pokemon Stats</t>
        </is>
      </c>
      <c r="C3097" s="76" t="inlineStr">
        <is>
          <t>Rampardos baseDefense</t>
        </is>
      </c>
      <c r="D3097" s="76" t="n">
        <v>60</v>
      </c>
      <c r="E3097" s="76" t="n">
        <v>80</v>
      </c>
      <c r="F3097" s="76" t="inlineStr">
        <is>
          <t>Differs from upstream baseline</t>
        </is>
      </c>
      <c r="G3097" s="76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6" t="inlineStr">
        <is>
          <t>2026-10-01</t>
        </is>
      </c>
      <c r="B3099" s="76" t="inlineStr">
        <is>
          <t>Pokemon Stats</t>
        </is>
      </c>
      <c r="C3099" s="76" t="inlineStr">
        <is>
          <t>Rampardos baseSpDefense</t>
        </is>
      </c>
      <c r="D3099" s="76" t="n">
        <v>50</v>
      </c>
      <c r="E3099" s="76" t="n">
        <v>70</v>
      </c>
      <c r="F3099" s="76" t="inlineStr">
        <is>
          <t>Differs from upstream baseline</t>
        </is>
      </c>
      <c r="G3099" s="76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6" t="inlineStr">
        <is>
          <t>2026-10-01</t>
        </is>
      </c>
      <c r="B3101" s="76" t="inlineStr">
        <is>
          <t>Pokemon Stats</t>
        </is>
      </c>
      <c r="C3101" s="76" t="inlineStr">
        <is>
          <t>Rapidash baseHP</t>
        </is>
      </c>
      <c r="D3101" s="76" t="n">
        <v>65</v>
      </c>
      <c r="E3101" s="76" t="n">
        <v>70</v>
      </c>
      <c r="F3101" s="76" t="inlineStr">
        <is>
          <t>Differs from upstream baseline</t>
        </is>
      </c>
      <c r="G3101" s="76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6" t="inlineStr">
        <is>
          <t>2026-10-01</t>
        </is>
      </c>
      <c r="B3103" s="76" t="inlineStr">
        <is>
          <t>Pokemon Stats</t>
        </is>
      </c>
      <c r="C3103" s="76" t="inlineStr">
        <is>
          <t>Rapidash baseDefense</t>
        </is>
      </c>
      <c r="D3103" s="76" t="n">
        <v>70</v>
      </c>
      <c r="E3103" s="76" t="n">
        <v>75</v>
      </c>
      <c r="F3103" s="76" t="inlineStr">
        <is>
          <t>Differs from upstream baseline</t>
        </is>
      </c>
      <c r="G3103" s="76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6" t="inlineStr">
        <is>
          <t>2026-10-01</t>
        </is>
      </c>
      <c r="B3105" s="76" t="inlineStr">
        <is>
          <t>Pokemon Stats</t>
        </is>
      </c>
      <c r="C3105" s="76" t="inlineStr">
        <is>
          <t>Rapidash baseSpDefense</t>
        </is>
      </c>
      <c r="D3105" s="76" t="n">
        <v>80</v>
      </c>
      <c r="E3105" s="76" t="n">
        <v>85</v>
      </c>
      <c r="F3105" s="76" t="inlineStr">
        <is>
          <t>Differs from upstream baseline</t>
        </is>
      </c>
      <c r="G3105" s="76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6" t="inlineStr">
        <is>
          <t>2026-10-01</t>
        </is>
      </c>
      <c r="B3107" s="76" t="inlineStr">
        <is>
          <t>Abilities</t>
        </is>
      </c>
      <c r="C3107" s="76" t="inlineStr">
        <is>
          <t>Rapidash abilities</t>
        </is>
      </c>
      <c r="D3107" s="76" t="inlineStr">
        <is>
          <t>Run Away / Flash Fire / Flame Body</t>
        </is>
      </c>
      <c r="E3107" s="76" t="inlineStr">
        <is>
          <t>Reckless / Reckless / Flame Body</t>
        </is>
      </c>
      <c r="F3107" s="76" t="inlineStr">
        <is>
          <t>Differs from upstream baseline</t>
        </is>
      </c>
      <c r="G3107" s="76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6" t="inlineStr">
        <is>
          <t>2026-10-01</t>
        </is>
      </c>
      <c r="B3109" s="76" t="inlineStr">
        <is>
          <t>Abilities</t>
        </is>
      </c>
      <c r="C3109" s="76" t="inlineStr">
        <is>
          <t>Raticate abilities</t>
        </is>
      </c>
      <c r="D3109" s="76" t="inlineStr">
        <is>
          <t>Run Away / Guts / Hustle</t>
        </is>
      </c>
      <c r="E3109" s="76" t="inlineStr">
        <is>
          <t>Guts / Guts / Hustle</t>
        </is>
      </c>
      <c r="F3109" s="76" t="inlineStr">
        <is>
          <t>Differs from upstream baseline</t>
        </is>
      </c>
      <c r="G3109" s="76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6" t="inlineStr">
        <is>
          <t>2026-10-01</t>
        </is>
      </c>
      <c r="B3111" s="76" t="inlineStr">
        <is>
          <t>Pokemon Stats</t>
        </is>
      </c>
      <c r="C3111" s="76" t="inlineStr">
        <is>
          <t>Raticate baseDefense</t>
        </is>
      </c>
      <c r="D3111" s="76" t="n">
        <v>70</v>
      </c>
      <c r="E3111" s="76" t="n">
        <v>81</v>
      </c>
      <c r="F3111" s="76" t="inlineStr">
        <is>
          <t>Differs from upstream baseline</t>
        </is>
      </c>
      <c r="G3111" s="76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6" t="inlineStr">
        <is>
          <t>2026-10-01</t>
        </is>
      </c>
      <c r="B3113" s="76" t="inlineStr">
        <is>
          <t>Pokemon Stats</t>
        </is>
      </c>
      <c r="C3113" s="76" t="inlineStr">
        <is>
          <t>Raticate baseSpeed</t>
        </is>
      </c>
      <c r="D3113" s="76" t="n">
        <v>77</v>
      </c>
      <c r="E3113" s="76" t="n">
        <v>88</v>
      </c>
      <c r="F3113" s="76" t="inlineStr">
        <is>
          <t>Differs from upstream baseline</t>
        </is>
      </c>
      <c r="G3113" s="76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6" t="inlineStr">
        <is>
          <t>2026-10-01</t>
        </is>
      </c>
      <c r="B3115" s="76" t="inlineStr">
        <is>
          <t>Abilities</t>
        </is>
      </c>
      <c r="C3115" s="76" t="inlineStr">
        <is>
          <t>Rattata abilities</t>
        </is>
      </c>
      <c r="D3115" s="76" t="inlineStr">
        <is>
          <t>Gluttony / Hustle / Thick Fat</t>
        </is>
      </c>
      <c r="E3115" s="76" t="inlineStr">
        <is>
          <t>Guts / Guts / Thick Fat</t>
        </is>
      </c>
      <c r="F3115" s="76" t="inlineStr">
        <is>
          <t>Differs from upstream baseline</t>
        </is>
      </c>
      <c r="G3115" s="76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6" t="inlineStr">
        <is>
          <t>2026-10-01</t>
        </is>
      </c>
      <c r="B3117" s="76" t="inlineStr">
        <is>
          <t>Pokemon Stats</t>
        </is>
      </c>
      <c r="C3117" s="76" t="inlineStr">
        <is>
          <t>Regice baseSpAttack</t>
        </is>
      </c>
      <c r="D3117" s="76" t="n">
        <v>100</v>
      </c>
      <c r="E3117" s="76" t="n">
        <v>120</v>
      </c>
      <c r="F3117" s="76" t="inlineStr">
        <is>
          <t>Differs from upstream baseline</t>
        </is>
      </c>
      <c r="G3117" s="76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6" t="inlineStr">
        <is>
          <t>2026-10-01</t>
        </is>
      </c>
      <c r="B3119" s="76" t="inlineStr">
        <is>
          <t>Abilities</t>
        </is>
      </c>
      <c r="C3119" s="76" t="inlineStr">
        <is>
          <t>Regigigas abilities</t>
        </is>
      </c>
      <c r="D3119" s="76" t="inlineStr">
        <is>
          <t>Slow Start</t>
        </is>
      </c>
      <c r="E3119" s="76" t="inlineStr">
        <is>
          <t>Clear Body</t>
        </is>
      </c>
      <c r="F3119" s="76" t="inlineStr">
        <is>
          <t>Differs from upstream baseline</t>
        </is>
      </c>
      <c r="G3119" s="76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6" t="inlineStr">
        <is>
          <t>2026-10-01</t>
        </is>
      </c>
      <c r="B3121" s="76" t="inlineStr">
        <is>
          <t>Abilities</t>
        </is>
      </c>
      <c r="C3121" s="76" t="inlineStr">
        <is>
          <t>Regirock abilities</t>
        </is>
      </c>
      <c r="D3121" s="76" t="inlineStr">
        <is>
          <t>Clear Body / Sturdy</t>
        </is>
      </c>
      <c r="E3121" s="76" t="inlineStr">
        <is>
          <t>Solid Rock / Clear Body / Sturdy</t>
        </is>
      </c>
      <c r="F3121" s="76" t="inlineStr">
        <is>
          <t>Differs from upstream baseline</t>
        </is>
      </c>
      <c r="G3121" s="76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6" t="inlineStr">
        <is>
          <t>2026-10-01</t>
        </is>
      </c>
      <c r="B3123" s="76" t="inlineStr">
        <is>
          <t>Pokemon Stats</t>
        </is>
      </c>
      <c r="C3123" s="76" t="inlineStr">
        <is>
          <t>Registeel baseDefense</t>
        </is>
      </c>
      <c r="D3123" s="76" t="n">
        <v>150</v>
      </c>
      <c r="E3123" s="76" t="n">
        <v>200</v>
      </c>
      <c r="F3123" s="76" t="inlineStr">
        <is>
          <t>Differs from upstream baseline</t>
        </is>
      </c>
      <c r="G3123" s="76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6" t="inlineStr">
        <is>
          <t>2026-10-01</t>
        </is>
      </c>
      <c r="B3125" s="76" t="inlineStr">
        <is>
          <t>Pokemon Stats</t>
        </is>
      </c>
      <c r="C3125" s="76" t="inlineStr">
        <is>
          <t>Registeel baseSpDefense</t>
        </is>
      </c>
      <c r="D3125" s="76" t="n">
        <v>150</v>
      </c>
      <c r="E3125" s="76" t="n">
        <v>200</v>
      </c>
      <c r="F3125" s="76" t="inlineStr">
        <is>
          <t>Differs from upstream baseline</t>
        </is>
      </c>
      <c r="G3125" s="76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6" t="inlineStr">
        <is>
          <t>2026-10-01</t>
        </is>
      </c>
      <c r="B3127" s="76" t="inlineStr">
        <is>
          <t>Abilities</t>
        </is>
      </c>
      <c r="C3127" s="76" t="inlineStr">
        <is>
          <t>Registeel abilities</t>
        </is>
      </c>
      <c r="D3127" s="76" t="inlineStr">
        <is>
          <t>Clear Body / Light Metal</t>
        </is>
      </c>
      <c r="E3127" s="76" t="inlineStr">
        <is>
          <t>Filter / Clear Body / Light Metal</t>
        </is>
      </c>
      <c r="F3127" s="76" t="inlineStr">
        <is>
          <t>Differs from upstream baseline</t>
        </is>
      </c>
      <c r="G3127" s="76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6" t="inlineStr">
        <is>
          <t>2026-10-01</t>
        </is>
      </c>
      <c r="B3129" s="76" t="inlineStr">
        <is>
          <t>Pokemon Stats</t>
        </is>
      </c>
      <c r="C3129" s="76" t="inlineStr">
        <is>
          <t>Reuniclus baseAttack</t>
        </is>
      </c>
      <c r="D3129" s="76" t="n">
        <v>65</v>
      </c>
      <c r="E3129" s="76" t="n">
        <v>30</v>
      </c>
      <c r="F3129" s="76" t="inlineStr">
        <is>
          <t>Differs from upstream baseline</t>
        </is>
      </c>
      <c r="G3129" s="76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6" t="inlineStr">
        <is>
          <t>2026-10-01</t>
        </is>
      </c>
      <c r="B3131" s="76" t="inlineStr">
        <is>
          <t>Pokemon Stats</t>
        </is>
      </c>
      <c r="C3131" s="76" t="inlineStr">
        <is>
          <t>Reuniclus baseSpAttack</t>
        </is>
      </c>
      <c r="D3131" s="76" t="n">
        <v>125</v>
      </c>
      <c r="E3131" s="76" t="n">
        <v>146</v>
      </c>
      <c r="F3131" s="76" t="inlineStr">
        <is>
          <t>Differs from upstream baseline</t>
        </is>
      </c>
      <c r="G3131" s="76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6" t="inlineStr">
        <is>
          <t>2026-10-01</t>
        </is>
      </c>
      <c r="B3133" s="76" t="inlineStr">
        <is>
          <t>Abilities</t>
        </is>
      </c>
      <c r="C3133" s="76" t="inlineStr">
        <is>
          <t>Rhyperior abilities</t>
        </is>
      </c>
      <c r="D3133" s="76" t="inlineStr">
        <is>
          <t>Lightning Rod / Solid Rock / Reckless</t>
        </is>
      </c>
      <c r="E3133" s="76" t="inlineStr">
        <is>
          <t>Solid Rock / Solid Rock / Reckless</t>
        </is>
      </c>
      <c r="F3133" s="76" t="inlineStr">
        <is>
          <t>Differs from upstream baseline</t>
        </is>
      </c>
      <c r="G3133" s="76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6" t="inlineStr">
        <is>
          <t>2026-10-01</t>
        </is>
      </c>
      <c r="B3135" s="76" t="inlineStr">
        <is>
          <t>Evolutions</t>
        </is>
      </c>
      <c r="C3135" s="76" t="inlineStr">
        <is>
          <t>Riolu evolution</t>
        </is>
      </c>
      <c r="D3135" s="76" t="inlineStr">
        <is>
          <t>Friendship Day -&gt; Lucario</t>
        </is>
      </c>
      <c r="E3135" s="76" t="inlineStr">
        <is>
          <t>Lv 36 -&gt; Lucario</t>
        </is>
      </c>
      <c r="F3135" s="76" t="inlineStr">
        <is>
          <t>Differs from upstream baseline</t>
        </is>
      </c>
      <c r="G3135" s="76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6" t="inlineStr">
        <is>
          <t>2026-10-01</t>
        </is>
      </c>
      <c r="B3137" s="76" t="inlineStr">
        <is>
          <t>Evolutions</t>
        </is>
      </c>
      <c r="C3137" s="76" t="inlineStr">
        <is>
          <t>Roselia evolution</t>
        </is>
      </c>
      <c r="D3137" s="76" t="inlineStr">
        <is>
          <t>Item (Shiny Stone) -&gt; Roserade</t>
        </is>
      </c>
      <c r="E3137" s="76" t="inlineStr">
        <is>
          <t>Item (Leaf Stone) -&gt; Roserade</t>
        </is>
      </c>
      <c r="F3137" s="76" t="inlineStr">
        <is>
          <t>Differs from upstream baseline</t>
        </is>
      </c>
      <c r="G3137" s="76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6" t="inlineStr">
        <is>
          <t>2026-10-01</t>
        </is>
      </c>
      <c r="B3139" s="76" t="inlineStr">
        <is>
          <t>Abilities</t>
        </is>
      </c>
      <c r="C3139" s="76" t="inlineStr">
        <is>
          <t>Roserade abilities</t>
        </is>
      </c>
      <c r="D3139" s="76" t="inlineStr">
        <is>
          <t>Natural Cure / Poison Point / Technician</t>
        </is>
      </c>
      <c r="E3139" s="76" t="inlineStr">
        <is>
          <t>Natural Cure / Natural Cure / Technician</t>
        </is>
      </c>
      <c r="F3139" s="76" t="inlineStr">
        <is>
          <t>Differs from upstream baseline</t>
        </is>
      </c>
      <c r="G3139" s="76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6" t="inlineStr">
        <is>
          <t>2026-10-01</t>
        </is>
      </c>
      <c r="B3141" s="76" t="inlineStr">
        <is>
          <t>Pokemon Stats</t>
        </is>
      </c>
      <c r="C3141" s="76" t="inlineStr">
        <is>
          <t>Rotom baseDefense</t>
        </is>
      </c>
      <c r="D3141" s="76" t="n">
        <v>77</v>
      </c>
      <c r="E3141" s="76" t="n">
        <v>107</v>
      </c>
      <c r="F3141" s="76" t="inlineStr">
        <is>
          <t>Differs from upstream baseline</t>
        </is>
      </c>
      <c r="G3141" s="76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6" t="inlineStr">
        <is>
          <t>2026-10-01</t>
        </is>
      </c>
      <c r="B3143" s="76" t="inlineStr">
        <is>
          <t>Pokemon Stats</t>
        </is>
      </c>
      <c r="C3143" s="76" t="inlineStr">
        <is>
          <t>Rotom baseSpDefense</t>
        </is>
      </c>
      <c r="D3143" s="76" t="n">
        <v>77</v>
      </c>
      <c r="E3143" s="76" t="n">
        <v>107</v>
      </c>
      <c r="F3143" s="76" t="inlineStr">
        <is>
          <t>Differs from upstream baseline</t>
        </is>
      </c>
      <c r="G3143" s="76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6" t="inlineStr">
        <is>
          <t>2026-10-01</t>
        </is>
      </c>
      <c r="B3145" s="76" t="inlineStr">
        <is>
          <t>Pokemon Stats</t>
        </is>
      </c>
      <c r="C3145" s="76" t="inlineStr">
        <is>
          <t>Rufflet baseAttack</t>
        </is>
      </c>
      <c r="D3145" s="76" t="n">
        <v>83</v>
      </c>
      <c r="E3145" s="76" t="n">
        <v>87</v>
      </c>
      <c r="F3145" s="76" t="inlineStr">
        <is>
          <t>Differs from upstream baseline</t>
        </is>
      </c>
      <c r="G3145" s="76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6" t="inlineStr">
        <is>
          <t>2026-10-01</t>
        </is>
      </c>
      <c r="B3147" s="76" t="inlineStr">
        <is>
          <t>Pokemon Stats</t>
        </is>
      </c>
      <c r="C3147" s="76" t="inlineStr">
        <is>
          <t>Rufflet baseSpeed</t>
        </is>
      </c>
      <c r="D3147" s="76" t="n">
        <v>60</v>
      </c>
      <c r="E3147" s="76" t="n">
        <v>63</v>
      </c>
      <c r="F3147" s="76" t="inlineStr">
        <is>
          <t>Differs from upstream baseline</t>
        </is>
      </c>
      <c r="G3147" s="76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6" t="inlineStr">
        <is>
          <t>2026-10-01</t>
        </is>
      </c>
      <c r="B3149" s="76" t="inlineStr">
        <is>
          <t>Pokemon Stats</t>
        </is>
      </c>
      <c r="C3149" s="76" t="inlineStr">
        <is>
          <t>Runerigus baseAttack</t>
        </is>
      </c>
      <c r="D3149" s="76" t="n">
        <v>95</v>
      </c>
      <c r="E3149" s="76" t="n">
        <v>115</v>
      </c>
      <c r="F3149" s="76" t="inlineStr">
        <is>
          <t>Differs from upstream baseline</t>
        </is>
      </c>
      <c r="G3149" s="76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6" t="inlineStr">
        <is>
          <t>2026-10-01</t>
        </is>
      </c>
      <c r="B3151" s="76" t="inlineStr">
        <is>
          <t>Pokemon Stats</t>
        </is>
      </c>
      <c r="C3151" s="76" t="inlineStr">
        <is>
          <t>Sableye baseHP</t>
        </is>
      </c>
      <c r="D3151" s="76" t="n">
        <v>50</v>
      </c>
      <c r="E3151" s="76" t="n">
        <v>60</v>
      </c>
      <c r="F3151" s="76" t="inlineStr">
        <is>
          <t>Differs from upstream baseline</t>
        </is>
      </c>
      <c r="G3151" s="76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6" t="inlineStr">
        <is>
          <t>2026-10-01</t>
        </is>
      </c>
      <c r="B3153" s="76" t="inlineStr">
        <is>
          <t>Pokemon Stats</t>
        </is>
      </c>
      <c r="C3153" s="76" t="inlineStr">
        <is>
          <t>Sableye baseDefense</t>
        </is>
      </c>
      <c r="D3153" s="76" t="n">
        <v>75</v>
      </c>
      <c r="E3153" s="76" t="n">
        <v>105</v>
      </c>
      <c r="F3153" s="76" t="inlineStr">
        <is>
          <t>Differs from upstream baseline</t>
        </is>
      </c>
      <c r="G3153" s="76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6" t="inlineStr">
        <is>
          <t>2026-10-01</t>
        </is>
      </c>
      <c r="B3155" s="76" t="inlineStr">
        <is>
          <t>Abilities</t>
        </is>
      </c>
      <c r="C3155" s="76" t="inlineStr">
        <is>
          <t>Sableye abilities</t>
        </is>
      </c>
      <c r="D3155" s="76" t="inlineStr">
        <is>
          <t>Keen Eye / Stall / Prankster</t>
        </is>
      </c>
      <c r="E3155" s="76" t="inlineStr">
        <is>
          <t>Clear Body / Clear Body / Prankster</t>
        </is>
      </c>
      <c r="F3155" s="76" t="inlineStr">
        <is>
          <t>Differs from upstream baseline</t>
        </is>
      </c>
      <c r="G3155" s="76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6" t="inlineStr">
        <is>
          <t>2026-10-01</t>
        </is>
      </c>
      <c r="B3157" s="76" t="inlineStr">
        <is>
          <t>Pokemon Stats</t>
        </is>
      </c>
      <c r="C3157" s="76" t="inlineStr">
        <is>
          <t>Sableye baseDefense</t>
        </is>
      </c>
      <c r="D3157" s="76" t="n">
        <v>125</v>
      </c>
      <c r="E3157" s="76" t="n">
        <v>155</v>
      </c>
      <c r="F3157" s="76" t="inlineStr">
        <is>
          <t>Differs from upstream baseline</t>
        </is>
      </c>
      <c r="G3157" s="76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6" t="inlineStr">
        <is>
          <t>2026-10-01</t>
        </is>
      </c>
      <c r="B3159" s="76" t="inlineStr">
        <is>
          <t>Pokemon Stats</t>
        </is>
      </c>
      <c r="C3159" s="76" t="inlineStr">
        <is>
          <t>Salamence baseSpDefense</t>
        </is>
      </c>
      <c r="D3159" s="76" t="n">
        <v>80</v>
      </c>
      <c r="E3159" s="76" t="n">
        <v>85</v>
      </c>
      <c r="F3159" s="76" t="inlineStr">
        <is>
          <t>Differs from upstream baseline</t>
        </is>
      </c>
      <c r="G3159" s="76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6" t="inlineStr">
        <is>
          <t>2026-10-01</t>
        </is>
      </c>
      <c r="B3161" s="76" t="inlineStr">
        <is>
          <t>Pokemon Stats</t>
        </is>
      </c>
      <c r="C3161" s="76" t="inlineStr">
        <is>
          <t>Salamence baseSpDefense</t>
        </is>
      </c>
      <c r="D3161" s="76" t="n">
        <v>90</v>
      </c>
      <c r="E3161" s="76" t="n">
        <v>95</v>
      </c>
      <c r="F3161" s="76" t="inlineStr">
        <is>
          <t>Differs from upstream baseline</t>
        </is>
      </c>
      <c r="G3161" s="76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6" t="inlineStr">
        <is>
          <t>2026-10-01</t>
        </is>
      </c>
      <c r="B3163" s="76" t="inlineStr">
        <is>
          <t>Abilities</t>
        </is>
      </c>
      <c r="C3163" s="76" t="inlineStr">
        <is>
          <t>Samurott abilities</t>
        </is>
      </c>
      <c r="D3163" s="76" t="inlineStr">
        <is>
          <t>Torrent / Shell Armor</t>
        </is>
      </c>
      <c r="E3163" s="76" t="inlineStr">
        <is>
          <t>Torrent / Shell Armor / Sharpness</t>
        </is>
      </c>
      <c r="F3163" s="76" t="inlineStr">
        <is>
          <t>Differs from upstream baseline</t>
        </is>
      </c>
      <c r="G3163" s="76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6" t="inlineStr">
        <is>
          <t>2026-10-01</t>
        </is>
      </c>
      <c r="B3165" s="76" t="inlineStr">
        <is>
          <t>Pokemon Stats</t>
        </is>
      </c>
      <c r="C3165" s="76" t="inlineStr">
        <is>
          <t>Sandile baseAttack</t>
        </is>
      </c>
      <c r="D3165" s="76" t="n">
        <v>72</v>
      </c>
      <c r="E3165" s="76" t="n">
        <v>75</v>
      </c>
      <c r="F3165" s="76" t="inlineStr">
        <is>
          <t>Differs from upstream baseline</t>
        </is>
      </c>
      <c r="G3165" s="76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6" t="inlineStr">
        <is>
          <t>2026-10-01</t>
        </is>
      </c>
      <c r="B3167" s="76" t="inlineStr">
        <is>
          <t>Pokemon Stats</t>
        </is>
      </c>
      <c r="C3167" s="76" t="inlineStr">
        <is>
          <t>Sandile baseSpeed</t>
        </is>
      </c>
      <c r="D3167" s="76" t="n">
        <v>65</v>
      </c>
      <c r="E3167" s="76" t="n">
        <v>67</v>
      </c>
      <c r="F3167" s="76" t="inlineStr">
        <is>
          <t>Differs from upstream baseline</t>
        </is>
      </c>
      <c r="G3167" s="76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6" t="inlineStr">
        <is>
          <t>2026-10-01</t>
        </is>
      </c>
      <c r="B3169" s="76" t="inlineStr">
        <is>
          <t>Pokemon Stats</t>
        </is>
      </c>
      <c r="C3169" s="76" t="inlineStr">
        <is>
          <t>Sandshrew baseSpAttack</t>
        </is>
      </c>
      <c r="D3169" s="76" t="n">
        <v>20</v>
      </c>
      <c r="E3169" s="76" t="n">
        <v>10</v>
      </c>
      <c r="F3169" s="76" t="inlineStr">
        <is>
          <t>Differs from upstream baseline</t>
        </is>
      </c>
      <c r="G3169" s="76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6" t="inlineStr">
        <is>
          <t>2026-10-01</t>
        </is>
      </c>
      <c r="B3171" s="76" t="inlineStr">
        <is>
          <t>Abilities</t>
        </is>
      </c>
      <c r="C3171" s="76" t="inlineStr">
        <is>
          <t>Sandshrew abilities</t>
        </is>
      </c>
      <c r="D3171" s="76" t="inlineStr">
        <is>
          <t>Sand Veil / Sand Rush</t>
        </is>
      </c>
      <c r="E3171" s="76" t="inlineStr">
        <is>
          <t>Rough Skin / Rough Skin / Sand Rush</t>
        </is>
      </c>
      <c r="F3171" s="76" t="inlineStr">
        <is>
          <t>Differs from upstream baseline</t>
        </is>
      </c>
      <c r="G3171" s="76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6" t="inlineStr">
        <is>
          <t>2026-10-01</t>
        </is>
      </c>
      <c r="B3173" s="76" t="inlineStr">
        <is>
          <t>Pokemon Stats</t>
        </is>
      </c>
      <c r="C3173" s="76" t="inlineStr">
        <is>
          <t>Sandshrew baseSpDefense</t>
        </is>
      </c>
      <c r="D3173" s="76" t="n">
        <v>35</v>
      </c>
      <c r="E3173" s="76" t="n">
        <v>37</v>
      </c>
      <c r="F3173" s="76" t="inlineStr">
        <is>
          <t>Differs from upstream baseline</t>
        </is>
      </c>
      <c r="G3173" s="76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6" t="inlineStr">
        <is>
          <t>2026-10-01</t>
        </is>
      </c>
      <c r="B3175" s="76" t="inlineStr">
        <is>
          <t>Pokemon Stats</t>
        </is>
      </c>
      <c r="C3175" s="76" t="inlineStr">
        <is>
          <t>Sandslash baseDefense</t>
        </is>
      </c>
      <c r="D3175" s="76" t="n">
        <v>110</v>
      </c>
      <c r="E3175" s="76" t="n">
        <v>120</v>
      </c>
      <c r="F3175" s="76" t="inlineStr">
        <is>
          <t>Differs from upstream baseline</t>
        </is>
      </c>
      <c r="G3175" s="76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6" t="inlineStr">
        <is>
          <t>2026-10-01</t>
        </is>
      </c>
      <c r="B3177" s="76" t="inlineStr">
        <is>
          <t>Pokemon Stats</t>
        </is>
      </c>
      <c r="C3177" s="76" t="inlineStr">
        <is>
          <t>Sandslash baseSpDefense</t>
        </is>
      </c>
      <c r="D3177" s="76" t="n">
        <v>55</v>
      </c>
      <c r="E3177" s="76" t="n">
        <v>65</v>
      </c>
      <c r="F3177" s="76" t="inlineStr">
        <is>
          <t>Differs from upstream baseline</t>
        </is>
      </c>
      <c r="G3177" s="76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6" t="inlineStr">
        <is>
          <t>2026-10-01</t>
        </is>
      </c>
      <c r="B3179" s="76" t="inlineStr">
        <is>
          <t>Pokemon Stats</t>
        </is>
      </c>
      <c r="C3179" s="76" t="inlineStr">
        <is>
          <t>Sandslash baseSpAttack</t>
        </is>
      </c>
      <c r="D3179" s="76" t="n">
        <v>25</v>
      </c>
      <c r="E3179" s="76" t="n">
        <v>32</v>
      </c>
      <c r="F3179" s="76" t="inlineStr">
        <is>
          <t>Differs from upstream baseline</t>
        </is>
      </c>
      <c r="G3179" s="76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6" t="inlineStr">
        <is>
          <t>2026-10-01</t>
        </is>
      </c>
      <c r="B3181" s="76" t="inlineStr">
        <is>
          <t>Pokemon Stats</t>
        </is>
      </c>
      <c r="C3181" s="76" t="inlineStr">
        <is>
          <t>Sandslash baseSpeed</t>
        </is>
      </c>
      <c r="D3181" s="76" t="n">
        <v>65</v>
      </c>
      <c r="E3181" s="76" t="n">
        <v>68</v>
      </c>
      <c r="F3181" s="76" t="inlineStr">
        <is>
          <t>Differs from upstream baseline</t>
        </is>
      </c>
      <c r="G3181" s="76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6" t="inlineStr">
        <is>
          <t>2026-10-01</t>
        </is>
      </c>
      <c r="B3183" s="76" t="inlineStr">
        <is>
          <t>Pokemon Stats</t>
        </is>
      </c>
      <c r="C3183" s="76" t="inlineStr">
        <is>
          <t>Sawk baseDefense</t>
        </is>
      </c>
      <c r="D3183" s="76" t="n">
        <v>75</v>
      </c>
      <c r="E3183" s="76" t="n">
        <v>84</v>
      </c>
      <c r="F3183" s="76" t="inlineStr">
        <is>
          <t>Differs from upstream baseline</t>
        </is>
      </c>
      <c r="G3183" s="76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6" t="inlineStr">
        <is>
          <t>2026-10-01</t>
        </is>
      </c>
      <c r="B3185" s="76" t="inlineStr">
        <is>
          <t>Pokemon Stats</t>
        </is>
      </c>
      <c r="C3185" s="76" t="inlineStr">
        <is>
          <t>Sawk baseSpeed</t>
        </is>
      </c>
      <c r="D3185" s="76" t="n">
        <v>85</v>
      </c>
      <c r="E3185" s="76" t="n">
        <v>105</v>
      </c>
      <c r="F3185" s="76" t="inlineStr">
        <is>
          <t>Differs from upstream baseline</t>
        </is>
      </c>
      <c r="G3185" s="76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6" t="inlineStr">
        <is>
          <t>2026-10-01</t>
        </is>
      </c>
      <c r="B3187" s="76" t="inlineStr">
        <is>
          <t>Pokemon Stats</t>
        </is>
      </c>
      <c r="C3187" s="76" t="inlineStr">
        <is>
          <t>Sawsbuck baseSpAttack</t>
        </is>
      </c>
      <c r="D3187" s="76" t="n">
        <v>60</v>
      </c>
      <c r="E3187" s="76" t="n">
        <v>30</v>
      </c>
      <c r="F3187" s="76" t="inlineStr">
        <is>
          <t>Differs from upstream baseline</t>
        </is>
      </c>
      <c r="G3187" s="76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6" t="inlineStr">
        <is>
          <t>2026-10-01</t>
        </is>
      </c>
      <c r="B3189" s="76" t="inlineStr">
        <is>
          <t>Pokemon Stats</t>
        </is>
      </c>
      <c r="C3189" s="76" t="inlineStr">
        <is>
          <t>Sawsbuck baseAttack</t>
        </is>
      </c>
      <c r="D3189" s="76" t="n">
        <v>100</v>
      </c>
      <c r="E3189" s="76" t="n">
        <v>126</v>
      </c>
      <c r="F3189" s="76" t="inlineStr">
        <is>
          <t>Differs from upstream baseline</t>
        </is>
      </c>
      <c r="G3189" s="76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6" t="inlineStr">
        <is>
          <t>2026-10-01</t>
        </is>
      </c>
      <c r="B3191" s="76" t="inlineStr">
        <is>
          <t>Pokemon Stats</t>
        </is>
      </c>
      <c r="C3191" s="76" t="inlineStr">
        <is>
          <t>Sceptile baseAttack</t>
        </is>
      </c>
      <c r="D3191" s="76" t="n">
        <v>85</v>
      </c>
      <c r="E3191" s="76" t="n">
        <v>100</v>
      </c>
      <c r="F3191" s="76" t="inlineStr">
        <is>
          <t>Differs from upstream baseline</t>
        </is>
      </c>
      <c r="G3191" s="76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6" t="inlineStr">
        <is>
          <t>2026-10-01</t>
        </is>
      </c>
      <c r="B3193" s="76" t="inlineStr">
        <is>
          <t>Pokemon Stats</t>
        </is>
      </c>
      <c r="C3193" s="76" t="inlineStr">
        <is>
          <t>Sceptile baseSpDefense</t>
        </is>
      </c>
      <c r="D3193" s="76" t="n">
        <v>85</v>
      </c>
      <c r="E3193" s="76" t="n">
        <v>80</v>
      </c>
      <c r="F3193" s="76" t="inlineStr">
        <is>
          <t>Differs from upstream baseline</t>
        </is>
      </c>
      <c r="G3193" s="76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6" t="inlineStr">
        <is>
          <t>2026-10-01</t>
        </is>
      </c>
      <c r="B3195" s="76" t="inlineStr">
        <is>
          <t>Pokemon Stats</t>
        </is>
      </c>
      <c r="C3195" s="76" t="inlineStr">
        <is>
          <t>Sceptile baseSpAttack</t>
        </is>
      </c>
      <c r="D3195" s="76" t="n">
        <v>145</v>
      </c>
      <c r="E3195" s="76" t="n">
        <v>140</v>
      </c>
      <c r="F3195" s="76" t="inlineStr">
        <is>
          <t>Differs from upstream baseline</t>
        </is>
      </c>
      <c r="G3195" s="76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6" t="inlineStr">
        <is>
          <t>2026-10-01</t>
        </is>
      </c>
      <c r="B3197" s="76" t="inlineStr">
        <is>
          <t>Pokemon Stats</t>
        </is>
      </c>
      <c r="C3197" s="76" t="inlineStr">
        <is>
          <t>Scolipede baseHP</t>
        </is>
      </c>
      <c r="D3197" s="76" t="n">
        <v>60</v>
      </c>
      <c r="E3197" s="76" t="n">
        <v>75</v>
      </c>
      <c r="F3197" s="76" t="inlineStr">
        <is>
          <t>Differs from upstream baseline</t>
        </is>
      </c>
      <c r="G3197" s="76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6" t="inlineStr">
        <is>
          <t>2026-10-01</t>
        </is>
      </c>
      <c r="B3199" s="76" t="inlineStr">
        <is>
          <t>Pokemon Stats</t>
        </is>
      </c>
      <c r="C3199" s="76" t="inlineStr">
        <is>
          <t>Scolipede baseSpAttack</t>
        </is>
      </c>
      <c r="D3199" s="76" t="n">
        <v>55</v>
      </c>
      <c r="E3199" s="76" t="n">
        <v>30</v>
      </c>
      <c r="F3199" s="76" t="inlineStr">
        <is>
          <t>Differs from upstream baseline</t>
        </is>
      </c>
      <c r="G3199" s="76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6" t="inlineStr">
        <is>
          <t>2026-10-01</t>
        </is>
      </c>
      <c r="B3201" s="76" t="inlineStr">
        <is>
          <t>Pokemon Stats</t>
        </is>
      </c>
      <c r="C3201" s="76" t="inlineStr">
        <is>
          <t>Scolipede baseSpeed</t>
        </is>
      </c>
      <c r="D3201" s="76" t="n">
        <v>112</v>
      </c>
      <c r="E3201" s="76" t="n">
        <v>126</v>
      </c>
      <c r="F3201" s="76" t="inlineStr">
        <is>
          <t>Differs from upstream baseline</t>
        </is>
      </c>
      <c r="G3201" s="76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6" t="inlineStr">
        <is>
          <t>2026-10-01</t>
        </is>
      </c>
      <c r="B3203" s="76" t="inlineStr">
        <is>
          <t>Pokemon Stats</t>
        </is>
      </c>
      <c r="C3203" s="76" t="inlineStr">
        <is>
          <t>Scrafty baseSpAttack</t>
        </is>
      </c>
      <c r="D3203" s="76" t="n">
        <v>45</v>
      </c>
      <c r="E3203" s="76" t="n">
        <v>30</v>
      </c>
      <c r="F3203" s="76" t="inlineStr">
        <is>
          <t>Differs from upstream baseline</t>
        </is>
      </c>
      <c r="G3203" s="76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6" t="inlineStr">
        <is>
          <t>2026-10-01</t>
        </is>
      </c>
      <c r="B3205" s="76" t="inlineStr">
        <is>
          <t>Pokemon Stats</t>
        </is>
      </c>
      <c r="C3205" s="76" t="inlineStr">
        <is>
          <t>Scraggy baseAttack</t>
        </is>
      </c>
      <c r="D3205" s="76" t="n">
        <v>75</v>
      </c>
      <c r="E3205" s="76" t="n">
        <v>78</v>
      </c>
      <c r="F3205" s="76" t="inlineStr">
        <is>
          <t>Differs from upstream baseline</t>
        </is>
      </c>
      <c r="G3205" s="76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6" t="inlineStr">
        <is>
          <t>2026-10-01</t>
        </is>
      </c>
      <c r="B3207" s="76" t="inlineStr">
        <is>
          <t>Pokemon Stats</t>
        </is>
      </c>
      <c r="C3207" s="76" t="inlineStr">
        <is>
          <t>Scraggy baseSpeed</t>
        </is>
      </c>
      <c r="D3207" s="76" t="n">
        <v>48</v>
      </c>
      <c r="E3207" s="76" t="n">
        <v>50</v>
      </c>
      <c r="F3207" s="76" t="inlineStr">
        <is>
          <t>Differs from upstream baseline</t>
        </is>
      </c>
      <c r="G3207" s="76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6" t="inlineStr">
        <is>
          <t>2026-10-01</t>
        </is>
      </c>
      <c r="B3209" s="76" t="inlineStr">
        <is>
          <t>Abilities</t>
        </is>
      </c>
      <c r="C3209" s="76" t="inlineStr">
        <is>
          <t>Seadra abilities</t>
        </is>
      </c>
      <c r="D3209" s="76" t="inlineStr">
        <is>
          <t>Poison Point / Sniper / Damp</t>
        </is>
      </c>
      <c r="E3209" s="76" t="inlineStr">
        <is>
          <t>Sniper / Sniper / Damp</t>
        </is>
      </c>
      <c r="F3209" s="76" t="inlineStr">
        <is>
          <t>Differs from upstream baseline</t>
        </is>
      </c>
      <c r="G3209" s="76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6" t="inlineStr">
        <is>
          <t>2026-10-01</t>
        </is>
      </c>
      <c r="B3211" s="76" t="inlineStr">
        <is>
          <t>Pokemon Stats</t>
        </is>
      </c>
      <c r="C3211" s="76" t="inlineStr">
        <is>
          <t>Sealeo baseDefense</t>
        </is>
      </c>
      <c r="D3211" s="76" t="n">
        <v>70</v>
      </c>
      <c r="E3211" s="76" t="n">
        <v>90</v>
      </c>
      <c r="F3211" s="76" t="inlineStr">
        <is>
          <t>Differs from upstream baseline</t>
        </is>
      </c>
      <c r="G3211" s="76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6" t="inlineStr">
        <is>
          <t>2026-10-01</t>
        </is>
      </c>
      <c r="B3213" s="76" t="inlineStr">
        <is>
          <t>Abilities</t>
        </is>
      </c>
      <c r="C3213" s="76" t="inlineStr">
        <is>
          <t>Sealeo abilities</t>
        </is>
      </c>
      <c r="D3213" s="76" t="inlineStr">
        <is>
          <t>Thick Fat / Ice Body / Oblivious</t>
        </is>
      </c>
      <c r="E3213" s="76" t="inlineStr">
        <is>
          <t>Ice Body / Ice Body / Oblivious</t>
        </is>
      </c>
      <c r="F3213" s="76" t="inlineStr">
        <is>
          <t>Differs from upstream baseline</t>
        </is>
      </c>
      <c r="G3213" s="76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6" t="inlineStr">
        <is>
          <t>2026-10-01</t>
        </is>
      </c>
      <c r="B3215" s="76" t="inlineStr">
        <is>
          <t>Abilities</t>
        </is>
      </c>
      <c r="C3215" s="76" t="inlineStr">
        <is>
          <t>Seel abilities</t>
        </is>
      </c>
      <c r="D3215" s="76" t="inlineStr">
        <is>
          <t>Thick Fat / Hydration / Ice Body</t>
        </is>
      </c>
      <c r="E3215" s="76" t="inlineStr">
        <is>
          <t>Thick Fat / Thick Fat / Ice Body</t>
        </is>
      </c>
      <c r="F3215" s="76" t="inlineStr">
        <is>
          <t>Differs from upstream baseline</t>
        </is>
      </c>
      <c r="G3215" s="76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6" t="inlineStr">
        <is>
          <t>2026-10-01</t>
        </is>
      </c>
      <c r="B3217" s="76" t="inlineStr">
        <is>
          <t>Pokemon Stats</t>
        </is>
      </c>
      <c r="C3217" s="76" t="inlineStr">
        <is>
          <t>Seismitoad baseSpAttack</t>
        </is>
      </c>
      <c r="D3217" s="76" t="n">
        <v>85</v>
      </c>
      <c r="E3217" s="76" t="n">
        <v>96</v>
      </c>
      <c r="F3217" s="76" t="inlineStr">
        <is>
          <t>Differs from upstream baseline</t>
        </is>
      </c>
      <c r="G3217" s="76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6" t="inlineStr">
        <is>
          <t>2026-10-01</t>
        </is>
      </c>
      <c r="B3219" s="76" t="inlineStr">
        <is>
          <t>Pokemon Stats</t>
        </is>
      </c>
      <c r="C3219" s="76" t="inlineStr">
        <is>
          <t>Seismitoad baseSpeed</t>
        </is>
      </c>
      <c r="D3219" s="76" t="n">
        <v>74</v>
      </c>
      <c r="E3219" s="76" t="n">
        <v>76</v>
      </c>
      <c r="F3219" s="76" t="inlineStr">
        <is>
          <t>Differs from upstream baseline</t>
        </is>
      </c>
      <c r="G3219" s="76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6" t="inlineStr">
        <is>
          <t>2026-10-01</t>
        </is>
      </c>
      <c r="B3221" s="76" t="inlineStr">
        <is>
          <t>Abilities</t>
        </is>
      </c>
      <c r="C3221" s="76" t="inlineStr">
        <is>
          <t>Sentret abilities</t>
        </is>
      </c>
      <c r="D3221" s="76" t="inlineStr">
        <is>
          <t>Run Away / Keen Eye / Frisk</t>
        </is>
      </c>
      <c r="E3221" s="76" t="inlineStr">
        <is>
          <t>Adaptability / Adaptability / Frisk</t>
        </is>
      </c>
      <c r="F3221" s="76" t="inlineStr">
        <is>
          <t>Differs from upstream baseline</t>
        </is>
      </c>
      <c r="G3221" s="76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6" t="inlineStr">
        <is>
          <t>2026-10-01</t>
        </is>
      </c>
      <c r="B3223" s="76" t="inlineStr">
        <is>
          <t>Pokemon Stats</t>
        </is>
      </c>
      <c r="C3223" s="76" t="inlineStr">
        <is>
          <t>Seviper baseSpAttack</t>
        </is>
      </c>
      <c r="D3223" s="76" t="n">
        <v>100</v>
      </c>
      <c r="E3223" s="76" t="n">
        <v>60</v>
      </c>
      <c r="F3223" s="76" t="inlineStr">
        <is>
          <t>Differs from upstream baseline</t>
        </is>
      </c>
      <c r="G3223" s="76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6" t="inlineStr">
        <is>
          <t>2026-10-01</t>
        </is>
      </c>
      <c r="B3225" s="76" t="inlineStr">
        <is>
          <t>Abilities</t>
        </is>
      </c>
      <c r="C3225" s="76" t="inlineStr">
        <is>
          <t>Seviper abilities</t>
        </is>
      </c>
      <c r="D3225" s="76" t="inlineStr">
        <is>
          <t>Shed Skin / Infiltrator</t>
        </is>
      </c>
      <c r="E3225" s="76" t="inlineStr">
        <is>
          <t>Hyper Cutter / Shed Skin / Infiltrator</t>
        </is>
      </c>
      <c r="F3225" s="76" t="inlineStr">
        <is>
          <t>Differs from upstream baseline</t>
        </is>
      </c>
      <c r="G3225" s="76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6" t="inlineStr">
        <is>
          <t>2026-10-01</t>
        </is>
      </c>
      <c r="B3227" s="76" t="inlineStr">
        <is>
          <t>Pokemon Stats</t>
        </is>
      </c>
      <c r="C3227" s="76" t="inlineStr">
        <is>
          <t>Shedinja baseAttack</t>
        </is>
      </c>
      <c r="D3227" s="76" t="n">
        <v>90</v>
      </c>
      <c r="E3227" s="76" t="n">
        <v>100</v>
      </c>
      <c r="F3227" s="76" t="inlineStr">
        <is>
          <t>Differs from upstream baseline</t>
        </is>
      </c>
      <c r="G3227" s="76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6" t="inlineStr">
        <is>
          <t>2026-10-01</t>
        </is>
      </c>
      <c r="B3229" s="76" t="inlineStr">
        <is>
          <t>Pokemon Stats</t>
        </is>
      </c>
      <c r="C3229" s="76" t="inlineStr">
        <is>
          <t>Shedinja baseSpAttack</t>
        </is>
      </c>
      <c r="D3229" s="76" t="n">
        <v>30</v>
      </c>
      <c r="E3229" s="76" t="n">
        <v>100</v>
      </c>
      <c r="F3229" s="76" t="inlineStr">
        <is>
          <t>Differs from upstream baseline</t>
        </is>
      </c>
      <c r="G3229" s="76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6" t="inlineStr">
        <is>
          <t>2026-10-01</t>
        </is>
      </c>
      <c r="B3231" s="76" t="inlineStr">
        <is>
          <t>Pokemon Stats</t>
        </is>
      </c>
      <c r="C3231" s="76" t="inlineStr">
        <is>
          <t>Shedinja baseSpeed</t>
        </is>
      </c>
      <c r="D3231" s="76" t="n">
        <v>40</v>
      </c>
      <c r="E3231" s="76" t="n">
        <v>80</v>
      </c>
      <c r="F3231" s="76" t="inlineStr">
        <is>
          <t>Differs from upstream baseline</t>
        </is>
      </c>
      <c r="G3231" s="76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6" t="inlineStr">
        <is>
          <t>2026-10-01</t>
        </is>
      </c>
      <c r="B3233" s="76" t="inlineStr">
        <is>
          <t>Abilities</t>
        </is>
      </c>
      <c r="C3233" s="76" t="inlineStr">
        <is>
          <t>Shelgon abilities</t>
        </is>
      </c>
      <c r="D3233" s="76" t="inlineStr">
        <is>
          <t>Rock Head / Overcoat</t>
        </is>
      </c>
      <c r="E3233" s="76" t="inlineStr">
        <is>
          <t>Rock Head / Shell Armor / Overcoat</t>
        </is>
      </c>
      <c r="F3233" s="76" t="inlineStr">
        <is>
          <t>Differs from upstream baseline</t>
        </is>
      </c>
      <c r="G3233" s="76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6" t="inlineStr">
        <is>
          <t>2026-10-01</t>
        </is>
      </c>
      <c r="B3235" s="76" t="inlineStr">
        <is>
          <t>Abilities</t>
        </is>
      </c>
      <c r="C3235" s="76" t="inlineStr">
        <is>
          <t>Shellder abilities</t>
        </is>
      </c>
      <c r="D3235" s="76" t="inlineStr">
        <is>
          <t>Shell Armor / Skill Link / Overcoat</t>
        </is>
      </c>
      <c r="E3235" s="76" t="inlineStr">
        <is>
          <t>Filter / Shell Armor / Overcoat</t>
        </is>
      </c>
      <c r="F3235" s="76" t="inlineStr">
        <is>
          <t>Differs from upstream baseline</t>
        </is>
      </c>
      <c r="G3235" s="76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6" t="inlineStr">
        <is>
          <t>2026-10-01</t>
        </is>
      </c>
      <c r="B3237" s="76" t="inlineStr">
        <is>
          <t>Pokemon Stats</t>
        </is>
      </c>
      <c r="C3237" s="76" t="inlineStr">
        <is>
          <t>Shelmet baseHP</t>
        </is>
      </c>
      <c r="D3237" s="76" t="n">
        <v>50</v>
      </c>
      <c r="E3237" s="76" t="n">
        <v>63</v>
      </c>
      <c r="F3237" s="76" t="inlineStr">
        <is>
          <t>Differs from upstream baseline</t>
        </is>
      </c>
      <c r="G3237" s="76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6" t="inlineStr">
        <is>
          <t>2026-10-01</t>
        </is>
      </c>
      <c r="B3239" s="76" t="inlineStr">
        <is>
          <t>Pokemon Stats</t>
        </is>
      </c>
      <c r="C3239" s="76" t="inlineStr">
        <is>
          <t>Shelmet baseSpAttack</t>
        </is>
      </c>
      <c r="D3239" s="76" t="n">
        <v>40</v>
      </c>
      <c r="E3239" s="76" t="n">
        <v>44</v>
      </c>
      <c r="F3239" s="76" t="inlineStr">
        <is>
          <t>Differs from upstream baseline</t>
        </is>
      </c>
      <c r="G3239" s="76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6" t="inlineStr">
        <is>
          <t>2026-10-01</t>
        </is>
      </c>
      <c r="B3241" s="76" t="inlineStr">
        <is>
          <t>Evolutions</t>
        </is>
      </c>
      <c r="C3241" s="76" t="inlineStr">
        <is>
          <t>Shelmet evolution</t>
        </is>
      </c>
      <c r="D3241" s="76" t="inlineStr">
        <is>
          <t>Trade Specific Mon SPECIES_KARRABLAST -&gt; Accelgor</t>
        </is>
      </c>
      <c r="E3241" s="76" t="inlineStr">
        <is>
          <t>Lv 34 -&gt; Accelgor</t>
        </is>
      </c>
      <c r="F3241" s="76" t="inlineStr">
        <is>
          <t>Differs from upstream baseline</t>
        </is>
      </c>
      <c r="G3241" s="76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6" t="inlineStr">
        <is>
          <t>2026-10-01</t>
        </is>
      </c>
      <c r="B3243" s="76" t="inlineStr">
        <is>
          <t>Pokemon Stats</t>
        </is>
      </c>
      <c r="C3243" s="76" t="inlineStr">
        <is>
          <t>Shieldon baseAttack</t>
        </is>
      </c>
      <c r="D3243" s="76" t="n">
        <v>42</v>
      </c>
      <c r="E3243" s="76" t="n">
        <v>82</v>
      </c>
      <c r="F3243" s="76" t="inlineStr">
        <is>
          <t>Differs from upstream baseline</t>
        </is>
      </c>
      <c r="G3243" s="76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6" t="inlineStr">
        <is>
          <t>2026-10-01</t>
        </is>
      </c>
      <c r="B3245" s="76" t="inlineStr">
        <is>
          <t>Abilities</t>
        </is>
      </c>
      <c r="C3245" s="76" t="inlineStr">
        <is>
          <t>Shieldon abilities</t>
        </is>
      </c>
      <c r="D3245" s="76" t="inlineStr">
        <is>
          <t>Sturdy / Soundproof</t>
        </is>
      </c>
      <c r="E3245" s="76" t="inlineStr">
        <is>
          <t>Solid Rock / Battle Armor / Soundproof</t>
        </is>
      </c>
      <c r="F3245" s="76" t="inlineStr">
        <is>
          <t>Differs from upstream baseline</t>
        </is>
      </c>
      <c r="G3245" s="76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6" t="inlineStr">
        <is>
          <t>2026-10-01</t>
        </is>
      </c>
      <c r="B3247" s="76" t="inlineStr">
        <is>
          <t>Abilities</t>
        </is>
      </c>
      <c r="C3247" s="76" t="inlineStr">
        <is>
          <t>Shinx abilities</t>
        </is>
      </c>
      <c r="D3247" s="76" t="inlineStr">
        <is>
          <t>Rivalry / Intimidate / Guts</t>
        </is>
      </c>
      <c r="E3247" s="76" t="inlineStr">
        <is>
          <t>Rivalry / Rivalry / Guts</t>
        </is>
      </c>
      <c r="F3247" s="76" t="inlineStr">
        <is>
          <t>Differs from upstream baseline</t>
        </is>
      </c>
      <c r="G3247" s="76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6" t="inlineStr">
        <is>
          <t>2026-10-01</t>
        </is>
      </c>
      <c r="B3249" s="76" t="inlineStr">
        <is>
          <t>Pokemon Stats</t>
        </is>
      </c>
      <c r="C3249" s="76" t="inlineStr">
        <is>
          <t>Shuckle baseHP</t>
        </is>
      </c>
      <c r="D3249" s="76" t="n">
        <v>20</v>
      </c>
      <c r="E3249" s="76" t="n">
        <v>50</v>
      </c>
      <c r="F3249" s="76" t="inlineStr">
        <is>
          <t>Differs from upstream baseline</t>
        </is>
      </c>
      <c r="G3249" s="76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6" t="inlineStr">
        <is>
          <t>2026-10-01</t>
        </is>
      </c>
      <c r="B3251" s="76" t="inlineStr">
        <is>
          <t>Pokemon Stats</t>
        </is>
      </c>
      <c r="C3251" s="76" t="inlineStr">
        <is>
          <t>Shuppet baseAttack</t>
        </is>
      </c>
      <c r="D3251" s="76" t="n">
        <v>75</v>
      </c>
      <c r="E3251" s="76" t="n">
        <v>85</v>
      </c>
      <c r="F3251" s="76" t="inlineStr">
        <is>
          <t>Differs from upstream baseline</t>
        </is>
      </c>
      <c r="G3251" s="76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6" t="inlineStr">
        <is>
          <t>2026-10-01</t>
        </is>
      </c>
      <c r="B3253" s="76" t="inlineStr">
        <is>
          <t>Abilities</t>
        </is>
      </c>
      <c r="C3253" s="76" t="inlineStr">
        <is>
          <t>Shuppet abilities</t>
        </is>
      </c>
      <c r="D3253" s="76" t="inlineStr">
        <is>
          <t>Insomnia / Frisk / Cursed Body</t>
        </is>
      </c>
      <c r="E3253" s="76" t="inlineStr">
        <is>
          <t>Clear Body / Insomnia / Cursed Body</t>
        </is>
      </c>
      <c r="F3253" s="76" t="inlineStr">
        <is>
          <t>Differs from upstream baseline</t>
        </is>
      </c>
      <c r="G3253" s="76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6" t="inlineStr">
        <is>
          <t>2026-10-01</t>
        </is>
      </c>
      <c r="B3255" s="76" t="inlineStr">
        <is>
          <t>Pokemon Stats</t>
        </is>
      </c>
      <c r="C3255" s="76" t="inlineStr">
        <is>
          <t>Sigilyph baseAttack</t>
        </is>
      </c>
      <c r="D3255" s="76" t="n">
        <v>58</v>
      </c>
      <c r="E3255" s="76" t="n">
        <v>30</v>
      </c>
      <c r="F3255" s="76" t="inlineStr">
        <is>
          <t>Differs from upstream baseline</t>
        </is>
      </c>
      <c r="G3255" s="76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6" t="inlineStr">
        <is>
          <t>2026-10-01</t>
        </is>
      </c>
      <c r="B3257" s="76" t="inlineStr">
        <is>
          <t>Pokemon Stats</t>
        </is>
      </c>
      <c r="C3257" s="76" t="inlineStr">
        <is>
          <t>Sigilyph baseSpAttack</t>
        </is>
      </c>
      <c r="D3257" s="76" t="n">
        <v>103</v>
      </c>
      <c r="E3257" s="76" t="n">
        <v>120</v>
      </c>
      <c r="F3257" s="76" t="inlineStr">
        <is>
          <t>Differs from upstream baseline</t>
        </is>
      </c>
      <c r="G3257" s="76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6" t="inlineStr">
        <is>
          <t>2026-10-01</t>
        </is>
      </c>
      <c r="B3259" s="76" t="inlineStr">
        <is>
          <t>Abilities</t>
        </is>
      </c>
      <c r="C3259" s="76" t="inlineStr">
        <is>
          <t>Silcoon abilities</t>
        </is>
      </c>
      <c r="D3259" s="76" t="inlineStr">
        <is>
          <t>Shed Skin</t>
        </is>
      </c>
      <c r="E3259" s="76" t="inlineStr">
        <is>
          <t>Shed Skin / Shed Skin</t>
        </is>
      </c>
      <c r="F3259" s="76" t="inlineStr">
        <is>
          <t>Differs from upstream baseline</t>
        </is>
      </c>
      <c r="G3259" s="76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6" t="inlineStr">
        <is>
          <t>2026-10-01</t>
        </is>
      </c>
      <c r="B3261" s="76" t="inlineStr">
        <is>
          <t>Pokemon Stats</t>
        </is>
      </c>
      <c r="C3261" s="76" t="inlineStr">
        <is>
          <t>Simipour baseSpAttack</t>
        </is>
      </c>
      <c r="D3261" s="76" t="n">
        <v>98</v>
      </c>
      <c r="E3261" s="76" t="n">
        <v>108</v>
      </c>
      <c r="F3261" s="76" t="inlineStr">
        <is>
          <t>Differs from upstream baseline</t>
        </is>
      </c>
      <c r="G3261" s="76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6" t="inlineStr">
        <is>
          <t>2026-10-01</t>
        </is>
      </c>
      <c r="B3263" s="76" t="inlineStr">
        <is>
          <t>Abilities</t>
        </is>
      </c>
      <c r="C3263" s="76" t="inlineStr">
        <is>
          <t>Simipour abilities</t>
        </is>
      </c>
      <c r="D3263" s="76" t="inlineStr">
        <is>
          <t>Gluttony / Torrent</t>
        </is>
      </c>
      <c r="E3263" s="76" t="inlineStr">
        <is>
          <t>Gluttony / Swift Swim / Torrent</t>
        </is>
      </c>
      <c r="F3263" s="76" t="inlineStr">
        <is>
          <t>Differs from upstream baseline</t>
        </is>
      </c>
      <c r="G3263" s="76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6" t="inlineStr">
        <is>
          <t>2026-10-01</t>
        </is>
      </c>
      <c r="B3265" s="76" t="inlineStr">
        <is>
          <t>Pokemon Stats</t>
        </is>
      </c>
      <c r="C3265" s="76" t="inlineStr">
        <is>
          <t>Simisage baseSpeed</t>
        </is>
      </c>
      <c r="D3265" s="76" t="n">
        <v>101</v>
      </c>
      <c r="E3265" s="76" t="n">
        <v>111</v>
      </c>
      <c r="F3265" s="76" t="inlineStr">
        <is>
          <t>Differs from upstream baseline</t>
        </is>
      </c>
      <c r="G3265" s="76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6" t="inlineStr">
        <is>
          <t>2026-10-01</t>
        </is>
      </c>
      <c r="B3267" s="76" t="inlineStr">
        <is>
          <t>Pokemon Stats</t>
        </is>
      </c>
      <c r="C3267" s="76" t="inlineStr">
        <is>
          <t>Simisear baseSpAttack</t>
        </is>
      </c>
      <c r="D3267" s="76" t="n">
        <v>98</v>
      </c>
      <c r="E3267" s="76" t="n">
        <v>108</v>
      </c>
      <c r="F3267" s="76" t="inlineStr">
        <is>
          <t>Differs from upstream baseline</t>
        </is>
      </c>
      <c r="G3267" s="76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6" t="inlineStr">
        <is>
          <t>2026-10-01</t>
        </is>
      </c>
      <c r="B3269" s="76" t="inlineStr">
        <is>
          <t>Abilities</t>
        </is>
      </c>
      <c r="C3269" s="76" t="inlineStr">
        <is>
          <t>Simisear abilities</t>
        </is>
      </c>
      <c r="D3269" s="76" t="inlineStr">
        <is>
          <t>Gluttony / Blaze</t>
        </is>
      </c>
      <c r="E3269" s="76" t="inlineStr">
        <is>
          <t>Gluttony / Flash Fire / Blaze</t>
        </is>
      </c>
      <c r="F3269" s="76" t="inlineStr">
        <is>
          <t>Differs from upstream baseline</t>
        </is>
      </c>
      <c r="G3269" s="76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6" t="inlineStr">
        <is>
          <t>2026-10-01</t>
        </is>
      </c>
      <c r="B3271" s="76" t="inlineStr">
        <is>
          <t>Pokemon Stats</t>
        </is>
      </c>
      <c r="C3271" s="76" t="inlineStr">
        <is>
          <t>Sirfetch'd baseSpAttack</t>
        </is>
      </c>
      <c r="D3271" s="76" t="n">
        <v>68</v>
      </c>
      <c r="E3271" s="76" t="n">
        <v>30</v>
      </c>
      <c r="F3271" s="76" t="inlineStr">
        <is>
          <t>Differs from upstream baseline</t>
        </is>
      </c>
      <c r="G3271" s="76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6" t="inlineStr">
        <is>
          <t>2026-10-01</t>
        </is>
      </c>
      <c r="B3273" s="76" t="inlineStr">
        <is>
          <t>Pokemon Stats</t>
        </is>
      </c>
      <c r="C3273" s="76" t="inlineStr">
        <is>
          <t>Skarmory baseHP</t>
        </is>
      </c>
      <c r="D3273" s="76" t="n">
        <v>65</v>
      </c>
      <c r="E3273" s="76" t="n">
        <v>85</v>
      </c>
      <c r="F3273" s="76" t="inlineStr">
        <is>
          <t>Differs from upstream baseline</t>
        </is>
      </c>
      <c r="G3273" s="76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6" t="inlineStr">
        <is>
          <t>2026-10-01</t>
        </is>
      </c>
      <c r="B3275" s="76" t="inlineStr">
        <is>
          <t>Pokemon Stats</t>
        </is>
      </c>
      <c r="C3275" s="76" t="inlineStr">
        <is>
          <t>Skarmory baseSpDefense</t>
        </is>
      </c>
      <c r="D3275" s="76" t="n">
        <v>70</v>
      </c>
      <c r="E3275" s="76" t="n">
        <v>80</v>
      </c>
      <c r="F3275" s="76" t="inlineStr">
        <is>
          <t>Differs from upstream baseline</t>
        </is>
      </c>
      <c r="G3275" s="76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6" t="inlineStr">
        <is>
          <t>2026-10-01</t>
        </is>
      </c>
      <c r="B3277" s="76" t="inlineStr">
        <is>
          <t>Abilities</t>
        </is>
      </c>
      <c r="C3277" s="76" t="inlineStr">
        <is>
          <t>Skiploom abilities</t>
        </is>
      </c>
      <c r="D3277" s="76" t="inlineStr">
        <is>
          <t>Chlorophyll / Leaf Guard / Infiltrator</t>
        </is>
      </c>
      <c r="E3277" s="76" t="inlineStr">
        <is>
          <t>Chlorophyll / Chlorophyll / Infiltrator</t>
        </is>
      </c>
      <c r="F3277" s="76" t="inlineStr">
        <is>
          <t>Differs from upstream baseline</t>
        </is>
      </c>
      <c r="G3277" s="76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6" t="inlineStr">
        <is>
          <t>2026-10-01</t>
        </is>
      </c>
      <c r="B3279" s="76" t="inlineStr">
        <is>
          <t>Evolutions</t>
        </is>
      </c>
      <c r="C3279" s="76" t="inlineStr">
        <is>
          <t>Skorupi evolution</t>
        </is>
      </c>
      <c r="D3279" s="76" t="inlineStr">
        <is>
          <t>Lv 40 -&gt; Drapion</t>
        </is>
      </c>
      <c r="E3279" s="76" t="inlineStr">
        <is>
          <t>Lv 32 -&gt; Drapion</t>
        </is>
      </c>
      <c r="F3279" s="76" t="inlineStr">
        <is>
          <t>Differs from upstream baseline</t>
        </is>
      </c>
      <c r="G3279" s="76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6" t="inlineStr">
        <is>
          <t>2026-10-01</t>
        </is>
      </c>
      <c r="B3281" s="76" t="inlineStr">
        <is>
          <t>Pokemon Stats</t>
        </is>
      </c>
      <c r="C3281" s="76" t="inlineStr">
        <is>
          <t>Skuntank baseSpAttack</t>
        </is>
      </c>
      <c r="D3281" s="76" t="n">
        <v>71</v>
      </c>
      <c r="E3281" s="76" t="n">
        <v>91</v>
      </c>
      <c r="F3281" s="76" t="inlineStr">
        <is>
          <t>Differs from upstream baseline</t>
        </is>
      </c>
      <c r="G3281" s="76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6" t="inlineStr">
        <is>
          <t>2026-10-01</t>
        </is>
      </c>
      <c r="B3283" s="76" t="inlineStr">
        <is>
          <t>Pokemon Stats</t>
        </is>
      </c>
      <c r="C3283" s="76" t="inlineStr">
        <is>
          <t>Slaking baseAttack</t>
        </is>
      </c>
      <c r="D3283" s="76" t="n">
        <v>160</v>
      </c>
      <c r="E3283" s="76" t="n">
        <v>170</v>
      </c>
      <c r="F3283" s="76" t="inlineStr">
        <is>
          <t>Differs from upstream baseline</t>
        </is>
      </c>
      <c r="G3283" s="76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6" t="inlineStr">
        <is>
          <t>2026-10-01</t>
        </is>
      </c>
      <c r="B3285" s="76" t="inlineStr">
        <is>
          <t>Abilities</t>
        </is>
      </c>
      <c r="C3285" s="76" t="inlineStr">
        <is>
          <t>Slowking abilities</t>
        </is>
      </c>
      <c r="D3285" s="76" t="inlineStr">
        <is>
          <t>Oblivious / Own Tempo / Regenerator</t>
        </is>
      </c>
      <c r="E3285" s="76" t="inlineStr">
        <is>
          <t>Simple / Magic Guard / Regenerator</t>
        </is>
      </c>
      <c r="F3285" s="76" t="inlineStr">
        <is>
          <t>Differs from upstream baseline</t>
        </is>
      </c>
      <c r="G3285" s="76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6" t="inlineStr">
        <is>
          <t>2026-10-01</t>
        </is>
      </c>
      <c r="B3287" s="76" t="inlineStr">
        <is>
          <t>Pokemon Stats</t>
        </is>
      </c>
      <c r="C3287" s="76" t="inlineStr">
        <is>
          <t>Slowking baseSpAttack</t>
        </is>
      </c>
      <c r="D3287" s="76" t="n">
        <v>110</v>
      </c>
      <c r="E3287" s="76" t="n">
        <v>145</v>
      </c>
      <c r="F3287" s="76" t="inlineStr">
        <is>
          <t>Differs from upstream baseline</t>
        </is>
      </c>
      <c r="G3287" s="76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6" t="inlineStr">
        <is>
          <t>2026-10-01</t>
        </is>
      </c>
      <c r="B3289" s="76" t="inlineStr">
        <is>
          <t>Abilities</t>
        </is>
      </c>
      <c r="C3289" s="76" t="inlineStr">
        <is>
          <t>Slowpoke abilities</t>
        </is>
      </c>
      <c r="D3289" s="76" t="inlineStr">
        <is>
          <t>Gluttony / Own Tempo / Regenerator</t>
        </is>
      </c>
      <c r="E3289" s="76" t="inlineStr">
        <is>
          <t>Simple / Unaware / Regenerator</t>
        </is>
      </c>
      <c r="F3289" s="76" t="inlineStr">
        <is>
          <t>Differs from upstream baseline</t>
        </is>
      </c>
      <c r="G3289" s="76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6" t="inlineStr">
        <is>
          <t>2026-10-01</t>
        </is>
      </c>
      <c r="B3291" s="76" t="inlineStr">
        <is>
          <t>Pokemon Stats</t>
        </is>
      </c>
      <c r="C3291" s="76" t="inlineStr">
        <is>
          <t>Slugma baseAttack</t>
        </is>
      </c>
      <c r="D3291" s="76" t="n">
        <v>40</v>
      </c>
      <c r="E3291" s="76" t="n">
        <v>50</v>
      </c>
      <c r="F3291" s="76" t="inlineStr">
        <is>
          <t>Differs from upstream baseline</t>
        </is>
      </c>
      <c r="G3291" s="76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6" t="inlineStr">
        <is>
          <t>2026-10-01</t>
        </is>
      </c>
      <c r="B3293" s="76" t="inlineStr">
        <is>
          <t>Pokemon Stats</t>
        </is>
      </c>
      <c r="C3293" s="76" t="inlineStr">
        <is>
          <t>Slugma baseSpAttack</t>
        </is>
      </c>
      <c r="D3293" s="76" t="n">
        <v>70</v>
      </c>
      <c r="E3293" s="76" t="n">
        <v>90</v>
      </c>
      <c r="F3293" s="76" t="inlineStr">
        <is>
          <t>Differs from upstream baseline</t>
        </is>
      </c>
      <c r="G3293" s="76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6" t="inlineStr">
        <is>
          <t>2026-10-01</t>
        </is>
      </c>
      <c r="B3295" s="76" t="inlineStr">
        <is>
          <t>Abilities</t>
        </is>
      </c>
      <c r="C3295" s="76" t="inlineStr">
        <is>
          <t>Slugma abilities</t>
        </is>
      </c>
      <c r="D3295" s="76" t="inlineStr">
        <is>
          <t>Magma Armor / Flame Body / Weak Armor</t>
        </is>
      </c>
      <c r="E3295" s="76" t="inlineStr">
        <is>
          <t>Magma Armor / Vital Spirit / Weak Armor</t>
        </is>
      </c>
      <c r="F3295" s="76" t="inlineStr">
        <is>
          <t>Differs from upstream baseline</t>
        </is>
      </c>
      <c r="G3295" s="76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6" t="inlineStr">
        <is>
          <t>2026-10-01</t>
        </is>
      </c>
      <c r="B3297" s="76" t="inlineStr">
        <is>
          <t>Pokemon Stats</t>
        </is>
      </c>
      <c r="C3297" s="76" t="inlineStr">
        <is>
          <t>Slurpuff baseSpeed</t>
        </is>
      </c>
      <c r="D3297" s="76" t="n">
        <v>72</v>
      </c>
      <c r="E3297" s="76" t="n">
        <v>82</v>
      </c>
      <c r="F3297" s="76" t="inlineStr">
        <is>
          <t>Differs from upstream baseline</t>
        </is>
      </c>
      <c r="G3297" s="76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6" t="inlineStr">
        <is>
          <t>2026-10-01</t>
        </is>
      </c>
      <c r="B3299" s="76" t="inlineStr">
        <is>
          <t>Pokemon Stats</t>
        </is>
      </c>
      <c r="C3299" s="76" t="inlineStr">
        <is>
          <t>Smeargle baseHP</t>
        </is>
      </c>
      <c r="D3299" s="76" t="n">
        <v>55</v>
      </c>
      <c r="E3299" s="76" t="n">
        <v>60</v>
      </c>
      <c r="F3299" s="76" t="inlineStr">
        <is>
          <t>Differs from upstream baseline</t>
        </is>
      </c>
      <c r="G3299" s="76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6" t="inlineStr">
        <is>
          <t>2026-10-01</t>
        </is>
      </c>
      <c r="B3301" s="76" t="inlineStr">
        <is>
          <t>Pokemon Stats</t>
        </is>
      </c>
      <c r="C3301" s="76" t="inlineStr">
        <is>
          <t>Smeargle baseDefense</t>
        </is>
      </c>
      <c r="D3301" s="76" t="n">
        <v>35</v>
      </c>
      <c r="E3301" s="76" t="n">
        <v>75</v>
      </c>
      <c r="F3301" s="76" t="inlineStr">
        <is>
          <t>Differs from upstream baseline</t>
        </is>
      </c>
      <c r="G3301" s="76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6" t="inlineStr">
        <is>
          <t>2026-10-01</t>
        </is>
      </c>
      <c r="B3303" s="76" t="inlineStr">
        <is>
          <t>Pokemon Stats</t>
        </is>
      </c>
      <c r="C3303" s="76" t="inlineStr">
        <is>
          <t>Smeargle baseSpDefense</t>
        </is>
      </c>
      <c r="D3303" s="76" t="n">
        <v>45</v>
      </c>
      <c r="E3303" s="76" t="n">
        <v>85</v>
      </c>
      <c r="F3303" s="76" t="inlineStr">
        <is>
          <t>Differs from upstream baseline</t>
        </is>
      </c>
      <c r="G3303" s="76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6" t="inlineStr">
        <is>
          <t>2026-10-01</t>
        </is>
      </c>
      <c r="B3305" s="76" t="inlineStr">
        <is>
          <t>Abilities</t>
        </is>
      </c>
      <c r="C3305" s="76" t="inlineStr">
        <is>
          <t>Smeargle abilities</t>
        </is>
      </c>
      <c r="D3305" s="76" t="inlineStr">
        <is>
          <t>Own Tempo / Technician / Moody</t>
        </is>
      </c>
      <c r="E3305" s="76" t="inlineStr">
        <is>
          <t>Trace / Trace / Moody</t>
        </is>
      </c>
      <c r="F3305" s="76" t="inlineStr">
        <is>
          <t>Differs from upstream baseline</t>
        </is>
      </c>
      <c r="G3305" s="76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6" t="inlineStr">
        <is>
          <t>2026-10-01</t>
        </is>
      </c>
      <c r="B3307" s="76" t="inlineStr">
        <is>
          <t>Abilities</t>
        </is>
      </c>
      <c r="C3307" s="76" t="inlineStr">
        <is>
          <t>Sneasel abilities</t>
        </is>
      </c>
      <c r="D3307" s="76" t="inlineStr">
        <is>
          <t>Inner Focus / Keen Eye / Pickpocket</t>
        </is>
      </c>
      <c r="E3307" s="76" t="inlineStr">
        <is>
          <t>Inner Focus / Inner Focus / Pickpocket</t>
        </is>
      </c>
      <c r="F3307" s="76" t="inlineStr">
        <is>
          <t>Differs from upstream baseline</t>
        </is>
      </c>
      <c r="G3307" s="76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6" t="inlineStr">
        <is>
          <t>2026-10-01</t>
        </is>
      </c>
      <c r="B3309" s="76" t="inlineStr">
        <is>
          <t>Pokemon Stats</t>
        </is>
      </c>
      <c r="C3309" s="76" t="inlineStr">
        <is>
          <t>Sneasler baseSpAttack</t>
        </is>
      </c>
      <c r="D3309" s="76" t="n">
        <v>40</v>
      </c>
      <c r="E3309" s="76" t="n">
        <v>30</v>
      </c>
      <c r="F3309" s="76" t="inlineStr">
        <is>
          <t>Differs from upstream baseline</t>
        </is>
      </c>
      <c r="G3309" s="76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6" t="inlineStr">
        <is>
          <t>2026-10-01</t>
        </is>
      </c>
      <c r="B3311" s="76" t="inlineStr">
        <is>
          <t>Pokemon Stats</t>
        </is>
      </c>
      <c r="C3311" s="76" t="inlineStr">
        <is>
          <t>Snorlax baseHP</t>
        </is>
      </c>
      <c r="D3311" s="76" t="n">
        <v>160</v>
      </c>
      <c r="E3311" s="76" t="n">
        <v>165</v>
      </c>
      <c r="F3311" s="76" t="inlineStr">
        <is>
          <t>Differs from upstream baseline</t>
        </is>
      </c>
      <c r="G3311" s="76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6" t="inlineStr">
        <is>
          <t>2026-10-01</t>
        </is>
      </c>
      <c r="B3313" s="76" t="inlineStr">
        <is>
          <t>Abilities</t>
        </is>
      </c>
      <c r="C3313" s="76" t="inlineStr">
        <is>
          <t>Snorlax abilities</t>
        </is>
      </c>
      <c r="D3313" s="76" t="inlineStr">
        <is>
          <t>Immunity / Thick Fat / Gluttony</t>
        </is>
      </c>
      <c r="E3313" s="76" t="inlineStr">
        <is>
          <t>Thick Fat / Thick Fat / Gluttony</t>
        </is>
      </c>
      <c r="F3313" s="76" t="inlineStr">
        <is>
          <t>Differs from upstream baseline</t>
        </is>
      </c>
      <c r="G3313" s="76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6" t="inlineStr">
        <is>
          <t>2026-10-01</t>
        </is>
      </c>
      <c r="B3315" s="76" t="inlineStr">
        <is>
          <t>Abilities</t>
        </is>
      </c>
      <c r="C3315" s="76" t="inlineStr">
        <is>
          <t>Snorunt abilities</t>
        </is>
      </c>
      <c r="D3315" s="76" t="inlineStr">
        <is>
          <t>Inner Focus / Ice Body / Moody</t>
        </is>
      </c>
      <c r="E3315" s="76" t="inlineStr">
        <is>
          <t>Snow Cloak / Snow Cloak / Moody</t>
        </is>
      </c>
      <c r="F3315" s="76" t="inlineStr">
        <is>
          <t>Differs from upstream baseline</t>
        </is>
      </c>
      <c r="G3315" s="76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6" t="inlineStr">
        <is>
          <t>2026-10-01</t>
        </is>
      </c>
      <c r="B3317" s="76" t="inlineStr">
        <is>
          <t>Abilities</t>
        </is>
      </c>
      <c r="C3317" s="76" t="inlineStr">
        <is>
          <t>Snubbull abilities</t>
        </is>
      </c>
      <c r="D3317" s="76" t="inlineStr">
        <is>
          <t>Intimidate / Run Away / Rattled</t>
        </is>
      </c>
      <c r="E3317" s="76" t="inlineStr">
        <is>
          <t>Intimidate / Intimidate / Rattled</t>
        </is>
      </c>
      <c r="F3317" s="76" t="inlineStr">
        <is>
          <t>Differs from upstream baseline</t>
        </is>
      </c>
      <c r="G3317" s="76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6" t="inlineStr">
        <is>
          <t>2026-10-01</t>
        </is>
      </c>
      <c r="B3319" s="76" t="inlineStr">
        <is>
          <t>Abilities</t>
        </is>
      </c>
      <c r="C3319" s="76" t="inlineStr">
        <is>
          <t>Spearow abilities</t>
        </is>
      </c>
      <c r="D3319" s="76" t="inlineStr">
        <is>
          <t>Keen Eye / Sniper</t>
        </is>
      </c>
      <c r="E3319" s="76" t="inlineStr">
        <is>
          <t>Sniper / Sniper</t>
        </is>
      </c>
      <c r="F3319" s="76" t="inlineStr">
        <is>
          <t>Differs from upstream baseline</t>
        </is>
      </c>
      <c r="G3319" s="76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6" t="inlineStr">
        <is>
          <t>2026-10-01</t>
        </is>
      </c>
      <c r="B3321" s="76" t="inlineStr">
        <is>
          <t>Abilities</t>
        </is>
      </c>
      <c r="C3321" s="76" t="inlineStr">
        <is>
          <t>Spinarak abilities</t>
        </is>
      </c>
      <c r="D3321" s="76" t="inlineStr">
        <is>
          <t>Swarm / Insomnia / Sniper</t>
        </is>
      </c>
      <c r="E3321" s="76" t="inlineStr">
        <is>
          <t>Intimidate / Insomnia / Sniper</t>
        </is>
      </c>
      <c r="F3321" s="76" t="inlineStr">
        <is>
          <t>Differs from upstream baseline</t>
        </is>
      </c>
      <c r="G3321" s="76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6" t="inlineStr">
        <is>
          <t>2026-10-01</t>
        </is>
      </c>
      <c r="B3323" s="76" t="inlineStr">
        <is>
          <t>Pokemon Stats</t>
        </is>
      </c>
      <c r="C3323" s="76" t="inlineStr">
        <is>
          <t>Spinda baseAttack</t>
        </is>
      </c>
      <c r="D3323" s="76" t="n">
        <v>60</v>
      </c>
      <c r="E3323" s="76" t="n">
        <v>80</v>
      </c>
      <c r="F3323" s="76" t="inlineStr">
        <is>
          <t>Differs from upstream baseline</t>
        </is>
      </c>
      <c r="G3323" s="76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6" t="inlineStr">
        <is>
          <t>2026-10-01</t>
        </is>
      </c>
      <c r="B3325" s="76" t="inlineStr">
        <is>
          <t>Pokemon Stats</t>
        </is>
      </c>
      <c r="C3325" s="76" t="inlineStr">
        <is>
          <t>Spinda baseSpAttack</t>
        </is>
      </c>
      <c r="D3325" s="76" t="n">
        <v>60</v>
      </c>
      <c r="E3325" s="76" t="n">
        <v>80</v>
      </c>
      <c r="F3325" s="76" t="inlineStr">
        <is>
          <t>Differs from upstream baseline</t>
        </is>
      </c>
      <c r="G3325" s="76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6" t="inlineStr">
        <is>
          <t>2026-10-01</t>
        </is>
      </c>
      <c r="B3327" s="76" t="inlineStr">
        <is>
          <t>Pokemon Stats</t>
        </is>
      </c>
      <c r="C3327" s="76" t="inlineStr">
        <is>
          <t>Spinda baseSpeed</t>
        </is>
      </c>
      <c r="D3327" s="76" t="n">
        <v>60</v>
      </c>
      <c r="E3327" s="76" t="n">
        <v>80</v>
      </c>
      <c r="F3327" s="76" t="inlineStr">
        <is>
          <t>Differs from upstream baseline</t>
        </is>
      </c>
      <c r="G3327" s="76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6" t="inlineStr">
        <is>
          <t>2026-10-01</t>
        </is>
      </c>
      <c r="B3329" s="76" t="inlineStr">
        <is>
          <t>Pokemon Stats</t>
        </is>
      </c>
      <c r="C3329" s="76" t="inlineStr">
        <is>
          <t>Spiritomb baseHP</t>
        </is>
      </c>
      <c r="D3329" s="76" t="n">
        <v>50</v>
      </c>
      <c r="E3329" s="76" t="n">
        <v>73</v>
      </c>
      <c r="F3329" s="76" t="inlineStr">
        <is>
          <t>Differs from upstream baseline</t>
        </is>
      </c>
      <c r="G3329" s="76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6" t="inlineStr">
        <is>
          <t>2026-10-01</t>
        </is>
      </c>
      <c r="B3331" s="76" t="inlineStr">
        <is>
          <t>Pokemon Stats</t>
        </is>
      </c>
      <c r="C3331" s="76" t="inlineStr">
        <is>
          <t>Spiritomb baseSpAttack</t>
        </is>
      </c>
      <c r="D3331" s="76" t="n">
        <v>92</v>
      </c>
      <c r="E3331" s="76" t="n">
        <v>108</v>
      </c>
      <c r="F3331" s="76" t="inlineStr">
        <is>
          <t>Differs from upstream baseline</t>
        </is>
      </c>
      <c r="G3331" s="76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6" t="inlineStr">
        <is>
          <t>2026-10-01</t>
        </is>
      </c>
      <c r="B3333" s="76" t="inlineStr">
        <is>
          <t>Abilities</t>
        </is>
      </c>
      <c r="C3333" s="76" t="inlineStr">
        <is>
          <t>Squirtle abilities</t>
        </is>
      </c>
      <c r="D3333" s="76" t="inlineStr">
        <is>
          <t>Torrent / Rain Dish</t>
        </is>
      </c>
      <c r="E3333" s="76" t="inlineStr">
        <is>
          <t>Shell Armor / Shell Armor / Rain Dish</t>
        </is>
      </c>
      <c r="F3333" s="76" t="inlineStr">
        <is>
          <t>Differs from upstream baseline</t>
        </is>
      </c>
      <c r="G3333" s="76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6" t="inlineStr">
        <is>
          <t>2026-10-01</t>
        </is>
      </c>
      <c r="B3335" s="76" t="inlineStr">
        <is>
          <t>Pokemon Stats</t>
        </is>
      </c>
      <c r="C3335" s="76" t="inlineStr">
        <is>
          <t>Stantler baseDefense</t>
        </is>
      </c>
      <c r="D3335" s="76" t="n">
        <v>62</v>
      </c>
      <c r="E3335" s="76" t="n">
        <v>72</v>
      </c>
      <c r="F3335" s="76" t="inlineStr">
        <is>
          <t>Differs from upstream baseline</t>
        </is>
      </c>
      <c r="G3335" s="76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6" t="inlineStr">
        <is>
          <t>2026-10-01</t>
        </is>
      </c>
      <c r="B3337" s="76" t="inlineStr">
        <is>
          <t>Pokemon Stats</t>
        </is>
      </c>
      <c r="C3337" s="76" t="inlineStr">
        <is>
          <t>Stantler baseSpDefense</t>
        </is>
      </c>
      <c r="D3337" s="76" t="n">
        <v>65</v>
      </c>
      <c r="E3337" s="76" t="n">
        <v>75</v>
      </c>
      <c r="F3337" s="76" t="inlineStr">
        <is>
          <t>Differs from upstream baseline</t>
        </is>
      </c>
      <c r="G3337" s="76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6" t="inlineStr">
        <is>
          <t>2026-10-01</t>
        </is>
      </c>
      <c r="B3339" s="76" t="inlineStr">
        <is>
          <t>Pokemon Stats</t>
        </is>
      </c>
      <c r="C3339" s="76" t="inlineStr">
        <is>
          <t>Staraptor baseSpDefense</t>
        </is>
      </c>
      <c r="D3339" s="76" t="n">
        <v>60</v>
      </c>
      <c r="E3339" s="76" t="n">
        <v>50</v>
      </c>
      <c r="F3339" s="76" t="inlineStr">
        <is>
          <t>Differs from upstream baseline</t>
        </is>
      </c>
      <c r="G3339" s="76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6" t="inlineStr">
        <is>
          <t>2026-10-01</t>
        </is>
      </c>
      <c r="B3341" s="76" t="inlineStr">
        <is>
          <t>Abilities</t>
        </is>
      </c>
      <c r="C3341" s="76" t="inlineStr">
        <is>
          <t>Staraptor abilities</t>
        </is>
      </c>
      <c r="D3341" s="76" t="inlineStr">
        <is>
          <t>Intimidate / Reckless</t>
        </is>
      </c>
      <c r="E3341" s="76" t="inlineStr">
        <is>
          <t>Reckless / Reckless</t>
        </is>
      </c>
      <c r="F3341" s="76" t="inlineStr">
        <is>
          <t>Differs from upstream baseline</t>
        </is>
      </c>
      <c r="G3341" s="76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6" t="inlineStr">
        <is>
          <t>2026-10-01</t>
        </is>
      </c>
      <c r="B3343" s="76" t="inlineStr">
        <is>
          <t>Pokemon Stats</t>
        </is>
      </c>
      <c r="C3343" s="76" t="inlineStr">
        <is>
          <t>Starmie baseAttack</t>
        </is>
      </c>
      <c r="D3343" s="76" t="n">
        <v>75</v>
      </c>
      <c r="E3343" s="76" t="n">
        <v>80</v>
      </c>
      <c r="F3343" s="76" t="inlineStr">
        <is>
          <t>Differs from upstream baseline</t>
        </is>
      </c>
      <c r="G3343" s="76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6" t="inlineStr">
        <is>
          <t>2026-10-01</t>
        </is>
      </c>
      <c r="B3345" s="76" t="inlineStr">
        <is>
          <t>Abilities</t>
        </is>
      </c>
      <c r="C3345" s="76" t="inlineStr">
        <is>
          <t>Starmie abilities</t>
        </is>
      </c>
      <c r="D3345" s="76" t="inlineStr">
        <is>
          <t>Illuminate / Natural Cure / Analytic</t>
        </is>
      </c>
      <c r="E3345" s="76" t="inlineStr">
        <is>
          <t>Magic Guard / Natural Cure / Analytic</t>
        </is>
      </c>
      <c r="F3345" s="76" t="inlineStr">
        <is>
          <t>Differs from upstream baseline</t>
        </is>
      </c>
      <c r="G3345" s="76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6" t="inlineStr">
        <is>
          <t>2026-10-01</t>
        </is>
      </c>
      <c r="B3347" s="76" t="inlineStr">
        <is>
          <t>Pokemon Stats</t>
        </is>
      </c>
      <c r="C3347" s="76" t="inlineStr">
        <is>
          <t>Steelix baseHP</t>
        </is>
      </c>
      <c r="D3347" s="76" t="n">
        <v>75</v>
      </c>
      <c r="E3347" s="76" t="n">
        <v>100</v>
      </c>
      <c r="F3347" s="76" t="inlineStr">
        <is>
          <t>Differs from upstream baseline</t>
        </is>
      </c>
      <c r="G3347" s="76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6" t="inlineStr">
        <is>
          <t>2026-10-01</t>
        </is>
      </c>
      <c r="B3349" s="76" t="inlineStr">
        <is>
          <t>Pokemon Stats</t>
        </is>
      </c>
      <c r="C3349" s="76" t="inlineStr">
        <is>
          <t>Steelix baseSpAttack</t>
        </is>
      </c>
      <c r="D3349" s="76" t="n">
        <v>55</v>
      </c>
      <c r="E3349" s="76" t="n">
        <v>35</v>
      </c>
      <c r="F3349" s="76" t="inlineStr">
        <is>
          <t>Differs from upstream baseline</t>
        </is>
      </c>
      <c r="G3349" s="76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6" t="inlineStr">
        <is>
          <t>2026-10-01</t>
        </is>
      </c>
      <c r="B3351" s="76" t="inlineStr">
        <is>
          <t>Abilities</t>
        </is>
      </c>
      <c r="C3351" s="76" t="inlineStr">
        <is>
          <t>Steelix abilities</t>
        </is>
      </c>
      <c r="D3351" s="76" t="inlineStr">
        <is>
          <t>Rock Head / Sturdy / Sheer Force</t>
        </is>
      </c>
      <c r="E3351" s="76" t="inlineStr">
        <is>
          <t>Solid Rock / Rock Head / Sheer Force</t>
        </is>
      </c>
      <c r="F3351" s="76" t="inlineStr">
        <is>
          <t>Differs from upstream baseline</t>
        </is>
      </c>
      <c r="G3351" s="76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6" t="inlineStr">
        <is>
          <t>2026-10-01</t>
        </is>
      </c>
      <c r="B3353" s="76" t="inlineStr">
        <is>
          <t>Pokemon Stats</t>
        </is>
      </c>
      <c r="C3353" s="76" t="inlineStr">
        <is>
          <t>Steelix baseSpDefense</t>
        </is>
      </c>
      <c r="D3353" s="76" t="n">
        <v>95</v>
      </c>
      <c r="E3353" s="76" t="n">
        <v>105</v>
      </c>
      <c r="F3353" s="76" t="inlineStr">
        <is>
          <t>Differs from upstream baseline</t>
        </is>
      </c>
      <c r="G3353" s="76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6" t="inlineStr">
        <is>
          <t>2026-10-01</t>
        </is>
      </c>
      <c r="B3355" s="76" t="inlineStr">
        <is>
          <t>Pokemon Stats</t>
        </is>
      </c>
      <c r="C3355" s="76" t="inlineStr">
        <is>
          <t>Stoutland baseAttack</t>
        </is>
      </c>
      <c r="D3355" s="76" t="n">
        <v>110</v>
      </c>
      <c r="E3355" s="76" t="n">
        <v>133</v>
      </c>
      <c r="F3355" s="76" t="inlineStr">
        <is>
          <t>Differs from upstream baseline</t>
        </is>
      </c>
      <c r="G3355" s="76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6" t="inlineStr">
        <is>
          <t>2026-10-01</t>
        </is>
      </c>
      <c r="B3357" s="76" t="inlineStr">
        <is>
          <t>Pokemon Stats</t>
        </is>
      </c>
      <c r="C3357" s="76" t="inlineStr">
        <is>
          <t>Stoutland baseSpeed</t>
        </is>
      </c>
      <c r="D3357" s="76" t="n">
        <v>80</v>
      </c>
      <c r="E3357" s="76" t="n">
        <v>95</v>
      </c>
      <c r="F3357" s="76" t="inlineStr">
        <is>
          <t>Differs from upstream baseline</t>
        </is>
      </c>
      <c r="G3357" s="76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6" t="inlineStr">
        <is>
          <t>2026-10-01</t>
        </is>
      </c>
      <c r="B3359" s="76" t="inlineStr">
        <is>
          <t>Pokemon Stats</t>
        </is>
      </c>
      <c r="C3359" s="76" t="inlineStr">
        <is>
          <t>Stunfisk baseAttack</t>
        </is>
      </c>
      <c r="D3359" s="76" t="n">
        <v>66</v>
      </c>
      <c r="E3359" s="76" t="n">
        <v>68</v>
      </c>
      <c r="F3359" s="76" t="inlineStr">
        <is>
          <t>Differs from upstream baseline</t>
        </is>
      </c>
      <c r="G3359" s="76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6" t="inlineStr">
        <is>
          <t>2026-10-01</t>
        </is>
      </c>
      <c r="B3361" s="76" t="inlineStr">
        <is>
          <t>Pokemon Stats</t>
        </is>
      </c>
      <c r="C3361" s="76" t="inlineStr">
        <is>
          <t>Stunfisk baseSpeed</t>
        </is>
      </c>
      <c r="D3361" s="76" t="n">
        <v>32</v>
      </c>
      <c r="E3361" s="76" t="n">
        <v>54</v>
      </c>
      <c r="F3361" s="76" t="inlineStr">
        <is>
          <t>Differs from upstream baseline</t>
        </is>
      </c>
      <c r="G3361" s="76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6" t="inlineStr">
        <is>
          <t>2026-10-01</t>
        </is>
      </c>
      <c r="B3363" s="76" t="inlineStr">
        <is>
          <t>Pokemon Stats</t>
        </is>
      </c>
      <c r="C3363" s="76" t="inlineStr">
        <is>
          <t>Stunfisk baseAttack</t>
        </is>
      </c>
      <c r="D3363" s="76" t="n">
        <v>81</v>
      </c>
      <c r="E3363" s="76" t="n">
        <v>84</v>
      </c>
      <c r="F3363" s="76" t="inlineStr">
        <is>
          <t>Differs from upstream baseline</t>
        </is>
      </c>
      <c r="G3363" s="76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6" t="inlineStr">
        <is>
          <t>2026-10-01</t>
        </is>
      </c>
      <c r="B3365" s="76" t="inlineStr">
        <is>
          <t>Pokemon Stats</t>
        </is>
      </c>
      <c r="C3365" s="76" t="inlineStr">
        <is>
          <t>Stunfisk baseSpeed</t>
        </is>
      </c>
      <c r="D3365" s="76" t="n">
        <v>32</v>
      </c>
      <c r="E3365" s="76" t="n">
        <v>52</v>
      </c>
      <c r="F3365" s="76" t="inlineStr">
        <is>
          <t>Differs from upstream baseline</t>
        </is>
      </c>
      <c r="G3365" s="76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6" t="inlineStr">
        <is>
          <t>2026-10-01</t>
        </is>
      </c>
      <c r="B3367" s="76" t="inlineStr">
        <is>
          <t>Abilities</t>
        </is>
      </c>
      <c r="C3367" s="76" t="inlineStr">
        <is>
          <t>Stunky abilities</t>
        </is>
      </c>
      <c r="D3367" s="76" t="inlineStr">
        <is>
          <t>Stench / Aftermath / Keen Eye</t>
        </is>
      </c>
      <c r="E3367" s="76" t="inlineStr">
        <is>
          <t>Aftermath / Aftermath / Keen Eye</t>
        </is>
      </c>
      <c r="F3367" s="76" t="inlineStr">
        <is>
          <t>Differs from upstream baseline</t>
        </is>
      </c>
      <c r="G3367" s="76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6" t="inlineStr">
        <is>
          <t>2026-10-01</t>
        </is>
      </c>
      <c r="B3369" s="76" t="inlineStr">
        <is>
          <t>Pokemon Stats</t>
        </is>
      </c>
      <c r="C3369" s="76" t="inlineStr">
        <is>
          <t>Suicune baseHP</t>
        </is>
      </c>
      <c r="D3369" s="76" t="n">
        <v>100</v>
      </c>
      <c r="E3369" s="76" t="n">
        <v>120</v>
      </c>
      <c r="F3369" s="76" t="inlineStr">
        <is>
          <t>Differs from upstream baseline</t>
        </is>
      </c>
      <c r="G3369" s="76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6" t="inlineStr">
        <is>
          <t>2026-10-01</t>
        </is>
      </c>
      <c r="B3371" s="76" t="inlineStr">
        <is>
          <t>Abilities</t>
        </is>
      </c>
      <c r="C3371" s="76" t="inlineStr">
        <is>
          <t>Sunkern abilities</t>
        </is>
      </c>
      <c r="D3371" s="76" t="inlineStr">
        <is>
          <t>Chlorophyll / Solar Power / Early Bird</t>
        </is>
      </c>
      <c r="E3371" s="76" t="inlineStr">
        <is>
          <t>Solar Power / Solar Power / Early Bird</t>
        </is>
      </c>
      <c r="F3371" s="76" t="inlineStr">
        <is>
          <t>Differs from upstream baseline</t>
        </is>
      </c>
      <c r="G3371" s="76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6" t="inlineStr">
        <is>
          <t>2026-10-01</t>
        </is>
      </c>
      <c r="B3373" s="76" t="inlineStr">
        <is>
          <t>Pokemon Stats</t>
        </is>
      </c>
      <c r="C3373" s="76" t="inlineStr">
        <is>
          <t>Surskit baseDefense</t>
        </is>
      </c>
      <c r="D3373" s="76" t="n">
        <v>32</v>
      </c>
      <c r="E3373" s="76" t="n">
        <v>62</v>
      </c>
      <c r="F3373" s="76" t="inlineStr">
        <is>
          <t>Differs from upstream baseline</t>
        </is>
      </c>
      <c r="G3373" s="76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6" t="inlineStr">
        <is>
          <t>2026-10-01</t>
        </is>
      </c>
      <c r="B3375" s="76" t="inlineStr">
        <is>
          <t>Pokemon Stats</t>
        </is>
      </c>
      <c r="C3375" s="76" t="inlineStr">
        <is>
          <t>Surskit baseSpDefense</t>
        </is>
      </c>
      <c r="D3375" s="76" t="n">
        <v>52</v>
      </c>
      <c r="E3375" s="76" t="n">
        <v>82</v>
      </c>
      <c r="F3375" s="76" t="inlineStr">
        <is>
          <t>Differs from upstream baseline</t>
        </is>
      </c>
      <c r="G3375" s="76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6" t="inlineStr">
        <is>
          <t>2026-10-01</t>
        </is>
      </c>
      <c r="B3377" s="76" t="inlineStr">
        <is>
          <t>Abilities</t>
        </is>
      </c>
      <c r="C3377" s="76" t="inlineStr">
        <is>
          <t>Swalot abilities</t>
        </is>
      </c>
      <c r="D3377" s="76" t="inlineStr">
        <is>
          <t>Liquid Ooze / Sticky Hold / Gluttony</t>
        </is>
      </c>
      <c r="E3377" s="76" t="inlineStr">
        <is>
          <t>Gluttony / Gluttony / Gluttony</t>
        </is>
      </c>
      <c r="F3377" s="76" t="inlineStr">
        <is>
          <t>Differs from upstream baseline</t>
        </is>
      </c>
      <c r="G3377" s="76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6" t="inlineStr">
        <is>
          <t>2026-10-01</t>
        </is>
      </c>
      <c r="B3379" s="76" t="inlineStr">
        <is>
          <t>Pokemon Stats</t>
        </is>
      </c>
      <c r="C3379" s="76" t="inlineStr">
        <is>
          <t>Swanna baseSpAttack</t>
        </is>
      </c>
      <c r="D3379" s="76" t="n">
        <v>87</v>
      </c>
      <c r="E3379" s="76" t="n">
        <v>97</v>
      </c>
      <c r="F3379" s="76" t="inlineStr">
        <is>
          <t>Differs from upstream baseline</t>
        </is>
      </c>
      <c r="G3379" s="76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6" t="inlineStr">
        <is>
          <t>2026-10-01</t>
        </is>
      </c>
      <c r="B3381" s="76" t="inlineStr">
        <is>
          <t>Abilities</t>
        </is>
      </c>
      <c r="C3381" s="76" t="inlineStr">
        <is>
          <t>Swanna abilities</t>
        </is>
      </c>
      <c r="D3381" s="76" t="inlineStr">
        <is>
          <t>Keen Eye / Big Pecks / Hydration</t>
        </is>
      </c>
      <c r="E3381" s="76" t="inlineStr">
        <is>
          <t>Keen Eye / Hydration / Competitive</t>
        </is>
      </c>
      <c r="F3381" s="76" t="inlineStr">
        <is>
          <t>Differs from upstream baseline</t>
        </is>
      </c>
      <c r="G3381" s="76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6" t="inlineStr">
        <is>
          <t>2026-10-01</t>
        </is>
      </c>
      <c r="B3383" s="76" t="inlineStr">
        <is>
          <t>Abilities</t>
        </is>
      </c>
      <c r="C3383" s="76" t="inlineStr">
        <is>
          <t>Swinub abilities</t>
        </is>
      </c>
      <c r="D3383" s="76" t="inlineStr">
        <is>
          <t>Oblivious / Snow Cloak / Thick Fat</t>
        </is>
      </c>
      <c r="E3383" s="76" t="inlineStr">
        <is>
          <t>Snow Cloak / Snow Cloak / Thick Fat</t>
        </is>
      </c>
      <c r="F3383" s="76" t="inlineStr">
        <is>
          <t>Differs from upstream baseline</t>
        </is>
      </c>
      <c r="G3383" s="76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6" t="inlineStr">
        <is>
          <t>2026-10-01</t>
        </is>
      </c>
      <c r="B3385" s="76" t="inlineStr">
        <is>
          <t>Pokemon Stats</t>
        </is>
      </c>
      <c r="C3385" s="76" t="inlineStr">
        <is>
          <t>Swoobat baseAttack</t>
        </is>
      </c>
      <c r="D3385" s="76" t="n">
        <v>57</v>
      </c>
      <c r="E3385" s="76" t="n">
        <v>63</v>
      </c>
      <c r="F3385" s="76" t="inlineStr">
        <is>
          <t>Differs from upstream baseline</t>
        </is>
      </c>
      <c r="G3385" s="76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6" t="inlineStr">
        <is>
          <t>2026-10-01</t>
        </is>
      </c>
      <c r="B3387" s="76" t="inlineStr">
        <is>
          <t>Pokemon Stats</t>
        </is>
      </c>
      <c r="C3387" s="76" t="inlineStr">
        <is>
          <t>Swoobat baseSpAttack</t>
        </is>
      </c>
      <c r="D3387" s="76" t="n">
        <v>77</v>
      </c>
      <c r="E3387" s="76" t="n">
        <v>89</v>
      </c>
      <c r="F3387" s="76" t="inlineStr">
        <is>
          <t>Differs from upstream baseline</t>
        </is>
      </c>
      <c r="G3387" s="76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6" t="inlineStr">
        <is>
          <t>2026-10-01</t>
        </is>
      </c>
      <c r="B3389" s="76" t="inlineStr">
        <is>
          <t>Pokemon Stats</t>
        </is>
      </c>
      <c r="C3389" s="76" t="inlineStr">
        <is>
          <t>Swoobat baseSpeed</t>
        </is>
      </c>
      <c r="D3389" s="76" t="n">
        <v>114</v>
      </c>
      <c r="E3389" s="76" t="n">
        <v>124</v>
      </c>
      <c r="F3389" s="76" t="inlineStr">
        <is>
          <t>Differs from upstream baseline</t>
        </is>
      </c>
      <c r="G3389" s="76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6" t="inlineStr">
        <is>
          <t>2026-10-01</t>
        </is>
      </c>
      <c r="B3391" s="76" t="inlineStr">
        <is>
          <t>Pokemon Stats</t>
        </is>
      </c>
      <c r="C3391" s="76" t="inlineStr">
        <is>
          <t>Sylveon baseAttack</t>
        </is>
      </c>
      <c r="D3391" s="76" t="n">
        <v>65</v>
      </c>
      <c r="E3391" s="76" t="n">
        <v>30</v>
      </c>
      <c r="F3391" s="76" t="inlineStr">
        <is>
          <t>Differs from upstream baseline</t>
        </is>
      </c>
      <c r="G3391" s="76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6" t="inlineStr">
        <is>
          <t>2026-10-01</t>
        </is>
      </c>
      <c r="B3393" s="76" t="inlineStr">
        <is>
          <t>Pokemon Stats</t>
        </is>
      </c>
      <c r="C3393" s="76" t="inlineStr">
        <is>
          <t>Sylveon baseSpeed</t>
        </is>
      </c>
      <c r="D3393" s="76" t="n">
        <v>60</v>
      </c>
      <c r="E3393" s="76" t="n">
        <v>76</v>
      </c>
      <c r="F3393" s="76" t="inlineStr">
        <is>
          <t>Differs from upstream baseline</t>
        </is>
      </c>
      <c r="G3393" s="76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6" t="inlineStr">
        <is>
          <t>2026-10-01</t>
        </is>
      </c>
      <c r="B3395" s="76" t="inlineStr">
        <is>
          <t>Pokemon Stats</t>
        </is>
      </c>
      <c r="C3395" s="76" t="inlineStr">
        <is>
          <t>Talonflame baseAttack</t>
        </is>
      </c>
      <c r="D3395" s="76" t="n">
        <v>81</v>
      </c>
      <c r="E3395" s="76" t="n">
        <v>86</v>
      </c>
      <c r="F3395" s="76" t="inlineStr">
        <is>
          <t>Differs from upstream baseline</t>
        </is>
      </c>
      <c r="G3395" s="76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6" t="inlineStr">
        <is>
          <t>2026-10-01</t>
        </is>
      </c>
      <c r="B3397" s="76" t="inlineStr">
        <is>
          <t>Pokemon Stats</t>
        </is>
      </c>
      <c r="C3397" s="76" t="inlineStr">
        <is>
          <t>Talonflame baseSpAttack</t>
        </is>
      </c>
      <c r="D3397" s="76" t="n">
        <v>74</v>
      </c>
      <c r="E3397" s="76" t="n">
        <v>76</v>
      </c>
      <c r="F3397" s="76" t="inlineStr">
        <is>
          <t>Differs from upstream baseline</t>
        </is>
      </c>
      <c r="G3397" s="76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6" t="inlineStr">
        <is>
          <t>2026-10-01</t>
        </is>
      </c>
      <c r="B3399" s="76" t="inlineStr">
        <is>
          <t>Pokemon Stats</t>
        </is>
      </c>
      <c r="C3399" s="76" t="inlineStr">
        <is>
          <t>Tangela baseSpDefense</t>
        </is>
      </c>
      <c r="D3399" s="76" t="n">
        <v>40</v>
      </c>
      <c r="E3399" s="76" t="n">
        <v>50</v>
      </c>
      <c r="F3399" s="76" t="inlineStr">
        <is>
          <t>Differs from upstream baseline</t>
        </is>
      </c>
      <c r="G3399" s="76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6" t="inlineStr">
        <is>
          <t>2026-10-01</t>
        </is>
      </c>
      <c r="B3401" s="76" t="inlineStr">
        <is>
          <t>Pokemon Stats</t>
        </is>
      </c>
      <c r="C3401" s="76" t="inlineStr">
        <is>
          <t>Tangrowth baseSpDefense</t>
        </is>
      </c>
      <c r="D3401" s="76" t="n">
        <v>50</v>
      </c>
      <c r="E3401" s="76" t="n">
        <v>90</v>
      </c>
      <c r="F3401" s="76" t="inlineStr">
        <is>
          <t>Differs from upstream baseline</t>
        </is>
      </c>
      <c r="G3401" s="76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6" t="inlineStr">
        <is>
          <t>2026-10-01</t>
        </is>
      </c>
      <c r="B3403" s="76" t="inlineStr">
        <is>
          <t>Abilities</t>
        </is>
      </c>
      <c r="C3403" s="76" t="inlineStr">
        <is>
          <t>Tangrowth abilities</t>
        </is>
      </c>
      <c r="D3403" s="76" t="inlineStr">
        <is>
          <t>Chlorophyll / Leaf Guard / Regenerator</t>
        </is>
      </c>
      <c r="E3403" s="76" t="inlineStr">
        <is>
          <t>Magic Guard / Magic Guard / Regenerator</t>
        </is>
      </c>
      <c r="F3403" s="76" t="inlineStr">
        <is>
          <t>Differs from upstream baseline</t>
        </is>
      </c>
      <c r="G3403" s="76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6" t="inlineStr">
        <is>
          <t>2026-10-01</t>
        </is>
      </c>
      <c r="B3405" s="76" t="inlineStr">
        <is>
          <t>Pokemon Stats</t>
        </is>
      </c>
      <c r="C3405" s="76" t="inlineStr">
        <is>
          <t>Tauros baseAttack</t>
        </is>
      </c>
      <c r="D3405" s="76" t="n">
        <v>100</v>
      </c>
      <c r="E3405" s="76" t="n">
        <v>110</v>
      </c>
      <c r="F3405" s="76" t="inlineStr">
        <is>
          <t>Differs from upstream baseline</t>
        </is>
      </c>
      <c r="G3405" s="76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6" t="inlineStr">
        <is>
          <t>2026-10-01</t>
        </is>
      </c>
      <c r="B3407" s="76" t="inlineStr">
        <is>
          <t>Abilities</t>
        </is>
      </c>
      <c r="C3407" s="76" t="inlineStr">
        <is>
          <t>Tauros abilities</t>
        </is>
      </c>
      <c r="D3407" s="76" t="inlineStr">
        <is>
          <t>Intimidate / Anger Point / Sheer Force</t>
        </is>
      </c>
      <c r="E3407" s="76" t="inlineStr">
        <is>
          <t>Intimidate / Intimidate / Sheer Force</t>
        </is>
      </c>
      <c r="F3407" s="76" t="inlineStr">
        <is>
          <t>Differs from upstream baseline</t>
        </is>
      </c>
      <c r="G3407" s="76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6" t="inlineStr">
        <is>
          <t>2026-10-01</t>
        </is>
      </c>
      <c r="B3409" s="76" t="inlineStr">
        <is>
          <t>Pokemon Stats</t>
        </is>
      </c>
      <c r="C3409" s="76" t="inlineStr">
        <is>
          <t>Tauros baseSpDefense</t>
        </is>
      </c>
      <c r="D3409" s="76" t="n">
        <v>70</v>
      </c>
      <c r="E3409" s="76" t="n">
        <v>72</v>
      </c>
      <c r="F3409" s="76" t="inlineStr">
        <is>
          <t>Differs from upstream baseline</t>
        </is>
      </c>
      <c r="G3409" s="76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6" t="inlineStr">
        <is>
          <t>2026-10-01</t>
        </is>
      </c>
      <c r="B3411" s="76" t="inlineStr">
        <is>
          <t>Abilities</t>
        </is>
      </c>
      <c r="C3411" s="76" t="inlineStr">
        <is>
          <t>Tentacool abilities</t>
        </is>
      </c>
      <c r="D3411" s="76" t="inlineStr">
        <is>
          <t>Clear Body / Liquid Ooze / Rain Dish</t>
        </is>
      </c>
      <c r="E3411" s="76" t="inlineStr">
        <is>
          <t>Rain Dish / Clear Body / Rain Dish</t>
        </is>
      </c>
      <c r="F3411" s="76" t="inlineStr">
        <is>
          <t>Differs from upstream baseline</t>
        </is>
      </c>
      <c r="G3411" s="76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6" t="inlineStr">
        <is>
          <t>2026-10-01</t>
        </is>
      </c>
      <c r="B3413" s="76" t="inlineStr">
        <is>
          <t>Pokemon Stats</t>
        </is>
      </c>
      <c r="C3413" s="76" t="inlineStr">
        <is>
          <t>Tentacruel baseSpAttack</t>
        </is>
      </c>
      <c r="D3413" s="76" t="n">
        <v>80</v>
      </c>
      <c r="E3413" s="76" t="n">
        <v>90</v>
      </c>
      <c r="F3413" s="76" t="inlineStr">
        <is>
          <t>Differs from upstream baseline</t>
        </is>
      </c>
      <c r="G3413" s="76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6" t="inlineStr">
        <is>
          <t>2026-10-01</t>
        </is>
      </c>
      <c r="B3415" s="76" t="inlineStr">
        <is>
          <t>Pokemon Stats</t>
        </is>
      </c>
      <c r="C3415" s="76" t="inlineStr">
        <is>
          <t>Terrakion baseAttack</t>
        </is>
      </c>
      <c r="D3415" s="76" t="n">
        <v>129</v>
      </c>
      <c r="E3415" s="76" t="n">
        <v>151</v>
      </c>
      <c r="F3415" s="76" t="inlineStr">
        <is>
          <t>Differs from upstream baseline</t>
        </is>
      </c>
      <c r="G3415" s="76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6" t="inlineStr">
        <is>
          <t>2026-10-01</t>
        </is>
      </c>
      <c r="B3417" s="76" t="inlineStr">
        <is>
          <t>Pokemon Stats</t>
        </is>
      </c>
      <c r="C3417" s="76" t="inlineStr">
        <is>
          <t>Terrakion baseSpeed</t>
        </is>
      </c>
      <c r="D3417" s="76" t="n">
        <v>108</v>
      </c>
      <c r="E3417" s="76" t="n">
        <v>126</v>
      </c>
      <c r="F3417" s="76" t="inlineStr">
        <is>
          <t>Differs from upstream baseline</t>
        </is>
      </c>
      <c r="G3417" s="76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6" t="inlineStr">
        <is>
          <t>2026-10-01</t>
        </is>
      </c>
      <c r="B3419" s="76" t="inlineStr">
        <is>
          <t>Pokemon Stats</t>
        </is>
      </c>
      <c r="C3419" s="76" t="inlineStr">
        <is>
          <t>Throh baseAttack</t>
        </is>
      </c>
      <c r="D3419" s="76" t="n">
        <v>100</v>
      </c>
      <c r="E3419" s="76" t="n">
        <v>104</v>
      </c>
      <c r="F3419" s="76" t="inlineStr">
        <is>
          <t>Differs from upstream baseline</t>
        </is>
      </c>
      <c r="G3419" s="76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6" t="inlineStr">
        <is>
          <t>2026-10-01</t>
        </is>
      </c>
      <c r="B3421" s="76" t="inlineStr">
        <is>
          <t>Pokemon Stats</t>
        </is>
      </c>
      <c r="C3421" s="76" t="inlineStr">
        <is>
          <t>Throh baseSpeed</t>
        </is>
      </c>
      <c r="D3421" s="76" t="n">
        <v>45</v>
      </c>
      <c r="E3421" s="76" t="n">
        <v>71</v>
      </c>
      <c r="F3421" s="76" t="inlineStr">
        <is>
          <t>Differs from upstream baseline</t>
        </is>
      </c>
      <c r="G3421" s="76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6" t="inlineStr">
        <is>
          <t>2026-10-01</t>
        </is>
      </c>
      <c r="B3423" s="76" t="inlineStr">
        <is>
          <t>Abilities</t>
        </is>
      </c>
      <c r="C3423" s="76" t="inlineStr">
        <is>
          <t>Togepi abilities</t>
        </is>
      </c>
      <c r="D3423" s="76" t="inlineStr">
        <is>
          <t>Hustle / Serene Grace / Super Luck</t>
        </is>
      </c>
      <c r="E3423" s="76" t="inlineStr">
        <is>
          <t>Serene Grace / Serene Grace / Super Luck</t>
        </is>
      </c>
      <c r="F3423" s="76" t="inlineStr">
        <is>
          <t>Differs from upstream baseline</t>
        </is>
      </c>
      <c r="G3423" s="76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6" t="inlineStr">
        <is>
          <t>2026-10-01</t>
        </is>
      </c>
      <c r="B3425" s="76" t="inlineStr">
        <is>
          <t>Abilities</t>
        </is>
      </c>
      <c r="C3425" s="76" t="inlineStr">
        <is>
          <t>Togetic abilities</t>
        </is>
      </c>
      <c r="D3425" s="76" t="inlineStr">
        <is>
          <t>Hustle / Serene Grace / Super Luck</t>
        </is>
      </c>
      <c r="E3425" s="76" t="inlineStr">
        <is>
          <t>Serene Grace / Serene Grace / Super Luck</t>
        </is>
      </c>
      <c r="F3425" s="76" t="inlineStr">
        <is>
          <t>Differs from upstream baseline</t>
        </is>
      </c>
      <c r="G3425" s="76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6" t="inlineStr">
        <is>
          <t>2026-10-01</t>
        </is>
      </c>
      <c r="B3427" s="76" t="inlineStr">
        <is>
          <t>Abilities</t>
        </is>
      </c>
      <c r="C3427" s="76" t="inlineStr">
        <is>
          <t>Torkoal abilities</t>
        </is>
      </c>
      <c r="D3427" s="76" t="inlineStr">
        <is>
          <t>White Smoke / Drought / Shell Armor</t>
        </is>
      </c>
      <c r="E3427" s="76" t="inlineStr">
        <is>
          <t>White Smoke / Shell Armor / Shell Armor</t>
        </is>
      </c>
      <c r="F3427" s="76" t="inlineStr">
        <is>
          <t>Differs from upstream baseline</t>
        </is>
      </c>
      <c r="G3427" s="76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6" t="inlineStr">
        <is>
          <t>2026-10-01</t>
        </is>
      </c>
      <c r="B3429" s="76" t="inlineStr">
        <is>
          <t>Pokemon Stats</t>
        </is>
      </c>
      <c r="C3429" s="76" t="inlineStr">
        <is>
          <t>Torterra baseSpAttack</t>
        </is>
      </c>
      <c r="D3429" s="76" t="n">
        <v>75</v>
      </c>
      <c r="E3429" s="76" t="n">
        <v>63</v>
      </c>
      <c r="F3429" s="76" t="inlineStr">
        <is>
          <t>Differs from upstream baseline</t>
        </is>
      </c>
      <c r="G3429" s="76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6" t="inlineStr">
        <is>
          <t>2026-10-01</t>
        </is>
      </c>
      <c r="B3431" s="76" t="inlineStr">
        <is>
          <t>Abilities</t>
        </is>
      </c>
      <c r="C3431" s="76" t="inlineStr">
        <is>
          <t>Torterra abilities</t>
        </is>
      </c>
      <c r="D3431" s="76" t="inlineStr">
        <is>
          <t>Overgrow / Shell Armor</t>
        </is>
      </c>
      <c r="E3431" s="76" t="inlineStr">
        <is>
          <t>Thick Fat / Shell Armor / Shell Armor</t>
        </is>
      </c>
      <c r="F3431" s="76" t="inlineStr">
        <is>
          <t>Differs from upstream baseline</t>
        </is>
      </c>
      <c r="G3431" s="76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6" t="inlineStr">
        <is>
          <t>2026-10-01</t>
        </is>
      </c>
      <c r="B3433" s="76" t="inlineStr">
        <is>
          <t>Abilities</t>
        </is>
      </c>
      <c r="C3433" s="76" t="inlineStr">
        <is>
          <t>Toxicroak abilities</t>
        </is>
      </c>
      <c r="D3433" s="76" t="inlineStr">
        <is>
          <t>Anticipation / Dry Skin / Poison Touch</t>
        </is>
      </c>
      <c r="E3433" s="76" t="inlineStr">
        <is>
          <t>Dry Skin / Dry Skin / Poison Touch</t>
        </is>
      </c>
      <c r="F3433" s="76" t="inlineStr">
        <is>
          <t>Differs from upstream baseline</t>
        </is>
      </c>
      <c r="G3433" s="76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6" t="inlineStr">
        <is>
          <t>2026-10-01</t>
        </is>
      </c>
      <c r="B3435" s="76" t="inlineStr">
        <is>
          <t>Pokemon Stats</t>
        </is>
      </c>
      <c r="C3435" s="76" t="inlineStr">
        <is>
          <t>Tranquill baseAttack</t>
        </is>
      </c>
      <c r="D3435" s="76" t="n">
        <v>77</v>
      </c>
      <c r="E3435" s="76" t="n">
        <v>52</v>
      </c>
      <c r="F3435" s="76" t="inlineStr">
        <is>
          <t>Differs from upstream baseline</t>
        </is>
      </c>
      <c r="G3435" s="76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6" t="inlineStr">
        <is>
          <t>2026-10-01</t>
        </is>
      </c>
      <c r="B3437" s="76" t="inlineStr">
        <is>
          <t>Pokemon Stats</t>
        </is>
      </c>
      <c r="C3437" s="76" t="inlineStr">
        <is>
          <t>Tranquill baseSpDefense</t>
        </is>
      </c>
      <c r="D3437" s="76" t="n">
        <v>42</v>
      </c>
      <c r="E3437" s="76" t="n">
        <v>59</v>
      </c>
      <c r="F3437" s="76" t="inlineStr">
        <is>
          <t>Differs from upstream baseline</t>
        </is>
      </c>
      <c r="G3437" s="76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6" t="inlineStr">
        <is>
          <t>2026-10-01</t>
        </is>
      </c>
      <c r="B3439" s="76" t="inlineStr">
        <is>
          <t>Pokemon Stats</t>
        </is>
      </c>
      <c r="C3439" s="76" t="inlineStr">
        <is>
          <t>Trevenant baseHP</t>
        </is>
      </c>
      <c r="D3439" s="76" t="n">
        <v>85</v>
      </c>
      <c r="E3439" s="76" t="n">
        <v>95</v>
      </c>
      <c r="F3439" s="76" t="inlineStr">
        <is>
          <t>Differs from upstream baseline</t>
        </is>
      </c>
      <c r="G3439" s="76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6" t="inlineStr">
        <is>
          <t>2026-10-01</t>
        </is>
      </c>
      <c r="B3441" s="76" t="inlineStr">
        <is>
          <t>Pokemon Stats</t>
        </is>
      </c>
      <c r="C3441" s="76" t="inlineStr">
        <is>
          <t>Trevenant baseSpAttack</t>
        </is>
      </c>
      <c r="D3441" s="76" t="n">
        <v>65</v>
      </c>
      <c r="E3441" s="76" t="n">
        <v>30</v>
      </c>
      <c r="F3441" s="76" t="inlineStr">
        <is>
          <t>Differs from upstream baseline</t>
        </is>
      </c>
      <c r="G3441" s="76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6" t="inlineStr">
        <is>
          <t>2026-10-01</t>
        </is>
      </c>
      <c r="B3443" s="76" t="inlineStr">
        <is>
          <t>Pokemon Stats</t>
        </is>
      </c>
      <c r="C3443" s="76" t="inlineStr">
        <is>
          <t>Tropius baseHP</t>
        </is>
      </c>
      <c r="D3443" s="76" t="n">
        <v>99</v>
      </c>
      <c r="E3443" s="76" t="n">
        <v>105</v>
      </c>
      <c r="F3443" s="76" t="inlineStr">
        <is>
          <t>Differs from upstream baseline</t>
        </is>
      </c>
      <c r="G3443" s="76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6" t="inlineStr">
        <is>
          <t>2026-10-01</t>
        </is>
      </c>
      <c r="B3445" s="76" t="inlineStr">
        <is>
          <t>Pokemon Stats</t>
        </is>
      </c>
      <c r="C3445" s="76" t="inlineStr">
        <is>
          <t>Tropius baseDefense</t>
        </is>
      </c>
      <c r="D3445" s="76" t="n">
        <v>83</v>
      </c>
      <c r="E3445" s="76" t="n">
        <v>105</v>
      </c>
      <c r="F3445" s="76" t="inlineStr">
        <is>
          <t>Differs from upstream baseline</t>
        </is>
      </c>
      <c r="G3445" s="76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6" t="inlineStr">
        <is>
          <t>2026-10-01</t>
        </is>
      </c>
      <c r="B3447" s="76" t="inlineStr">
        <is>
          <t>Pokemon Stats</t>
        </is>
      </c>
      <c r="C3447" s="76" t="inlineStr">
        <is>
          <t>Tropius baseSpDefense</t>
        </is>
      </c>
      <c r="D3447" s="76" t="n">
        <v>87</v>
      </c>
      <c r="E3447" s="76" t="n">
        <v>105</v>
      </c>
      <c r="F3447" s="76" t="inlineStr">
        <is>
          <t>Differs from upstream baseline</t>
        </is>
      </c>
      <c r="G3447" s="76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6" t="inlineStr">
        <is>
          <t>2026-10-01</t>
        </is>
      </c>
      <c r="B3449" s="76" t="inlineStr">
        <is>
          <t>Abilities</t>
        </is>
      </c>
      <c r="C3449" s="76" t="inlineStr">
        <is>
          <t>Turtwig abilities</t>
        </is>
      </c>
      <c r="D3449" s="76" t="inlineStr">
        <is>
          <t>Overgrow / Shell Armor</t>
        </is>
      </c>
      <c r="E3449" s="76" t="inlineStr">
        <is>
          <t>Overgrow / Shell Armor / Shell Armor</t>
        </is>
      </c>
      <c r="F3449" s="76" t="inlineStr">
        <is>
          <t>Differs from upstream baseline</t>
        </is>
      </c>
      <c r="G3449" s="76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6" t="inlineStr">
        <is>
          <t>2026-10-01</t>
        </is>
      </c>
      <c r="B3451" s="76" t="inlineStr">
        <is>
          <t>Pokemon Stats</t>
        </is>
      </c>
      <c r="C3451" s="76" t="inlineStr">
        <is>
          <t>Tyranitar baseSpAttack</t>
        </is>
      </c>
      <c r="D3451" s="76" t="n">
        <v>95</v>
      </c>
      <c r="E3451" s="76" t="n">
        <v>100</v>
      </c>
      <c r="F3451" s="76" t="inlineStr">
        <is>
          <t>Differs from upstream baseline</t>
        </is>
      </c>
      <c r="G3451" s="76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6" t="inlineStr">
        <is>
          <t>2026-10-01</t>
        </is>
      </c>
      <c r="B3453" s="76" t="inlineStr">
        <is>
          <t>Abilities</t>
        </is>
      </c>
      <c r="C3453" s="76" t="inlineStr">
        <is>
          <t>Tyranitar abilities</t>
        </is>
      </c>
      <c r="D3453" s="76" t="inlineStr">
        <is>
          <t>Sand Stream / Sand Stream / Sand Stream</t>
        </is>
      </c>
      <c r="E3453" s="76" t="inlineStr">
        <is>
          <t>Thick Fat / Thick Fat / Thick Fat</t>
        </is>
      </c>
      <c r="F3453" s="76" t="inlineStr">
        <is>
          <t>Differs from upstream baseline</t>
        </is>
      </c>
      <c r="G3453" s="76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6" t="inlineStr">
        <is>
          <t>2026-10-01</t>
        </is>
      </c>
      <c r="B3455" s="76" t="inlineStr">
        <is>
          <t>Pokemon Stats</t>
        </is>
      </c>
      <c r="C3455" s="76" t="inlineStr">
        <is>
          <t>Tyrantrum baseSpAttack</t>
        </is>
      </c>
      <c r="D3455" s="76" t="n">
        <v>69</v>
      </c>
      <c r="E3455" s="76" t="n">
        <v>30</v>
      </c>
      <c r="F3455" s="76" t="inlineStr">
        <is>
          <t>Differs from upstream baseline</t>
        </is>
      </c>
      <c r="G3455" s="76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6" t="inlineStr">
        <is>
          <t>2026-10-01</t>
        </is>
      </c>
      <c r="B3457" s="76" t="inlineStr">
        <is>
          <t>Abilities</t>
        </is>
      </c>
      <c r="C3457" s="76" t="inlineStr">
        <is>
          <t>Tyrantrum abilities</t>
        </is>
      </c>
      <c r="D3457" s="76" t="inlineStr">
        <is>
          <t>Strong Jaw / Rock Head</t>
        </is>
      </c>
      <c r="E3457" s="76" t="inlineStr">
        <is>
          <t>Strong Jaw / Rock Head / Intimidate</t>
        </is>
      </c>
      <c r="F3457" s="76" t="inlineStr">
        <is>
          <t>Differs from upstream baseline</t>
        </is>
      </c>
      <c r="G3457" s="76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6" t="inlineStr">
        <is>
          <t>2026-10-01</t>
        </is>
      </c>
      <c r="B3459" s="76" t="inlineStr">
        <is>
          <t>Pokemon Stats</t>
        </is>
      </c>
      <c r="C3459" s="76" t="inlineStr">
        <is>
          <t>Tyrunt baseAttack</t>
        </is>
      </c>
      <c r="D3459" s="76" t="n">
        <v>89</v>
      </c>
      <c r="E3459" s="76" t="n">
        <v>97</v>
      </c>
      <c r="F3459" s="76" t="inlineStr">
        <is>
          <t>Differs from upstream baseline</t>
        </is>
      </c>
      <c r="G3459" s="76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6" t="inlineStr">
        <is>
          <t>2026-10-01</t>
        </is>
      </c>
      <c r="B3461" s="76" t="inlineStr">
        <is>
          <t>Pokemon Stats</t>
        </is>
      </c>
      <c r="C3461" s="76" t="inlineStr">
        <is>
          <t>Tyrunt baseSpeed</t>
        </is>
      </c>
      <c r="D3461" s="76" t="n">
        <v>48</v>
      </c>
      <c r="E3461" s="76" t="n">
        <v>55</v>
      </c>
      <c r="F3461" s="76" t="inlineStr">
        <is>
          <t>Differs from upstream baseline</t>
        </is>
      </c>
      <c r="G3461" s="76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6" t="inlineStr">
        <is>
          <t>2026-10-01</t>
        </is>
      </c>
      <c r="B3463" s="76" t="inlineStr">
        <is>
          <t>Pokemon Stats</t>
        </is>
      </c>
      <c r="C3463" s="76" t="inlineStr">
        <is>
          <t>Unfezant baseAttack</t>
        </is>
      </c>
      <c r="D3463" s="76" t="n">
        <v>115</v>
      </c>
      <c r="E3463" s="76" t="n">
        <v>46</v>
      </c>
      <c r="F3463" s="76" t="inlineStr">
        <is>
          <t>Differs from upstream baseline</t>
        </is>
      </c>
      <c r="G3463" s="76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6" t="inlineStr">
        <is>
          <t>2026-10-01</t>
        </is>
      </c>
      <c r="B3465" s="76" t="inlineStr">
        <is>
          <t>Pokemon Stats</t>
        </is>
      </c>
      <c r="C3465" s="76" t="inlineStr">
        <is>
          <t>Unfezant baseSpDefense</t>
        </is>
      </c>
      <c r="D3465" s="76" t="n">
        <v>55</v>
      </c>
      <c r="E3465" s="76" t="n">
        <v>77</v>
      </c>
      <c r="F3465" s="76" t="inlineStr">
        <is>
          <t>Differs from upstream baseline</t>
        </is>
      </c>
      <c r="G3465" s="76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6" t="inlineStr">
        <is>
          <t>2026-10-01</t>
        </is>
      </c>
      <c r="B3467" s="76" t="inlineStr">
        <is>
          <t>Abilities</t>
        </is>
      </c>
      <c r="C3467" s="76" t="inlineStr">
        <is>
          <t>Unfezant abilities</t>
        </is>
      </c>
      <c r="D3467" s="76" t="inlineStr">
        <is>
          <t>Big Pecks / Super Luck / Rivalry</t>
        </is>
      </c>
      <c r="E3467" s="76" t="inlineStr">
        <is>
          <t>Super Luck / Big Pecks / Sniper</t>
        </is>
      </c>
      <c r="F3467" s="76" t="inlineStr">
        <is>
          <t>Differs from upstream baseline</t>
        </is>
      </c>
      <c r="G3467" s="76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6" t="inlineStr">
        <is>
          <t>2026-10-01</t>
        </is>
      </c>
      <c r="B3469" s="76" t="inlineStr">
        <is>
          <t>Pokemon Stats</t>
        </is>
      </c>
      <c r="C3469" s="76" t="inlineStr">
        <is>
          <t>Ursaluna baseSpAttack</t>
        </is>
      </c>
      <c r="D3469" s="76" t="n">
        <v>45</v>
      </c>
      <c r="E3469" s="76" t="n">
        <v>30</v>
      </c>
      <c r="F3469" s="76" t="inlineStr">
        <is>
          <t>Differs from upstream baseline</t>
        </is>
      </c>
      <c r="G3469" s="76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6" t="inlineStr">
        <is>
          <t>2026-10-01</t>
        </is>
      </c>
      <c r="B3471" s="76" t="inlineStr">
        <is>
          <t>Pokemon Stats</t>
        </is>
      </c>
      <c r="C3471" s="76" t="inlineStr">
        <is>
          <t>Ursaluna baseAttack</t>
        </is>
      </c>
      <c r="D3471" s="76" t="n">
        <v>70</v>
      </c>
      <c r="E3471" s="76" t="n">
        <v>30</v>
      </c>
      <c r="F3471" s="76" t="inlineStr">
        <is>
          <t>Differs from upstream baseline</t>
        </is>
      </c>
      <c r="G3471" s="76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6" t="inlineStr">
        <is>
          <t>2026-10-01</t>
        </is>
      </c>
      <c r="B3473" s="76" t="inlineStr">
        <is>
          <t>Pokemon Stats</t>
        </is>
      </c>
      <c r="C3473" s="76" t="inlineStr">
        <is>
          <t>Ursaluna baseSpeed</t>
        </is>
      </c>
      <c r="D3473" s="76" t="n">
        <v>52</v>
      </c>
      <c r="E3473" s="76" t="n">
        <v>70</v>
      </c>
      <c r="F3473" s="76" t="inlineStr">
        <is>
          <t>Differs from upstream baseline</t>
        </is>
      </c>
      <c r="G3473" s="76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6" t="inlineStr">
        <is>
          <t>2026-10-01</t>
        </is>
      </c>
      <c r="B3475" s="76" t="inlineStr">
        <is>
          <t>Pokemon Stats</t>
        </is>
      </c>
      <c r="C3475" s="76" t="inlineStr">
        <is>
          <t>Ursaring baseAttack</t>
        </is>
      </c>
      <c r="D3475" s="76" t="n">
        <v>130</v>
      </c>
      <c r="E3475" s="76" t="n">
        <v>140</v>
      </c>
      <c r="F3475" s="76" t="inlineStr">
        <is>
          <t>Differs from upstream baseline</t>
        </is>
      </c>
      <c r="G3475" s="76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6" t="inlineStr">
        <is>
          <t>2026-10-01</t>
        </is>
      </c>
      <c r="B3477" s="76" t="inlineStr">
        <is>
          <t>Pokemon Stats</t>
        </is>
      </c>
      <c r="C3477" s="76" t="inlineStr">
        <is>
          <t>Ursaring baseSpAttack</t>
        </is>
      </c>
      <c r="D3477" s="76" t="n">
        <v>75</v>
      </c>
      <c r="E3477" s="76" t="n">
        <v>55</v>
      </c>
      <c r="F3477" s="76" t="inlineStr">
        <is>
          <t>Differs from upstream baseline</t>
        </is>
      </c>
      <c r="G3477" s="76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6" t="inlineStr">
        <is>
          <t>2026-10-01</t>
        </is>
      </c>
      <c r="B3479" s="76" t="inlineStr">
        <is>
          <t>Pokemon Stats</t>
        </is>
      </c>
      <c r="C3479" s="76" t="inlineStr">
        <is>
          <t>Uxie baseHP</t>
        </is>
      </c>
      <c r="D3479" s="76" t="n">
        <v>75</v>
      </c>
      <c r="E3479" s="76" t="n">
        <v>95</v>
      </c>
      <c r="F3479" s="76" t="inlineStr">
        <is>
          <t>Differs from upstream baseline</t>
        </is>
      </c>
      <c r="G3479" s="76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6" t="inlineStr">
        <is>
          <t>2026-10-01</t>
        </is>
      </c>
      <c r="B3481" s="76" t="inlineStr">
        <is>
          <t>Pokemon Stats</t>
        </is>
      </c>
      <c r="C3481" s="76" t="inlineStr">
        <is>
          <t>Vanilluxe baseHP</t>
        </is>
      </c>
      <c r="D3481" s="76" t="n">
        <v>71</v>
      </c>
      <c r="E3481" s="76" t="n">
        <v>81</v>
      </c>
      <c r="F3481" s="76" t="inlineStr">
        <is>
          <t>Differs from upstream baseline</t>
        </is>
      </c>
      <c r="G3481" s="76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6" t="inlineStr">
        <is>
          <t>2026-10-01</t>
        </is>
      </c>
      <c r="B3483" s="76" t="inlineStr">
        <is>
          <t>Abilities</t>
        </is>
      </c>
      <c r="C3483" s="76" t="inlineStr">
        <is>
          <t>Vanilluxe abilities</t>
        </is>
      </c>
      <c r="D3483" s="76" t="inlineStr">
        <is>
          <t>Ice Body / Snow Warning / Weak Armor</t>
        </is>
      </c>
      <c r="E3483" s="76" t="inlineStr">
        <is>
          <t>Ice Body / Ice Body / Slush Rush</t>
        </is>
      </c>
      <c r="F3483" s="76" t="inlineStr">
        <is>
          <t>Differs from upstream baseline</t>
        </is>
      </c>
      <c r="G3483" s="76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6" t="inlineStr">
        <is>
          <t>2026-10-01</t>
        </is>
      </c>
      <c r="B3485" s="76" t="inlineStr">
        <is>
          <t>Pokemon Stats</t>
        </is>
      </c>
      <c r="C3485" s="76" t="inlineStr">
        <is>
          <t>Venipede baseHP</t>
        </is>
      </c>
      <c r="D3485" s="76" t="n">
        <v>30</v>
      </c>
      <c r="E3485" s="76" t="n">
        <v>37</v>
      </c>
      <c r="F3485" s="76" t="inlineStr">
        <is>
          <t>Differs from upstream baseline</t>
        </is>
      </c>
      <c r="G3485" s="76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6" t="inlineStr">
        <is>
          <t>2026-10-01</t>
        </is>
      </c>
      <c r="B3487" s="76" t="inlineStr">
        <is>
          <t>Pokemon Stats</t>
        </is>
      </c>
      <c r="C3487" s="76" t="inlineStr">
        <is>
          <t>Venipede baseSpAttack</t>
        </is>
      </c>
      <c r="D3487" s="76" t="n">
        <v>30</v>
      </c>
      <c r="E3487" s="76" t="n">
        <v>31</v>
      </c>
      <c r="F3487" s="76" t="inlineStr">
        <is>
          <t>Differs from upstream baseline</t>
        </is>
      </c>
      <c r="G3487" s="76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6" t="inlineStr">
        <is>
          <t>2026-10-01</t>
        </is>
      </c>
      <c r="B3489" s="76" t="inlineStr">
        <is>
          <t>Abilities</t>
        </is>
      </c>
      <c r="C3489" s="76" t="inlineStr">
        <is>
          <t>Venomoth abilities</t>
        </is>
      </c>
      <c r="D3489" s="76" t="inlineStr">
        <is>
          <t>Shield Dust / Tinted Lens / Wonder Skin</t>
        </is>
      </c>
      <c r="E3489" s="76" t="inlineStr">
        <is>
          <t>Tinted Lens / Tinted Lens / Wonder Skin</t>
        </is>
      </c>
      <c r="F3489" s="76" t="inlineStr">
        <is>
          <t>Differs from upstream baseline</t>
        </is>
      </c>
      <c r="G3489" s="76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6" t="inlineStr">
        <is>
          <t>2026-10-01</t>
        </is>
      </c>
      <c r="B3491" s="76" t="inlineStr">
        <is>
          <t>Abilities</t>
        </is>
      </c>
      <c r="C3491" s="76" t="inlineStr">
        <is>
          <t>Venusaur abilities</t>
        </is>
      </c>
      <c r="D3491" s="76" t="inlineStr">
        <is>
          <t>Overgrow / Chlorophyll</t>
        </is>
      </c>
      <c r="E3491" s="76" t="inlineStr">
        <is>
          <t>Chlorophyll / Overgrow / Chlorophyll</t>
        </is>
      </c>
      <c r="F3491" s="76" t="inlineStr">
        <is>
          <t>Differs from upstream baseline</t>
        </is>
      </c>
      <c r="G3491" s="76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6" t="inlineStr">
        <is>
          <t>2026-10-01</t>
        </is>
      </c>
      <c r="B3493" s="76" t="inlineStr">
        <is>
          <t>Pokemon Stats</t>
        </is>
      </c>
      <c r="C3493" s="76" t="inlineStr">
        <is>
          <t>Vespiquen baseHP</t>
        </is>
      </c>
      <c r="D3493" s="76" t="n">
        <v>70</v>
      </c>
      <c r="E3493" s="76" t="n">
        <v>80</v>
      </c>
      <c r="F3493" s="76" t="inlineStr">
        <is>
          <t>Differs from upstream baseline</t>
        </is>
      </c>
      <c r="G3493" s="76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6" t="inlineStr">
        <is>
          <t>2026-10-01</t>
        </is>
      </c>
      <c r="B3495" s="76" t="inlineStr">
        <is>
          <t>Pokemon Stats</t>
        </is>
      </c>
      <c r="C3495" s="76" t="inlineStr">
        <is>
          <t>Vespiquen baseSpAttack</t>
        </is>
      </c>
      <c r="D3495" s="76" t="n">
        <v>80</v>
      </c>
      <c r="E3495" s="76" t="n">
        <v>102</v>
      </c>
      <c r="F3495" s="76" t="inlineStr">
        <is>
          <t>Differs from upstream baseline</t>
        </is>
      </c>
      <c r="G3495" s="76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6" t="inlineStr">
        <is>
          <t>2026-10-01</t>
        </is>
      </c>
      <c r="B3497" s="76" t="inlineStr">
        <is>
          <t>Abilities</t>
        </is>
      </c>
      <c r="C3497" s="76" t="inlineStr">
        <is>
          <t>Vespiquen abilities</t>
        </is>
      </c>
      <c r="D3497" s="76" t="inlineStr">
        <is>
          <t>Pressure / Unnerve</t>
        </is>
      </c>
      <c r="E3497" s="76" t="inlineStr">
        <is>
          <t>Tinted Lens / Swarm / Unnerve</t>
        </is>
      </c>
      <c r="F3497" s="76" t="inlineStr">
        <is>
          <t>Differs from upstream baseline</t>
        </is>
      </c>
      <c r="G3497" s="76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6" t="inlineStr">
        <is>
          <t>2026-10-01</t>
        </is>
      </c>
      <c r="B3499" s="76" t="inlineStr">
        <is>
          <t>Pokemon Stats</t>
        </is>
      </c>
      <c r="C3499" s="76" t="inlineStr">
        <is>
          <t>Vibrava baseDefense</t>
        </is>
      </c>
      <c r="D3499" s="76" t="n">
        <v>50</v>
      </c>
      <c r="E3499" s="76" t="n">
        <v>70</v>
      </c>
      <c r="F3499" s="76" t="inlineStr">
        <is>
          <t>Differs from upstream baseline</t>
        </is>
      </c>
      <c r="G3499" s="76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6" t="inlineStr">
        <is>
          <t>2026-10-01</t>
        </is>
      </c>
      <c r="B3501" s="76" t="inlineStr">
        <is>
          <t>Pokemon Stats</t>
        </is>
      </c>
      <c r="C3501" s="76" t="inlineStr">
        <is>
          <t>Vibrava baseSpDefense</t>
        </is>
      </c>
      <c r="D3501" s="76" t="n">
        <v>50</v>
      </c>
      <c r="E3501" s="76" t="n">
        <v>70</v>
      </c>
      <c r="F3501" s="76" t="inlineStr">
        <is>
          <t>Differs from upstream baseline</t>
        </is>
      </c>
      <c r="G3501" s="76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6" t="inlineStr">
        <is>
          <t>2026-10-01</t>
        </is>
      </c>
      <c r="B3503" s="76" t="inlineStr">
        <is>
          <t>Abilities</t>
        </is>
      </c>
      <c r="C3503" s="76" t="inlineStr">
        <is>
          <t>Vibrava abilities</t>
        </is>
      </c>
      <c r="D3503" s="76" t="inlineStr">
        <is>
          <t>Levitate / Levitate / Levitate</t>
        </is>
      </c>
      <c r="E3503" s="76" t="inlineStr">
        <is>
          <t>Tinted Lens / Levitate / Levitate</t>
        </is>
      </c>
      <c r="F3503" s="76" t="inlineStr">
        <is>
          <t>Differs from upstream baseline</t>
        </is>
      </c>
      <c r="G3503" s="76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6" t="inlineStr">
        <is>
          <t>2026-10-01</t>
        </is>
      </c>
      <c r="B3505" s="76" t="inlineStr">
        <is>
          <t>Pokemon Stats</t>
        </is>
      </c>
      <c r="C3505" s="76" t="inlineStr">
        <is>
          <t>Victreebel baseSpDefense</t>
        </is>
      </c>
      <c r="D3505" s="76" t="n">
        <v>70</v>
      </c>
      <c r="E3505" s="76" t="n">
        <v>85</v>
      </c>
      <c r="F3505" s="76" t="inlineStr">
        <is>
          <t>Differs from upstream baseline</t>
        </is>
      </c>
      <c r="G3505" s="76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6" t="inlineStr">
        <is>
          <t>2026-10-01</t>
        </is>
      </c>
      <c r="B3507" s="76" t="inlineStr">
        <is>
          <t>Pokemon Stats</t>
        </is>
      </c>
      <c r="C3507" s="76" t="inlineStr">
        <is>
          <t>Volbeat baseDefense</t>
        </is>
      </c>
      <c r="D3507" s="76" t="n">
        <v>75</v>
      </c>
      <c r="E3507" s="76" t="n">
        <v>55</v>
      </c>
      <c r="F3507" s="76" t="inlineStr">
        <is>
          <t>Differs from upstream baseline</t>
        </is>
      </c>
      <c r="G3507" s="76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6" t="inlineStr">
        <is>
          <t>2026-10-01</t>
        </is>
      </c>
      <c r="B3509" s="76" t="inlineStr">
        <is>
          <t>Pokemon Stats</t>
        </is>
      </c>
      <c r="C3509" s="76" t="inlineStr">
        <is>
          <t>Volbeat baseSpDefense</t>
        </is>
      </c>
      <c r="D3509" s="76" t="n">
        <v>85</v>
      </c>
      <c r="E3509" s="76" t="n">
        <v>75</v>
      </c>
      <c r="F3509" s="76" t="inlineStr">
        <is>
          <t>Differs from upstream baseline</t>
        </is>
      </c>
      <c r="G3509" s="76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6" t="inlineStr">
        <is>
          <t>2026-10-01</t>
        </is>
      </c>
      <c r="B3511" s="76" t="inlineStr">
        <is>
          <t>Pokemon Stats</t>
        </is>
      </c>
      <c r="C3511" s="76" t="inlineStr">
        <is>
          <t>Volcarona baseAttack</t>
        </is>
      </c>
      <c r="D3511" s="76" t="n">
        <v>60</v>
      </c>
      <c r="E3511" s="76" t="n">
        <v>30</v>
      </c>
      <c r="F3511" s="76" t="inlineStr">
        <is>
          <t>Differs from upstream baseline</t>
        </is>
      </c>
      <c r="G3511" s="76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6" t="inlineStr">
        <is>
          <t>2026-10-01</t>
        </is>
      </c>
      <c r="B3513" s="76" t="inlineStr">
        <is>
          <t>Pokemon Stats</t>
        </is>
      </c>
      <c r="C3513" s="76" t="inlineStr">
        <is>
          <t>Volcarona baseSpeed</t>
        </is>
      </c>
      <c r="D3513" s="76" t="n">
        <v>100</v>
      </c>
      <c r="E3513" s="76" t="n">
        <v>114</v>
      </c>
      <c r="F3513" s="76" t="inlineStr">
        <is>
          <t>Differs from upstream baseline</t>
        </is>
      </c>
      <c r="G3513" s="76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6" t="inlineStr">
        <is>
          <t>2026-10-01</t>
        </is>
      </c>
      <c r="B3515" s="76" t="inlineStr">
        <is>
          <t>Evolutions</t>
        </is>
      </c>
      <c r="C3515" s="76" t="inlineStr">
        <is>
          <t>Vullaby evolution</t>
        </is>
      </c>
      <c r="D3515" s="76" t="inlineStr">
        <is>
          <t>Lv 54 -&gt; Mandibuzz</t>
        </is>
      </c>
      <c r="E3515" s="76" t="inlineStr">
        <is>
          <t>Lv 42 -&gt; Mandibuzz</t>
        </is>
      </c>
      <c r="F3515" s="76" t="inlineStr">
        <is>
          <t>Differs from upstream baseline</t>
        </is>
      </c>
      <c r="G3515" s="76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6" t="inlineStr">
        <is>
          <t>2026-10-01</t>
        </is>
      </c>
      <c r="B3517" s="76" t="inlineStr">
        <is>
          <t>Abilities</t>
        </is>
      </c>
      <c r="C3517" s="76" t="inlineStr">
        <is>
          <t>Vulpix abilities</t>
        </is>
      </c>
      <c r="D3517" s="76" t="inlineStr">
        <is>
          <t>Flash Fire / Drought</t>
        </is>
      </c>
      <c r="E3517" s="76" t="inlineStr">
        <is>
          <t>Flame Body / Magic Bounce</t>
        </is>
      </c>
      <c r="F3517" s="76" t="inlineStr">
        <is>
          <t>Differs from upstream baseline</t>
        </is>
      </c>
      <c r="G3517" s="76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6" t="inlineStr">
        <is>
          <t>2026-10-01</t>
        </is>
      </c>
      <c r="B3519" s="76" t="inlineStr">
        <is>
          <t>Pokemon Stats</t>
        </is>
      </c>
      <c r="C3519" s="76" t="inlineStr">
        <is>
          <t>Wailmer baseHP</t>
        </is>
      </c>
      <c r="D3519" s="76" t="n">
        <v>130</v>
      </c>
      <c r="E3519" s="76" t="n">
        <v>140</v>
      </c>
      <c r="F3519" s="76" t="inlineStr">
        <is>
          <t>Differs from upstream baseline</t>
        </is>
      </c>
      <c r="G3519" s="76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6" t="inlineStr">
        <is>
          <t>2026-10-01</t>
        </is>
      </c>
      <c r="B3521" s="76" t="inlineStr">
        <is>
          <t>Pokemon Stats</t>
        </is>
      </c>
      <c r="C3521" s="76" t="inlineStr">
        <is>
          <t>Wailmer baseSpDefense</t>
        </is>
      </c>
      <c r="D3521" s="76" t="n">
        <v>35</v>
      </c>
      <c r="E3521" s="76" t="n">
        <v>45</v>
      </c>
      <c r="F3521" s="76" t="inlineStr">
        <is>
          <t>Differs from upstream baseline</t>
        </is>
      </c>
      <c r="G3521" s="76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6" t="inlineStr">
        <is>
          <t>2026-10-01</t>
        </is>
      </c>
      <c r="B3523" s="76" t="inlineStr">
        <is>
          <t>Pokemon Stats</t>
        </is>
      </c>
      <c r="C3523" s="76" t="inlineStr">
        <is>
          <t>Wailord baseHP</t>
        </is>
      </c>
      <c r="D3523" s="76" t="n">
        <v>170</v>
      </c>
      <c r="E3523" s="76" t="n">
        <v>165</v>
      </c>
      <c r="F3523" s="76" t="inlineStr">
        <is>
          <t>Differs from upstream baseline</t>
        </is>
      </c>
      <c r="G3523" s="76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6" t="inlineStr">
        <is>
          <t>2026-10-01</t>
        </is>
      </c>
      <c r="B3525" s="76" t="inlineStr">
        <is>
          <t>Pokemon Stats</t>
        </is>
      </c>
      <c r="C3525" s="76" t="inlineStr">
        <is>
          <t>Wailord baseDefense</t>
        </is>
      </c>
      <c r="D3525" s="76" t="n">
        <v>45</v>
      </c>
      <c r="E3525" s="76" t="n">
        <v>65</v>
      </c>
      <c r="F3525" s="76" t="inlineStr">
        <is>
          <t>Differs from upstream baseline</t>
        </is>
      </c>
      <c r="G3525" s="76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6" t="inlineStr">
        <is>
          <t>2026-10-01</t>
        </is>
      </c>
      <c r="B3527" s="76" t="inlineStr">
        <is>
          <t>Pokemon Stats</t>
        </is>
      </c>
      <c r="C3527" s="76" t="inlineStr">
        <is>
          <t>Wailord baseSpDefense</t>
        </is>
      </c>
      <c r="D3527" s="76" t="n">
        <v>45</v>
      </c>
      <c r="E3527" s="76" t="n">
        <v>100</v>
      </c>
      <c r="F3527" s="76" t="inlineStr">
        <is>
          <t>Differs from upstream baseline</t>
        </is>
      </c>
      <c r="G3527" s="76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6" t="inlineStr">
        <is>
          <t>2026-10-01</t>
        </is>
      </c>
      <c r="B3529" s="76" t="inlineStr">
        <is>
          <t>Abilities</t>
        </is>
      </c>
      <c r="C3529" s="76" t="inlineStr">
        <is>
          <t>Wailord abilities</t>
        </is>
      </c>
      <c r="D3529" s="76" t="inlineStr">
        <is>
          <t>Water Veil / Oblivious / Pressure</t>
        </is>
      </c>
      <c r="E3529" s="76" t="inlineStr">
        <is>
          <t>Pressure / Pressure / Pressure</t>
        </is>
      </c>
      <c r="F3529" s="76" t="inlineStr">
        <is>
          <t>Differs from upstream baseline</t>
        </is>
      </c>
      <c r="G3529" s="76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6" t="inlineStr">
        <is>
          <t>2026-10-01</t>
        </is>
      </c>
      <c r="B3531" s="76" t="inlineStr">
        <is>
          <t>Abilities</t>
        </is>
      </c>
      <c r="C3531" s="76" t="inlineStr">
        <is>
          <t>Walrein abilities</t>
        </is>
      </c>
      <c r="D3531" s="76" t="inlineStr">
        <is>
          <t>Thick Fat / Ice Body / Oblivious</t>
        </is>
      </c>
      <c r="E3531" s="76" t="inlineStr">
        <is>
          <t>Filter / Ice Body / Oblivious</t>
        </is>
      </c>
      <c r="F3531" s="76" t="inlineStr">
        <is>
          <t>Differs from upstream baseline</t>
        </is>
      </c>
      <c r="G3531" s="76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6" t="inlineStr">
        <is>
          <t>2026-10-01</t>
        </is>
      </c>
      <c r="B3533" s="76" t="inlineStr">
        <is>
          <t>Pokemon Stats</t>
        </is>
      </c>
      <c r="C3533" s="76" t="inlineStr">
        <is>
          <t>Watchog baseHP</t>
        </is>
      </c>
      <c r="D3533" s="76" t="n">
        <v>60</v>
      </c>
      <c r="E3533" s="76" t="n">
        <v>82</v>
      </c>
      <c r="F3533" s="76" t="inlineStr">
        <is>
          <t>Differs from upstream baseline</t>
        </is>
      </c>
      <c r="G3533" s="76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6" t="inlineStr">
        <is>
          <t>2026-10-01</t>
        </is>
      </c>
      <c r="B3535" s="76" t="inlineStr">
        <is>
          <t>Pokemon Stats</t>
        </is>
      </c>
      <c r="C3535" s="76" t="inlineStr">
        <is>
          <t>Watchog baseDefense</t>
        </is>
      </c>
      <c r="D3535" s="76" t="n">
        <v>69</v>
      </c>
      <c r="E3535" s="76" t="n">
        <v>79</v>
      </c>
      <c r="F3535" s="76" t="inlineStr">
        <is>
          <t>Differs from upstream baseline</t>
        </is>
      </c>
      <c r="G3535" s="76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6" t="inlineStr">
        <is>
          <t>2026-10-01</t>
        </is>
      </c>
      <c r="B3537" s="76" t="inlineStr">
        <is>
          <t>Pokemon Stats</t>
        </is>
      </c>
      <c r="C3537" s="76" t="inlineStr">
        <is>
          <t>Watchog baseSpDefense</t>
        </is>
      </c>
      <c r="D3537" s="76" t="n">
        <v>69</v>
      </c>
      <c r="E3537" s="76" t="n">
        <v>82</v>
      </c>
      <c r="F3537" s="76" t="inlineStr">
        <is>
          <t>Differs from upstream baseline</t>
        </is>
      </c>
      <c r="G3537" s="76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6" t="inlineStr">
        <is>
          <t>2026-10-01</t>
        </is>
      </c>
      <c r="B3539" s="76" t="inlineStr">
        <is>
          <t>Abilities</t>
        </is>
      </c>
      <c r="C3539" s="76" t="inlineStr">
        <is>
          <t>Watchog abilities</t>
        </is>
      </c>
      <c r="D3539" s="76" t="inlineStr">
        <is>
          <t>Illuminate / Keen Eye / Analytic</t>
        </is>
      </c>
      <c r="E3539" s="76" t="inlineStr">
        <is>
          <t>Stakeout / Keen Eye / Analytic</t>
        </is>
      </c>
      <c r="F3539" s="76" t="inlineStr">
        <is>
          <t>Differs from upstream baseline</t>
        </is>
      </c>
      <c r="G3539" s="76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6" t="inlineStr">
        <is>
          <t>2026-10-01</t>
        </is>
      </c>
      <c r="B3541" s="76" t="inlineStr">
        <is>
          <t>Pokemon Stats</t>
        </is>
      </c>
      <c r="C3541" s="76" t="inlineStr">
        <is>
          <t>Weezing baseSpAttack</t>
        </is>
      </c>
      <c r="D3541" s="76" t="n">
        <v>85</v>
      </c>
      <c r="E3541" s="76" t="n">
        <v>90</v>
      </c>
      <c r="F3541" s="76" t="inlineStr">
        <is>
          <t>Differs from upstream baseline</t>
        </is>
      </c>
      <c r="G3541" s="76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6" t="inlineStr">
        <is>
          <t>2026-10-01</t>
        </is>
      </c>
      <c r="B3543" s="76" t="inlineStr">
        <is>
          <t>Abilities</t>
        </is>
      </c>
      <c r="C3543" s="76" t="inlineStr">
        <is>
          <t>Weezing abilities</t>
        </is>
      </c>
      <c r="D3543" s="76" t="inlineStr">
        <is>
          <t>Levitate / Neutralizing Gas / Stench</t>
        </is>
      </c>
      <c r="E3543" s="76" t="inlineStr">
        <is>
          <t>Levitate / Stench</t>
        </is>
      </c>
      <c r="F3543" s="76" t="inlineStr">
        <is>
          <t>Differs from upstream baseline</t>
        </is>
      </c>
      <c r="G3543" s="76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6" t="inlineStr">
        <is>
          <t>2026-10-01</t>
        </is>
      </c>
      <c r="B3545" s="76" t="inlineStr">
        <is>
          <t>Pokemon Stats</t>
        </is>
      </c>
      <c r="C3545" s="76" t="inlineStr">
        <is>
          <t>Whirlipede baseHP</t>
        </is>
      </c>
      <c r="D3545" s="76" t="n">
        <v>40</v>
      </c>
      <c r="E3545" s="76" t="n">
        <v>48</v>
      </c>
      <c r="F3545" s="76" t="inlineStr">
        <is>
          <t>Differs from upstream baseline</t>
        </is>
      </c>
      <c r="G3545" s="76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6" t="inlineStr">
        <is>
          <t>2026-10-01</t>
        </is>
      </c>
      <c r="B3547" s="76" t="inlineStr">
        <is>
          <t>Pokemon Stats</t>
        </is>
      </c>
      <c r="C3547" s="76" t="inlineStr">
        <is>
          <t>Whirlipede baseSpAttack</t>
        </is>
      </c>
      <c r="D3547" s="76" t="n">
        <v>40</v>
      </c>
      <c r="E3547" s="76" t="n">
        <v>42</v>
      </c>
      <c r="F3547" s="76" t="inlineStr">
        <is>
          <t>Differs from upstream baseline</t>
        </is>
      </c>
      <c r="G3547" s="76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6" t="inlineStr">
        <is>
          <t>2026-10-01</t>
        </is>
      </c>
      <c r="B3549" s="76" t="inlineStr">
        <is>
          <t>Abilities</t>
        </is>
      </c>
      <c r="C3549" s="76" t="inlineStr">
        <is>
          <t>Whiscash abilities</t>
        </is>
      </c>
      <c r="D3549" s="76" t="inlineStr">
        <is>
          <t>Oblivious / Anticipation / Hydration</t>
        </is>
      </c>
      <c r="E3549" s="76" t="inlineStr">
        <is>
          <t>Hydration / Swift Swim / Hydration</t>
        </is>
      </c>
      <c r="F3549" s="76" t="inlineStr">
        <is>
          <t>Differs from upstream baseline</t>
        </is>
      </c>
      <c r="G3549" s="76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6" t="inlineStr">
        <is>
          <t>2026-10-01</t>
        </is>
      </c>
      <c r="B3551" s="76" t="inlineStr">
        <is>
          <t>Pokemon Stats</t>
        </is>
      </c>
      <c r="C3551" s="76" t="inlineStr">
        <is>
          <t>Wigglytuff baseAttack</t>
        </is>
      </c>
      <c r="D3551" s="76" t="n">
        <v>70</v>
      </c>
      <c r="E3551" s="76" t="n">
        <v>80</v>
      </c>
      <c r="F3551" s="76" t="inlineStr">
        <is>
          <t>Differs from upstream baseline</t>
        </is>
      </c>
      <c r="G3551" s="76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6" t="inlineStr">
        <is>
          <t>2026-10-01</t>
        </is>
      </c>
      <c r="B3553" s="76" t="inlineStr">
        <is>
          <t>Pokemon Stats</t>
        </is>
      </c>
      <c r="C3553" s="76" t="inlineStr">
        <is>
          <t>Wigglytuff baseSpDefense</t>
        </is>
      </c>
      <c r="D3553" s="76" t="n">
        <v>50</v>
      </c>
      <c r="E3553" s="76" t="n">
        <v>70</v>
      </c>
      <c r="F3553" s="76" t="inlineStr">
        <is>
          <t>Differs from upstream baseline</t>
        </is>
      </c>
      <c r="G3553" s="76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6" t="inlineStr">
        <is>
          <t>2026-10-01</t>
        </is>
      </c>
      <c r="B3555" s="76" t="inlineStr">
        <is>
          <t>Abilities</t>
        </is>
      </c>
      <c r="C3555" s="76" t="inlineStr">
        <is>
          <t>Wingull abilities</t>
        </is>
      </c>
      <c r="D3555" s="76" t="inlineStr">
        <is>
          <t>Keen Eye / Hydration / Rain Dish</t>
        </is>
      </c>
      <c r="E3555" s="76" t="inlineStr">
        <is>
          <t>Gluttony / Rain Dish</t>
        </is>
      </c>
      <c r="F3555" s="76" t="inlineStr">
        <is>
          <t>Differs from upstream baseline</t>
        </is>
      </c>
      <c r="G3555" s="76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6" t="inlineStr">
        <is>
          <t>2026-10-01</t>
        </is>
      </c>
      <c r="B3557" s="76" t="inlineStr">
        <is>
          <t>Abilities</t>
        </is>
      </c>
      <c r="C3557" s="76" t="inlineStr">
        <is>
          <t>Wooper abilities</t>
        </is>
      </c>
      <c r="D3557" s="76" t="inlineStr">
        <is>
          <t>Damp / Water Absorb / Unaware</t>
        </is>
      </c>
      <c r="E3557" s="76" t="inlineStr">
        <is>
          <t>Water Absorb / Water Absorb / Unaware</t>
        </is>
      </c>
      <c r="F3557" s="76" t="inlineStr">
        <is>
          <t>Differs from upstream baseline</t>
        </is>
      </c>
      <c r="G3557" s="76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6" t="inlineStr">
        <is>
          <t>2026-10-01</t>
        </is>
      </c>
      <c r="B3559" s="76" t="inlineStr">
        <is>
          <t>Pokemon Stats</t>
        </is>
      </c>
      <c r="C3559" s="76" t="inlineStr">
        <is>
          <t>Wormadam baseAttack</t>
        </is>
      </c>
      <c r="D3559" s="76" t="n">
        <v>59</v>
      </c>
      <c r="E3559" s="76" t="n">
        <v>79</v>
      </c>
      <c r="F3559" s="76" t="inlineStr">
        <is>
          <t>Differs from upstream baseline</t>
        </is>
      </c>
      <c r="G3559" s="76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6" t="inlineStr">
        <is>
          <t>2026-10-01</t>
        </is>
      </c>
      <c r="B3561" s="76" t="inlineStr">
        <is>
          <t>Abilities</t>
        </is>
      </c>
      <c r="C3561" s="76" t="inlineStr">
        <is>
          <t>Wurmple abilities</t>
        </is>
      </c>
      <c r="D3561" s="76" t="inlineStr">
        <is>
          <t>Shield Dust / Run Away</t>
        </is>
      </c>
      <c r="E3561" s="76" t="inlineStr">
        <is>
          <t>Shield Dust / Shield Dust / Run Away</t>
        </is>
      </c>
      <c r="F3561" s="76" t="inlineStr">
        <is>
          <t>Differs from upstream baseline</t>
        </is>
      </c>
      <c r="G3561" s="76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6" t="inlineStr">
        <is>
          <t>2026-10-01</t>
        </is>
      </c>
      <c r="B3563" s="76" t="inlineStr">
        <is>
          <t>Abilities</t>
        </is>
      </c>
      <c r="C3563" s="76" t="inlineStr">
        <is>
          <t>Xatu abilities</t>
        </is>
      </c>
      <c r="D3563" s="76" t="inlineStr">
        <is>
          <t>Synchronize / Early Bird / Magic Bounce</t>
        </is>
      </c>
      <c r="E3563" s="76" t="inlineStr">
        <is>
          <t>Magic Guard / Magic Guard / Magic Bounce</t>
        </is>
      </c>
      <c r="F3563" s="76" t="inlineStr">
        <is>
          <t>Differs from upstream baseline</t>
        </is>
      </c>
      <c r="G3563" s="76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6" t="inlineStr">
        <is>
          <t>2026-10-01</t>
        </is>
      </c>
      <c r="B3565" s="76" t="inlineStr">
        <is>
          <t>Pokemon Stats</t>
        </is>
      </c>
      <c r="C3565" s="76" t="inlineStr">
        <is>
          <t>Yamask baseSpeed</t>
        </is>
      </c>
      <c r="D3565" s="76" t="n">
        <v>30</v>
      </c>
      <c r="E3565" s="76" t="n">
        <v>31</v>
      </c>
      <c r="F3565" s="76" t="inlineStr">
        <is>
          <t>Differs from upstream baseline</t>
        </is>
      </c>
      <c r="G3565" s="76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6" t="inlineStr">
        <is>
          <t>2026-10-01</t>
        </is>
      </c>
      <c r="B3567" s="76" t="inlineStr">
        <is>
          <t>Abilities</t>
        </is>
      </c>
      <c r="C3567" s="76" t="inlineStr">
        <is>
          <t>Zangoose abilities</t>
        </is>
      </c>
      <c r="D3567" s="76" t="inlineStr">
        <is>
          <t>Immunity / Toxic Boost</t>
        </is>
      </c>
      <c r="E3567" s="76" t="inlineStr">
        <is>
          <t>Hyper Cutter / Immunity / Toxic Boost</t>
        </is>
      </c>
      <c r="F3567" s="76" t="inlineStr">
        <is>
          <t>Differs from upstream baseline</t>
        </is>
      </c>
      <c r="G3567" s="76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6" t="inlineStr">
        <is>
          <t>2026-10-01</t>
        </is>
      </c>
      <c r="B3569" s="76" t="inlineStr">
        <is>
          <t>Abilities</t>
        </is>
      </c>
      <c r="C3569" s="76" t="inlineStr">
        <is>
          <t>Zapdos abilities</t>
        </is>
      </c>
      <c r="D3569" s="76" t="inlineStr">
        <is>
          <t>Pressure / Static</t>
        </is>
      </c>
      <c r="E3569" s="76" t="inlineStr">
        <is>
          <t>Pressure / Pressure / Static</t>
        </is>
      </c>
      <c r="F3569" s="76" t="inlineStr">
        <is>
          <t>Differs from upstream baseline</t>
        </is>
      </c>
      <c r="G3569" s="76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6" t="inlineStr">
        <is>
          <t>2026-10-01</t>
        </is>
      </c>
      <c r="B3571" s="76" t="inlineStr">
        <is>
          <t>Pokemon Stats</t>
        </is>
      </c>
      <c r="C3571" s="76" t="inlineStr">
        <is>
          <t>Zebstrika baseSpeed</t>
        </is>
      </c>
      <c r="D3571" s="76" t="n">
        <v>116</v>
      </c>
      <c r="E3571" s="76" t="n">
        <v>121</v>
      </c>
      <c r="F3571" s="76" t="inlineStr">
        <is>
          <t>Differs from upstream baseline</t>
        </is>
      </c>
      <c r="G3571" s="76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6" t="inlineStr">
        <is>
          <t>2026-10-01</t>
        </is>
      </c>
      <c r="B3573" s="76" t="inlineStr">
        <is>
          <t>Abilities</t>
        </is>
      </c>
      <c r="C3573" s="76" t="inlineStr">
        <is>
          <t>Zigzagoon abilities</t>
        </is>
      </c>
      <c r="D3573" s="76" t="inlineStr">
        <is>
          <t>Pickup / Gluttony / Quick Feet</t>
        </is>
      </c>
      <c r="E3573" s="76" t="inlineStr">
        <is>
          <t>Gluttony / Gluttony / Quick Feet</t>
        </is>
      </c>
      <c r="F3573" s="76" t="inlineStr">
        <is>
          <t>Differs from upstream baseline</t>
        </is>
      </c>
      <c r="G3573" s="76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6" t="inlineStr">
        <is>
          <t>2026-10-01</t>
        </is>
      </c>
      <c r="B3575" s="76" t="inlineStr">
        <is>
          <t>Pokemon Stats</t>
        </is>
      </c>
      <c r="C3575" s="76" t="inlineStr">
        <is>
          <t>Zoroark baseSpAttack</t>
        </is>
      </c>
      <c r="D3575" s="76" t="n">
        <v>120</v>
      </c>
      <c r="E3575" s="76" t="n">
        <v>125</v>
      </c>
      <c r="F3575" s="76" t="inlineStr">
        <is>
          <t>Differs from upstream baseline</t>
        </is>
      </c>
      <c r="G3575" s="76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6" t="inlineStr">
        <is>
          <t>2026-10-01</t>
        </is>
      </c>
      <c r="B3577" s="76" t="inlineStr">
        <is>
          <t>Evolutions</t>
        </is>
      </c>
      <c r="C3577" s="76" t="inlineStr">
        <is>
          <t>Zweilous evolution</t>
        </is>
      </c>
      <c r="D3577" s="76" t="inlineStr">
        <is>
          <t>Lv 64 -&gt; Hydreigon</t>
        </is>
      </c>
      <c r="E3577" s="76" t="inlineStr">
        <is>
          <t>Lv 56 -&gt; Hydreigon</t>
        </is>
      </c>
      <c r="F3577" s="76" t="inlineStr">
        <is>
          <t>Differs from upstream baseline</t>
        </is>
      </c>
      <c r="G3577" s="76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6" t="inlineStr">
        <is>
          <t>2026-10-01</t>
        </is>
      </c>
      <c r="B3579" s="76" t="inlineStr">
        <is>
          <t>Pokemon Stats</t>
        </is>
      </c>
      <c r="C3579" s="76" t="inlineStr">
        <is>
          <t>Zygarde baseSpAttack</t>
        </is>
      </c>
      <c r="D3579" s="76" t="n">
        <v>61</v>
      </c>
      <c r="E3579" s="76" t="n">
        <v>30</v>
      </c>
      <c r="F3579" s="76" t="inlineStr">
        <is>
          <t>Differs from upstream baseline</t>
        </is>
      </c>
      <c r="G3579" s="76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6" t="inlineStr">
        <is>
          <t>2026-10-01</t>
        </is>
      </c>
      <c r="B3581" s="76" t="inlineStr">
        <is>
          <t>Moves</t>
        </is>
      </c>
      <c r="C3581" s="76" t="inlineStr">
        <is>
          <t>Absorb power</t>
        </is>
      </c>
      <c r="D3581" s="76" t="n">
        <v>20</v>
      </c>
      <c r="E3581" s="76" t="n">
        <v>60</v>
      </c>
      <c r="F3581" s="76" t="inlineStr">
        <is>
          <t>Differs from upstream baseline</t>
        </is>
      </c>
      <c r="G3581" s="76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6" t="inlineStr">
        <is>
          <t>2026-10-01</t>
        </is>
      </c>
      <c r="B3583" s="76" t="inlineStr">
        <is>
          <t>Moves</t>
        </is>
      </c>
      <c r="C3583" s="76" t="inlineStr">
        <is>
          <t>Acid Armor pp</t>
        </is>
      </c>
      <c r="D3583" s="76" t="n">
        <v>20</v>
      </c>
      <c r="E3583" s="76" t="n">
        <v>1</v>
      </c>
      <c r="F3583" s="76" t="inlineStr">
        <is>
          <t>Differs from upstream baseline</t>
        </is>
      </c>
      <c r="G3583" s="76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6" t="inlineStr">
        <is>
          <t>2026-10-01</t>
        </is>
      </c>
      <c r="B3585" s="76" t="inlineStr">
        <is>
          <t>Moves</t>
        </is>
      </c>
      <c r="C3585" s="76" t="inlineStr">
        <is>
          <t>Aeroblast power</t>
        </is>
      </c>
      <c r="D3585" s="76" t="n">
        <v>100</v>
      </c>
      <c r="E3585" s="76" t="n">
        <v>120</v>
      </c>
      <c r="F3585" s="76" t="inlineStr">
        <is>
          <t>Differs from upstream baseline</t>
        </is>
      </c>
      <c r="G3585" s="76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6" t="inlineStr">
        <is>
          <t>2026-10-01</t>
        </is>
      </c>
      <c r="B3587" s="76" t="inlineStr">
        <is>
          <t>Moves</t>
        </is>
      </c>
      <c r="C3587" s="76" t="inlineStr">
        <is>
          <t>Agility pp</t>
        </is>
      </c>
      <c r="D3587" s="76" t="n">
        <v>30</v>
      </c>
      <c r="E3587" s="76" t="n">
        <v>1</v>
      </c>
      <c r="F3587" s="76" t="inlineStr">
        <is>
          <t>Differs from upstream baseline</t>
        </is>
      </c>
      <c r="G3587" s="76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6" t="inlineStr">
        <is>
          <t>2026-10-01</t>
        </is>
      </c>
      <c r="B3589" s="76" t="inlineStr">
        <is>
          <t>Moves</t>
        </is>
      </c>
      <c r="C3589" s="76" t="inlineStr">
        <is>
          <t>Air Slash accuracy</t>
        </is>
      </c>
      <c r="D3589" s="76" t="n">
        <v>95</v>
      </c>
      <c r="E3589" s="76" t="n">
        <v>100</v>
      </c>
      <c r="F3589" s="76" t="inlineStr">
        <is>
          <t>Differs from upstream baseline</t>
        </is>
      </c>
      <c r="G3589" s="76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6" t="inlineStr">
        <is>
          <t>2026-10-01</t>
        </is>
      </c>
      <c r="B3591" s="76" t="inlineStr">
        <is>
          <t>Moves</t>
        </is>
      </c>
      <c r="C3591" s="76" t="inlineStr">
        <is>
          <t>Amnesia pp</t>
        </is>
      </c>
      <c r="D3591" s="76" t="n">
        <v>20</v>
      </c>
      <c r="E3591" s="76" t="n">
        <v>3</v>
      </c>
      <c r="F3591" s="76" t="inlineStr">
        <is>
          <t>Differs from upstream baseline</t>
        </is>
      </c>
      <c r="G3591" s="76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6" t="inlineStr">
        <is>
          <t>2026-10-01</t>
        </is>
      </c>
      <c r="B3593" s="76" t="inlineStr">
        <is>
          <t>Moves</t>
        </is>
      </c>
      <c r="C3593" s="76" t="inlineStr">
        <is>
          <t>Ancient Power pp</t>
        </is>
      </c>
      <c r="D3593" s="76" t="n">
        <v>5</v>
      </c>
      <c r="E3593" s="76" t="n">
        <v>10</v>
      </c>
      <c r="F3593" s="76" t="inlineStr">
        <is>
          <t>Differs from upstream baseline</t>
        </is>
      </c>
      <c r="G3593" s="76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6" t="inlineStr">
        <is>
          <t>2026-10-01</t>
        </is>
      </c>
      <c r="B3595" s="76" t="inlineStr">
        <is>
          <t>Moves</t>
        </is>
      </c>
      <c r="C3595" s="76" t="inlineStr">
        <is>
          <t>Aqua Jet pp</t>
        </is>
      </c>
      <c r="D3595" s="76" t="n">
        <v>20</v>
      </c>
      <c r="E3595" s="76" t="n">
        <v>5</v>
      </c>
      <c r="F3595" s="76" t="inlineStr">
        <is>
          <t>Differs from upstream baseline</t>
        </is>
      </c>
      <c r="G3595" s="76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6" t="inlineStr">
        <is>
          <t>2026-10-01</t>
        </is>
      </c>
      <c r="B3597" s="76" t="inlineStr">
        <is>
          <t>Moves</t>
        </is>
      </c>
      <c r="C3597" s="76" t="inlineStr">
        <is>
          <t>Aqua Tail accuracy</t>
        </is>
      </c>
      <c r="D3597" s="76" t="n">
        <v>90</v>
      </c>
      <c r="E3597" s="76" t="n">
        <v>85</v>
      </c>
      <c r="F3597" s="76" t="inlineStr">
        <is>
          <t>Differs from upstream baseline</t>
        </is>
      </c>
      <c r="G3597" s="76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6" t="inlineStr">
        <is>
          <t>2026-10-01</t>
        </is>
      </c>
      <c r="B3599" s="76" t="inlineStr">
        <is>
          <t>Moves</t>
        </is>
      </c>
      <c r="C3599" s="76" t="inlineStr">
        <is>
          <t>Aromatherapy pp</t>
        </is>
      </c>
      <c r="D3599" s="76" t="n">
        <v>5</v>
      </c>
      <c r="E3599" s="76" t="n">
        <v>1</v>
      </c>
      <c r="F3599" s="76" t="inlineStr">
        <is>
          <t>Differs from upstream baseline</t>
        </is>
      </c>
      <c r="G3599" s="76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6" t="inlineStr">
        <is>
          <t>2026-10-01</t>
        </is>
      </c>
      <c r="B3601" s="76" t="inlineStr">
        <is>
          <t>Moves</t>
        </is>
      </c>
      <c r="C3601" s="76" t="inlineStr">
        <is>
          <t>Assist pp</t>
        </is>
      </c>
      <c r="D3601" s="76" t="n">
        <v>20</v>
      </c>
      <c r="E3601" s="76" t="n">
        <v>35</v>
      </c>
      <c r="F3601" s="76" t="inlineStr">
        <is>
          <t>Differs from upstream baseline</t>
        </is>
      </c>
      <c r="G3601" s="76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6" t="inlineStr">
        <is>
          <t>2026-10-01</t>
        </is>
      </c>
      <c r="B3603" s="76" t="inlineStr">
        <is>
          <t>Moves</t>
        </is>
      </c>
      <c r="C3603" s="76" t="inlineStr">
        <is>
          <t>Astonish power</t>
        </is>
      </c>
      <c r="D3603" s="76" t="n">
        <v>30</v>
      </c>
      <c r="E3603" s="76" t="n">
        <v>40</v>
      </c>
      <c r="F3603" s="76" t="inlineStr">
        <is>
          <t>Differs from upstream baseline</t>
        </is>
      </c>
      <c r="G3603" s="76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6" t="inlineStr">
        <is>
          <t>2026-10-01</t>
        </is>
      </c>
      <c r="B3605" s="76" t="inlineStr">
        <is>
          <t>Moves</t>
        </is>
      </c>
      <c r="C3605" s="76" t="inlineStr">
        <is>
          <t>Aura Sphere power</t>
        </is>
      </c>
      <c r="D3605" s="76" t="n">
        <v>80</v>
      </c>
      <c r="E3605" s="76" t="n">
        <v>90</v>
      </c>
      <c r="F3605" s="76" t="inlineStr">
        <is>
          <t>Differs from upstream baseline</t>
        </is>
      </c>
      <c r="G3605" s="76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6" t="inlineStr">
        <is>
          <t>2026-10-01</t>
        </is>
      </c>
      <c r="B3607" s="76" t="inlineStr">
        <is>
          <t>Moves</t>
        </is>
      </c>
      <c r="C3607" s="76" t="inlineStr">
        <is>
          <t>Aurora Beam power</t>
        </is>
      </c>
      <c r="D3607" s="76" t="n">
        <v>65</v>
      </c>
      <c r="E3607" s="76" t="n">
        <v>60</v>
      </c>
      <c r="F3607" s="76" t="inlineStr">
        <is>
          <t>Differs from upstream baseline</t>
        </is>
      </c>
      <c r="G3607" s="76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6" t="inlineStr">
        <is>
          <t>2026-10-01</t>
        </is>
      </c>
      <c r="B3609" s="76" t="inlineStr">
        <is>
          <t>Moves</t>
        </is>
      </c>
      <c r="C3609" s="76" t="inlineStr">
        <is>
          <t>Autotomize pp</t>
        </is>
      </c>
      <c r="D3609" s="76" t="n">
        <v>15</v>
      </c>
      <c r="E3609" s="76" t="n">
        <v>10</v>
      </c>
      <c r="F3609" s="76" t="inlineStr">
        <is>
          <t>Differs from upstream baseline</t>
        </is>
      </c>
      <c r="G3609" s="76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6" t="inlineStr">
        <is>
          <t>2026-10-01</t>
        </is>
      </c>
      <c r="B3611" s="76" t="inlineStr">
        <is>
          <t>Moves</t>
        </is>
      </c>
      <c r="C3611" s="76" t="inlineStr">
        <is>
          <t>Baby-Doll Eyes pp</t>
        </is>
      </c>
      <c r="D3611" s="76" t="n">
        <v>30</v>
      </c>
      <c r="E3611" s="76" t="n">
        <v>20</v>
      </c>
      <c r="F3611" s="76" t="inlineStr">
        <is>
          <t>Differs from upstream baseline</t>
        </is>
      </c>
      <c r="G3611" s="76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6" t="inlineStr">
        <is>
          <t>2026-10-01</t>
        </is>
      </c>
      <c r="B3613" s="76" t="inlineStr">
        <is>
          <t>Moves</t>
        </is>
      </c>
      <c r="C3613" s="76" t="inlineStr">
        <is>
          <t>Barrage accuracy</t>
        </is>
      </c>
      <c r="D3613" s="76" t="n">
        <v>85</v>
      </c>
      <c r="E3613" s="76" t="n">
        <v>100</v>
      </c>
      <c r="F3613" s="76" t="inlineStr">
        <is>
          <t>Differs from upstream baseline</t>
        </is>
      </c>
      <c r="G3613" s="76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6" t="inlineStr">
        <is>
          <t>2026-10-01</t>
        </is>
      </c>
      <c r="B3615" s="76" t="inlineStr">
        <is>
          <t>Moves</t>
        </is>
      </c>
      <c r="C3615" s="76" t="inlineStr">
        <is>
          <t>Beat Up power</t>
        </is>
      </c>
      <c r="D3615" s="76" t="n">
        <v>1</v>
      </c>
      <c r="E3615" s="76" t="n">
        <v>30</v>
      </c>
      <c r="F3615" s="76" t="inlineStr">
        <is>
          <t>Differs from upstream baseline</t>
        </is>
      </c>
      <c r="G3615" s="76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6" t="inlineStr">
        <is>
          <t>2026-10-01</t>
        </is>
      </c>
      <c r="B3617" s="76" t="inlineStr">
        <is>
          <t>Moves</t>
        </is>
      </c>
      <c r="C3617" s="76" t="inlineStr">
        <is>
          <t>Belly Drum pp</t>
        </is>
      </c>
      <c r="D3617" s="76" t="n">
        <v>10</v>
      </c>
      <c r="E3617" s="76" t="n">
        <v>1</v>
      </c>
      <c r="F3617" s="76" t="inlineStr">
        <is>
          <t>Differs from upstream baseline</t>
        </is>
      </c>
      <c r="G3617" s="76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6" t="inlineStr">
        <is>
          <t>2026-10-01</t>
        </is>
      </c>
      <c r="B3619" s="76" t="inlineStr">
        <is>
          <t>Moves</t>
        </is>
      </c>
      <c r="C3619" s="76" t="inlineStr">
        <is>
          <t>Bind power</t>
        </is>
      </c>
      <c r="D3619" s="76" t="n">
        <v>15</v>
      </c>
      <c r="E3619" s="76" t="n">
        <v>20</v>
      </c>
      <c r="F3619" s="76" t="inlineStr">
        <is>
          <t>Differs from upstream baseline</t>
        </is>
      </c>
      <c r="G3619" s="76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6" t="inlineStr">
        <is>
          <t>2026-10-01</t>
        </is>
      </c>
      <c r="B3621" s="76" t="inlineStr">
        <is>
          <t>Moves</t>
        </is>
      </c>
      <c r="C3621" s="76" t="inlineStr">
        <is>
          <t>Blast Burn accuracy</t>
        </is>
      </c>
      <c r="D3621" s="76" t="n">
        <v>90</v>
      </c>
      <c r="E3621" s="76" t="n">
        <v>95</v>
      </c>
      <c r="F3621" s="76" t="inlineStr">
        <is>
          <t>Differs from upstream baseline</t>
        </is>
      </c>
      <c r="G3621" s="76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6" t="inlineStr">
        <is>
          <t>2026-10-01</t>
        </is>
      </c>
      <c r="B3623" s="76" t="inlineStr">
        <is>
          <t>Moves</t>
        </is>
      </c>
      <c r="C3623" s="76" t="inlineStr">
        <is>
          <t>Blaze Kick accuracy</t>
        </is>
      </c>
      <c r="D3623" s="76" t="n">
        <v>90</v>
      </c>
      <c r="E3623" s="76" t="n">
        <v>100</v>
      </c>
      <c r="F3623" s="76" t="inlineStr">
        <is>
          <t>Differs from upstream baseline</t>
        </is>
      </c>
      <c r="G3623" s="76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6" t="inlineStr">
        <is>
          <t>2026-10-01</t>
        </is>
      </c>
      <c r="B3625" s="76" t="inlineStr">
        <is>
          <t>Moves</t>
        </is>
      </c>
      <c r="C3625" s="76" t="inlineStr">
        <is>
          <t>Body Slam power</t>
        </is>
      </c>
      <c r="D3625" s="76" t="n">
        <v>85</v>
      </c>
      <c r="E3625" s="76" t="n">
        <v>90</v>
      </c>
      <c r="F3625" s="76" t="inlineStr">
        <is>
          <t>Differs from upstream baseline</t>
        </is>
      </c>
      <c r="G3625" s="76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6" t="inlineStr">
        <is>
          <t>2026-10-01</t>
        </is>
      </c>
      <c r="B3627" s="76" t="inlineStr">
        <is>
          <t>Moves</t>
        </is>
      </c>
      <c r="C3627" s="76" t="inlineStr">
        <is>
          <t>Bonemerang accuracy</t>
        </is>
      </c>
      <c r="D3627" s="76" t="n">
        <v>90</v>
      </c>
      <c r="E3627" s="76" t="n">
        <v>100</v>
      </c>
      <c r="F3627" s="76" t="inlineStr">
        <is>
          <t>Differs from upstream baseline</t>
        </is>
      </c>
      <c r="G3627" s="76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6" t="inlineStr">
        <is>
          <t>2026-10-01</t>
        </is>
      </c>
      <c r="B3629" s="76" t="inlineStr">
        <is>
          <t>Moves</t>
        </is>
      </c>
      <c r="C3629" s="76" t="inlineStr">
        <is>
          <t>Bone Club accuracy</t>
        </is>
      </c>
      <c r="D3629" s="76" t="n">
        <v>85</v>
      </c>
      <c r="E3629" s="76" t="n">
        <v>100</v>
      </c>
      <c r="F3629" s="76" t="inlineStr">
        <is>
          <t>Differs from upstream baseline</t>
        </is>
      </c>
      <c r="G3629" s="76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6" t="inlineStr">
        <is>
          <t>2026-10-01</t>
        </is>
      </c>
      <c r="B3631" s="76" t="inlineStr">
        <is>
          <t>Moves</t>
        </is>
      </c>
      <c r="C3631" s="76" t="inlineStr">
        <is>
          <t>Bone Rush accuracy</t>
        </is>
      </c>
      <c r="D3631" s="76" t="n">
        <v>90</v>
      </c>
      <c r="E3631" s="76" t="n">
        <v>100</v>
      </c>
      <c r="F3631" s="76" t="inlineStr">
        <is>
          <t>Differs from upstream baseline</t>
        </is>
      </c>
      <c r="G3631" s="76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6" t="inlineStr">
        <is>
          <t>2026-10-01</t>
        </is>
      </c>
      <c r="B3633" s="76" t="inlineStr">
        <is>
          <t>Moves</t>
        </is>
      </c>
      <c r="C3633" s="76" t="inlineStr">
        <is>
          <t>Bulk Up pp</t>
        </is>
      </c>
      <c r="D3633" s="76" t="n">
        <v>20</v>
      </c>
      <c r="E3633" s="76" t="n">
        <v>3</v>
      </c>
      <c r="F3633" s="76" t="inlineStr">
        <is>
          <t>Differs from upstream baseline</t>
        </is>
      </c>
      <c r="G3633" s="76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6" t="inlineStr">
        <is>
          <t>2026-10-01</t>
        </is>
      </c>
      <c r="B3635" s="76" t="inlineStr">
        <is>
          <t>Moves</t>
        </is>
      </c>
      <c r="C3635" s="76" t="inlineStr">
        <is>
          <t>Bullet Punch pp</t>
        </is>
      </c>
      <c r="D3635" s="76" t="n">
        <v>30</v>
      </c>
      <c r="E3635" s="76" t="n">
        <v>10</v>
      </c>
      <c r="F3635" s="76" t="inlineStr">
        <is>
          <t>Differs from upstream baseline</t>
        </is>
      </c>
      <c r="G3635" s="76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6" t="inlineStr">
        <is>
          <t>2026-10-01</t>
        </is>
      </c>
      <c r="B3637" s="76" t="inlineStr">
        <is>
          <t>Moves</t>
        </is>
      </c>
      <c r="C3637" s="76" t="inlineStr">
        <is>
          <t>Camouflage accuracy</t>
        </is>
      </c>
      <c r="D3637" s="76" t="n">
        <v>100</v>
      </c>
      <c r="E3637" s="76" t="n">
        <v>0</v>
      </c>
      <c r="F3637" s="76" t="inlineStr">
        <is>
          <t>Differs from upstream baseline</t>
        </is>
      </c>
      <c r="G3637" s="76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6" t="inlineStr">
        <is>
          <t>2026-10-01</t>
        </is>
      </c>
      <c r="B3639" s="76" t="inlineStr">
        <is>
          <t>Moves</t>
        </is>
      </c>
      <c r="C3639" s="76" t="inlineStr">
        <is>
          <t>Charge accuracy</t>
        </is>
      </c>
      <c r="D3639" s="76" t="n">
        <v>100</v>
      </c>
      <c r="E3639" s="76" t="n">
        <v>0</v>
      </c>
      <c r="F3639" s="76" t="inlineStr">
        <is>
          <t>Differs from upstream baseline</t>
        </is>
      </c>
      <c r="G3639" s="76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6" t="inlineStr">
        <is>
          <t>2026-10-01</t>
        </is>
      </c>
      <c r="B3641" s="76" t="inlineStr">
        <is>
          <t>Moves</t>
        </is>
      </c>
      <c r="C3641" s="76" t="inlineStr">
        <is>
          <t>Charge Beam accuracy</t>
        </is>
      </c>
      <c r="D3641" s="76" t="n">
        <v>90</v>
      </c>
      <c r="E3641" s="76" t="n">
        <v>100</v>
      </c>
      <c r="F3641" s="76" t="inlineStr">
        <is>
          <t>Differs from upstream baseline</t>
        </is>
      </c>
      <c r="G3641" s="76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6" t="inlineStr">
        <is>
          <t>2026-10-01</t>
        </is>
      </c>
      <c r="B3643" s="76" t="inlineStr">
        <is>
          <t>Moves</t>
        </is>
      </c>
      <c r="C3643" s="76" t="inlineStr">
        <is>
          <t>Chatter power</t>
        </is>
      </c>
      <c r="D3643" s="76" t="n">
        <v>65</v>
      </c>
      <c r="E3643" s="76" t="n">
        <v>120</v>
      </c>
      <c r="F3643" s="76" t="inlineStr">
        <is>
          <t>Differs from upstream baseline</t>
        </is>
      </c>
      <c r="G3643" s="76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6" t="inlineStr">
        <is>
          <t>2026-10-01</t>
        </is>
      </c>
      <c r="B3645" s="76" t="inlineStr">
        <is>
          <t>Moves</t>
        </is>
      </c>
      <c r="C3645" s="76" t="inlineStr">
        <is>
          <t>Circle Throw power</t>
        </is>
      </c>
      <c r="D3645" s="76" t="n">
        <v>60</v>
      </c>
      <c r="E3645" s="76" t="n">
        <v>70</v>
      </c>
      <c r="F3645" s="76" t="inlineStr">
        <is>
          <t>Differs from upstream baseline</t>
        </is>
      </c>
      <c r="G3645" s="76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6" t="inlineStr">
        <is>
          <t>2026-10-01</t>
        </is>
      </c>
      <c r="B3647" s="76" t="inlineStr">
        <is>
          <t>Moves</t>
        </is>
      </c>
      <c r="C3647" s="76" t="inlineStr">
        <is>
          <t>Clamp power</t>
        </is>
      </c>
      <c r="D3647" s="76" t="n">
        <v>35</v>
      </c>
      <c r="E3647" s="76" t="n">
        <v>120</v>
      </c>
      <c r="F3647" s="76" t="inlineStr">
        <is>
          <t>Differs from upstream baseline</t>
        </is>
      </c>
      <c r="G3647" s="76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6" t="inlineStr">
        <is>
          <t>2026-10-01</t>
        </is>
      </c>
      <c r="B3649" s="76" t="inlineStr">
        <is>
          <t>Moves</t>
        </is>
      </c>
      <c r="C3649" s="76" t="inlineStr">
        <is>
          <t>Clamp pp</t>
        </is>
      </c>
      <c r="D3649" s="76" t="n">
        <v>15</v>
      </c>
      <c r="E3649" s="76" t="n">
        <v>10</v>
      </c>
      <c r="F3649" s="76" t="inlineStr">
        <is>
          <t>Differs from upstream baseline</t>
        </is>
      </c>
      <c r="G3649" s="76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6" t="inlineStr">
        <is>
          <t>2026-10-01</t>
        </is>
      </c>
      <c r="B3651" s="76" t="inlineStr">
        <is>
          <t>Moves</t>
        </is>
      </c>
      <c r="C3651" s="76" t="inlineStr">
        <is>
          <t>Coil pp</t>
        </is>
      </c>
      <c r="D3651" s="76" t="n">
        <v>20</v>
      </c>
      <c r="E3651" s="76" t="n">
        <v>5</v>
      </c>
      <c r="F3651" s="76" t="inlineStr">
        <is>
          <t>Differs from upstream baseline</t>
        </is>
      </c>
      <c r="G3651" s="76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6" t="inlineStr">
        <is>
          <t>2026-10-01</t>
        </is>
      </c>
      <c r="B3653" s="76" t="inlineStr">
        <is>
          <t>Moves</t>
        </is>
      </c>
      <c r="C3653" s="76" t="inlineStr">
        <is>
          <t>Comet Punch accuracy</t>
        </is>
      </c>
      <c r="D3653" s="76" t="n">
        <v>85</v>
      </c>
      <c r="E3653" s="76" t="n">
        <v>100</v>
      </c>
      <c r="F3653" s="76" t="inlineStr">
        <is>
          <t>Differs from upstream baseline</t>
        </is>
      </c>
      <c r="G3653" s="76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6" t="inlineStr">
        <is>
          <t>2026-10-01</t>
        </is>
      </c>
      <c r="B3655" s="76" t="inlineStr">
        <is>
          <t>Moves</t>
        </is>
      </c>
      <c r="C3655" s="76" t="inlineStr">
        <is>
          <t>Constrict pp</t>
        </is>
      </c>
      <c r="D3655" s="76" t="n">
        <v>35</v>
      </c>
      <c r="E3655" s="76" t="n">
        <v>15</v>
      </c>
      <c r="F3655" s="76" t="inlineStr">
        <is>
          <t>Differs from upstream baseline</t>
        </is>
      </c>
      <c r="G3655" s="76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6" t="inlineStr">
        <is>
          <t>2026-10-01</t>
        </is>
      </c>
      <c r="B3657" s="76" t="inlineStr">
        <is>
          <t>Moves</t>
        </is>
      </c>
      <c r="C3657" s="76" t="inlineStr">
        <is>
          <t>Cosmic Power pp</t>
        </is>
      </c>
      <c r="D3657" s="76" t="n">
        <v>20</v>
      </c>
      <c r="E3657" s="76" t="n">
        <v>6</v>
      </c>
      <c r="F3657" s="76" t="inlineStr">
        <is>
          <t>Differs from upstream baseline</t>
        </is>
      </c>
      <c r="G3657" s="76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6" t="inlineStr">
        <is>
          <t>2026-10-01</t>
        </is>
      </c>
      <c r="B3659" s="76" t="inlineStr">
        <is>
          <t>Moves</t>
        </is>
      </c>
      <c r="C3659" s="76" t="inlineStr">
        <is>
          <t>Covet power</t>
        </is>
      </c>
      <c r="D3659" s="76" t="n">
        <v>60</v>
      </c>
      <c r="E3659" s="76" t="n">
        <v>70</v>
      </c>
      <c r="F3659" s="76" t="inlineStr">
        <is>
          <t>Differs from upstream baseline</t>
        </is>
      </c>
      <c r="G3659" s="76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6" t="inlineStr">
        <is>
          <t>2026-10-01</t>
        </is>
      </c>
      <c r="B3661" s="76" t="inlineStr">
        <is>
          <t>Moves</t>
        </is>
      </c>
      <c r="C3661" s="76" t="inlineStr">
        <is>
          <t>Crabhammer accuracy</t>
        </is>
      </c>
      <c r="D3661" s="76" t="n">
        <v>90</v>
      </c>
      <c r="E3661" s="76" t="n">
        <v>100</v>
      </c>
      <c r="F3661" s="76" t="inlineStr">
        <is>
          <t>Differs from upstream baseline</t>
        </is>
      </c>
      <c r="G3661" s="76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6" t="inlineStr">
        <is>
          <t>2026-10-01</t>
        </is>
      </c>
      <c r="B3663" s="76" t="inlineStr">
        <is>
          <t>Moves</t>
        </is>
      </c>
      <c r="C3663" s="76" t="inlineStr">
        <is>
          <t>Cross Poison power</t>
        </is>
      </c>
      <c r="D3663" s="76" t="n">
        <v>70</v>
      </c>
      <c r="E3663" s="76" t="n">
        <v>95</v>
      </c>
      <c r="F3663" s="76" t="inlineStr">
        <is>
          <t>Differs from upstream baseline</t>
        </is>
      </c>
      <c r="G3663" s="76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6" t="inlineStr">
        <is>
          <t>2026-10-01</t>
        </is>
      </c>
      <c r="B3665" s="76" t="inlineStr">
        <is>
          <t>Moves</t>
        </is>
      </c>
      <c r="C3665" s="76" t="inlineStr">
        <is>
          <t>Crush Claw power</t>
        </is>
      </c>
      <c r="D3665" s="76" t="n">
        <v>75</v>
      </c>
      <c r="E3665" s="76" t="n">
        <v>120</v>
      </c>
      <c r="F3665" s="76" t="inlineStr">
        <is>
          <t>Differs from upstream baseline</t>
        </is>
      </c>
      <c r="G3665" s="76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6" t="inlineStr">
        <is>
          <t>2026-10-01</t>
        </is>
      </c>
      <c r="B3667" s="76" t="inlineStr">
        <is>
          <t>Moves</t>
        </is>
      </c>
      <c r="C3667" s="76" t="inlineStr">
        <is>
          <t>Curse pp</t>
        </is>
      </c>
      <c r="D3667" s="76" t="n">
        <v>10</v>
      </c>
      <c r="E3667" s="76" t="n">
        <v>3</v>
      </c>
      <c r="F3667" s="76" t="inlineStr">
        <is>
          <t>Differs from upstream baseline</t>
        </is>
      </c>
      <c r="G3667" s="76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6" t="inlineStr">
        <is>
          <t>2026-10-01</t>
        </is>
      </c>
      <c r="B3669" s="76" t="inlineStr">
        <is>
          <t>Moves</t>
        </is>
      </c>
      <c r="C3669" s="76" t="inlineStr">
        <is>
          <t>Dark Void accuracy</t>
        </is>
      </c>
      <c r="D3669" s="76" t="n">
        <v>50</v>
      </c>
      <c r="E3669" s="76" t="n">
        <v>90</v>
      </c>
      <c r="F3669" s="76" t="inlineStr">
        <is>
          <t>Differs from upstream baseline</t>
        </is>
      </c>
      <c r="G3669" s="76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6" t="inlineStr">
        <is>
          <t>2026-10-01</t>
        </is>
      </c>
      <c r="B3671" s="76" t="inlineStr">
        <is>
          <t>Moves</t>
        </is>
      </c>
      <c r="C3671" s="76" t="inlineStr">
        <is>
          <t>Dazzling Gleam power</t>
        </is>
      </c>
      <c r="D3671" s="76" t="n">
        <v>80</v>
      </c>
      <c r="E3671" s="76" t="n">
        <v>85</v>
      </c>
      <c r="F3671" s="76" t="inlineStr">
        <is>
          <t>Differs from upstream baseline</t>
        </is>
      </c>
      <c r="G3671" s="76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6" t="inlineStr">
        <is>
          <t>2026-10-01</t>
        </is>
      </c>
      <c r="B3673" s="76" t="inlineStr">
        <is>
          <t>Moves</t>
        </is>
      </c>
      <c r="C3673" s="76" t="inlineStr">
        <is>
          <t>Detect pp</t>
        </is>
      </c>
      <c r="D3673" s="76" t="n">
        <v>5</v>
      </c>
      <c r="E3673" s="76" t="n">
        <v>10</v>
      </c>
      <c r="F3673" s="76" t="inlineStr">
        <is>
          <t>Differs from upstream baseline</t>
        </is>
      </c>
      <c r="G3673" s="76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6" t="inlineStr">
        <is>
          <t>2026-10-01</t>
        </is>
      </c>
      <c r="B3675" s="76" t="inlineStr">
        <is>
          <t>Moves</t>
        </is>
      </c>
      <c r="C3675" s="76" t="inlineStr">
        <is>
          <t>Dig power</t>
        </is>
      </c>
      <c r="D3675" s="76" t="n">
        <v>80</v>
      </c>
      <c r="E3675" s="76" t="n">
        <v>60</v>
      </c>
      <c r="F3675" s="76" t="inlineStr">
        <is>
          <t>Differs from upstream baseline</t>
        </is>
      </c>
      <c r="G3675" s="76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6" t="inlineStr">
        <is>
          <t>2026-10-01</t>
        </is>
      </c>
      <c r="B3677" s="76" t="inlineStr">
        <is>
          <t>Moves</t>
        </is>
      </c>
      <c r="C3677" s="76" t="inlineStr">
        <is>
          <t>Dizzy Punch power</t>
        </is>
      </c>
      <c r="D3677" s="76" t="n">
        <v>70</v>
      </c>
      <c r="E3677" s="76" t="n">
        <v>100</v>
      </c>
      <c r="F3677" s="76" t="inlineStr">
        <is>
          <t>Differs from upstream baseline</t>
        </is>
      </c>
      <c r="G3677" s="76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6" t="inlineStr">
        <is>
          <t>2026-10-01</t>
        </is>
      </c>
      <c r="B3679" s="76" t="inlineStr">
        <is>
          <t>Moves</t>
        </is>
      </c>
      <c r="C3679" s="76" t="inlineStr">
        <is>
          <t>Double-Edge power</t>
        </is>
      </c>
      <c r="D3679" s="76" t="n">
        <v>120</v>
      </c>
      <c r="E3679" s="76" t="n">
        <v>140</v>
      </c>
      <c r="F3679" s="76" t="inlineStr">
        <is>
          <t>Differs from upstream baseline</t>
        </is>
      </c>
      <c r="G3679" s="76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6" t="inlineStr">
        <is>
          <t>2026-10-01</t>
        </is>
      </c>
      <c r="B3681" s="76" t="inlineStr">
        <is>
          <t>Moves</t>
        </is>
      </c>
      <c r="C3681" s="76" t="inlineStr">
        <is>
          <t>Double Hit power</t>
        </is>
      </c>
      <c r="D3681" s="76" t="n">
        <v>35</v>
      </c>
      <c r="E3681" s="76" t="n">
        <v>60</v>
      </c>
      <c r="F3681" s="76" t="inlineStr">
        <is>
          <t>Differs from upstream baseline</t>
        </is>
      </c>
      <c r="G3681" s="76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6" t="inlineStr">
        <is>
          <t>2026-10-01</t>
        </is>
      </c>
      <c r="B3683" s="76" t="inlineStr">
        <is>
          <t>Moves</t>
        </is>
      </c>
      <c r="C3683" s="76" t="inlineStr">
        <is>
          <t>Double Slap power</t>
        </is>
      </c>
      <c r="D3683" s="76" t="n">
        <v>15</v>
      </c>
      <c r="E3683" s="76" t="n">
        <v>30</v>
      </c>
      <c r="F3683" s="76" t="inlineStr">
        <is>
          <t>Differs from upstream baseline</t>
        </is>
      </c>
      <c r="G3683" s="76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6" t="inlineStr">
        <is>
          <t>2026-10-01</t>
        </is>
      </c>
      <c r="B3685" s="76" t="inlineStr">
        <is>
          <t>Moves</t>
        </is>
      </c>
      <c r="C3685" s="76" t="inlineStr">
        <is>
          <t>Double Team pp</t>
        </is>
      </c>
      <c r="D3685" s="76" t="n">
        <v>15</v>
      </c>
      <c r="E3685" s="76" t="n">
        <v>6</v>
      </c>
      <c r="F3685" s="76" t="inlineStr">
        <is>
          <t>Differs from upstream baseline</t>
        </is>
      </c>
      <c r="G3685" s="76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6" t="inlineStr">
        <is>
          <t>2026-10-01</t>
        </is>
      </c>
      <c r="B3687" s="76" t="inlineStr">
        <is>
          <t>Moves</t>
        </is>
      </c>
      <c r="C3687" s="76" t="inlineStr">
        <is>
          <t>Draco Meteor accuracy</t>
        </is>
      </c>
      <c r="D3687" s="76" t="n">
        <v>90</v>
      </c>
      <c r="E3687" s="76" t="n">
        <v>100</v>
      </c>
      <c r="F3687" s="76" t="inlineStr">
        <is>
          <t>Differs from upstream baseline</t>
        </is>
      </c>
      <c r="G3687" s="76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6" t="inlineStr">
        <is>
          <t>2026-10-01</t>
        </is>
      </c>
      <c r="B3689" s="76" t="inlineStr">
        <is>
          <t>Moves</t>
        </is>
      </c>
      <c r="C3689" s="76" t="inlineStr">
        <is>
          <t>Dragon Claw power</t>
        </is>
      </c>
      <c r="D3689" s="76" t="n">
        <v>80</v>
      </c>
      <c r="E3689" s="76" t="n">
        <v>90</v>
      </c>
      <c r="F3689" s="76" t="inlineStr">
        <is>
          <t>Differs from upstream baseline</t>
        </is>
      </c>
      <c r="G3689" s="76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6" t="inlineStr">
        <is>
          <t>2026-10-01</t>
        </is>
      </c>
      <c r="B3691" s="76" t="inlineStr">
        <is>
          <t>Moves</t>
        </is>
      </c>
      <c r="C3691" s="76" t="inlineStr">
        <is>
          <t>Dragon Pulse power</t>
        </is>
      </c>
      <c r="D3691" s="76" t="n">
        <v>85</v>
      </c>
      <c r="E3691" s="76" t="n">
        <v>90</v>
      </c>
      <c r="F3691" s="76" t="inlineStr">
        <is>
          <t>Differs from upstream baseline</t>
        </is>
      </c>
      <c r="G3691" s="76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6" t="inlineStr">
        <is>
          <t>2026-10-01</t>
        </is>
      </c>
      <c r="B3693" s="76" t="inlineStr">
        <is>
          <t>Moves</t>
        </is>
      </c>
      <c r="C3693" s="76" t="inlineStr">
        <is>
          <t>Dragon Rush accuracy</t>
        </is>
      </c>
      <c r="D3693" s="76" t="n">
        <v>75</v>
      </c>
      <c r="E3693" s="76" t="n">
        <v>100</v>
      </c>
      <c r="F3693" s="76" t="inlineStr">
        <is>
          <t>Differs from upstream baseline</t>
        </is>
      </c>
      <c r="G3693" s="76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6" t="inlineStr">
        <is>
          <t>2026-10-01</t>
        </is>
      </c>
      <c r="B3695" s="76" t="inlineStr">
        <is>
          <t>Moves</t>
        </is>
      </c>
      <c r="C3695" s="76" t="inlineStr">
        <is>
          <t>Dragon Tail accuracy</t>
        </is>
      </c>
      <c r="D3695" s="76" t="n">
        <v>90</v>
      </c>
      <c r="E3695" s="76" t="n">
        <v>100</v>
      </c>
      <c r="F3695" s="76" t="inlineStr">
        <is>
          <t>Differs from upstream baseline</t>
        </is>
      </c>
      <c r="G3695" s="76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6" t="inlineStr">
        <is>
          <t>2026-10-01</t>
        </is>
      </c>
      <c r="B3697" s="76" t="inlineStr">
        <is>
          <t>Moves</t>
        </is>
      </c>
      <c r="C3697" s="76" t="inlineStr">
        <is>
          <t>Drain Punch pp</t>
        </is>
      </c>
      <c r="D3697" s="76" t="n">
        <v>10</v>
      </c>
      <c r="E3697" s="76" t="n">
        <v>5</v>
      </c>
      <c r="F3697" s="76" t="inlineStr">
        <is>
          <t>Differs from upstream baseline</t>
        </is>
      </c>
      <c r="G3697" s="76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6" t="inlineStr">
        <is>
          <t>2026-10-01</t>
        </is>
      </c>
      <c r="B3699" s="76" t="inlineStr">
        <is>
          <t>Moves</t>
        </is>
      </c>
      <c r="C3699" s="76" t="inlineStr">
        <is>
          <t>Dual Chop power</t>
        </is>
      </c>
      <c r="D3699" s="76" t="n">
        <v>40</v>
      </c>
      <c r="E3699" s="76" t="n">
        <v>50</v>
      </c>
      <c r="F3699" s="76" t="inlineStr">
        <is>
          <t>Differs from upstream baseline</t>
        </is>
      </c>
      <c r="G3699" s="76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6" t="inlineStr">
        <is>
          <t>2026-10-01</t>
        </is>
      </c>
      <c r="B3701" s="76" t="inlineStr">
        <is>
          <t>Moves</t>
        </is>
      </c>
      <c r="C3701" s="76" t="inlineStr">
        <is>
          <t>Dynamic Punch power</t>
        </is>
      </c>
      <c r="D3701" s="76" t="n">
        <v>100</v>
      </c>
      <c r="E3701" s="76" t="n">
        <v>120</v>
      </c>
      <c r="F3701" s="76" t="inlineStr">
        <is>
          <t>Differs from upstream baseline</t>
        </is>
      </c>
      <c r="G3701" s="76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6" t="inlineStr">
        <is>
          <t>2026-10-01</t>
        </is>
      </c>
      <c r="B3703" s="76" t="inlineStr">
        <is>
          <t>Moves</t>
        </is>
      </c>
      <c r="C3703" s="76" t="inlineStr">
        <is>
          <t>Egg Bomb accuracy</t>
        </is>
      </c>
      <c r="D3703" s="76" t="n">
        <v>75</v>
      </c>
      <c r="E3703" s="76" t="n">
        <v>100</v>
      </c>
      <c r="F3703" s="76" t="inlineStr">
        <is>
          <t>Differs from upstream baseline</t>
        </is>
      </c>
      <c r="G3703" s="76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6" t="inlineStr">
        <is>
          <t>2026-10-01</t>
        </is>
      </c>
      <c r="B3705" s="76" t="inlineStr">
        <is>
          <t>Moves</t>
        </is>
      </c>
      <c r="C3705" s="76" t="inlineStr">
        <is>
          <t>Electroweb power</t>
        </is>
      </c>
      <c r="D3705" s="76" t="n">
        <v>55</v>
      </c>
      <c r="E3705" s="76" t="n">
        <v>65</v>
      </c>
      <c r="F3705" s="76" t="inlineStr">
        <is>
          <t>Differs from upstream baseline</t>
        </is>
      </c>
      <c r="G3705" s="76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6" t="inlineStr">
        <is>
          <t>2026-10-01</t>
        </is>
      </c>
      <c r="B3707" s="76" t="inlineStr">
        <is>
          <t>Moves</t>
        </is>
      </c>
      <c r="C3707" s="76" t="inlineStr">
        <is>
          <t>Encore pp</t>
        </is>
      </c>
      <c r="D3707" s="76" t="n">
        <v>5</v>
      </c>
      <c r="E3707" s="76" t="n">
        <v>3</v>
      </c>
      <c r="F3707" s="76" t="inlineStr">
        <is>
          <t>Differs from upstream baseline</t>
        </is>
      </c>
      <c r="G3707" s="76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6" t="inlineStr">
        <is>
          <t>2026-10-01</t>
        </is>
      </c>
      <c r="B3709" s="76" t="inlineStr">
        <is>
          <t>Moves</t>
        </is>
      </c>
      <c r="C3709" s="76" t="inlineStr">
        <is>
          <t>Energy Ball power</t>
        </is>
      </c>
      <c r="D3709" s="76" t="n">
        <v>90</v>
      </c>
      <c r="E3709" s="76" t="n">
        <v>80</v>
      </c>
      <c r="F3709" s="76" t="inlineStr">
        <is>
          <t>Differs from upstream baseline</t>
        </is>
      </c>
      <c r="G3709" s="76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6" t="inlineStr">
        <is>
          <t>2026-10-01</t>
        </is>
      </c>
      <c r="B3711" s="76" t="inlineStr">
        <is>
          <t>Moves</t>
        </is>
      </c>
      <c r="C3711" s="76" t="inlineStr">
        <is>
          <t>Extrasensory pp</t>
        </is>
      </c>
      <c r="D3711" s="76" t="n">
        <v>20</v>
      </c>
      <c r="E3711" s="76" t="n">
        <v>30</v>
      </c>
      <c r="F3711" s="76" t="inlineStr">
        <is>
          <t>Differs from upstream baseline</t>
        </is>
      </c>
      <c r="G3711" s="76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6" t="inlineStr">
        <is>
          <t>2026-10-01</t>
        </is>
      </c>
      <c r="B3713" s="76" t="inlineStr">
        <is>
          <t>Moves</t>
        </is>
      </c>
      <c r="C3713" s="76" t="inlineStr">
        <is>
          <t>Extreme Speed pp</t>
        </is>
      </c>
      <c r="D3713" s="76" t="n">
        <v>5</v>
      </c>
      <c r="E3713" s="76" t="n">
        <v>8</v>
      </c>
      <c r="F3713" s="76" t="inlineStr">
        <is>
          <t>Differs from upstream baseline</t>
        </is>
      </c>
      <c r="G3713" s="76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6" t="inlineStr">
        <is>
          <t>2026-10-01</t>
        </is>
      </c>
      <c r="B3715" s="76" t="inlineStr">
        <is>
          <t>Moves</t>
        </is>
      </c>
      <c r="C3715" s="76" t="inlineStr">
        <is>
          <t>Fairy Wind power</t>
        </is>
      </c>
      <c r="D3715" s="76" t="n">
        <v>40</v>
      </c>
      <c r="E3715" s="76" t="n">
        <v>50</v>
      </c>
      <c r="F3715" s="76" t="inlineStr">
        <is>
          <t>Differs from upstream baseline</t>
        </is>
      </c>
      <c r="G3715" s="76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6" t="inlineStr">
        <is>
          <t>2026-10-01</t>
        </is>
      </c>
      <c r="B3717" s="76" t="inlineStr">
        <is>
          <t>Moves</t>
        </is>
      </c>
      <c r="C3717" s="76" t="inlineStr">
        <is>
          <t>Fake Tears pp</t>
        </is>
      </c>
      <c r="D3717" s="76" t="n">
        <v>20</v>
      </c>
      <c r="E3717" s="76" t="n">
        <v>3</v>
      </c>
      <c r="F3717" s="76" t="inlineStr">
        <is>
          <t>Differs from upstream baseline</t>
        </is>
      </c>
      <c r="G3717" s="76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6" t="inlineStr">
        <is>
          <t>2026-10-01</t>
        </is>
      </c>
      <c r="B3719" s="76" t="inlineStr">
        <is>
          <t>Moves</t>
        </is>
      </c>
      <c r="C3719" s="76" t="inlineStr">
        <is>
          <t>Feint power</t>
        </is>
      </c>
      <c r="D3719" s="76" t="n">
        <v>30</v>
      </c>
      <c r="E3719" s="76" t="n">
        <v>80</v>
      </c>
      <c r="F3719" s="76" t="inlineStr">
        <is>
          <t>Differs from upstream baseline</t>
        </is>
      </c>
      <c r="G3719" s="76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6" t="inlineStr">
        <is>
          <t>2026-10-01</t>
        </is>
      </c>
      <c r="B3721" s="76" t="inlineStr">
        <is>
          <t>Moves</t>
        </is>
      </c>
      <c r="C3721" s="76" t="inlineStr">
        <is>
          <t>Fell Stinger pp</t>
        </is>
      </c>
      <c r="D3721" s="76" t="n">
        <v>25</v>
      </c>
      <c r="E3721" s="76" t="n">
        <v>20</v>
      </c>
      <c r="F3721" s="76" t="inlineStr">
        <is>
          <t>Differs from upstream baseline</t>
        </is>
      </c>
      <c r="G3721" s="76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6" t="inlineStr">
        <is>
          <t>2026-10-01</t>
        </is>
      </c>
      <c r="B3723" s="76" t="inlineStr">
        <is>
          <t>Moves</t>
        </is>
      </c>
      <c r="C3723" s="76" t="inlineStr">
        <is>
          <t>Fire Blast power</t>
        </is>
      </c>
      <c r="D3723" s="76" t="n">
        <v>110</v>
      </c>
      <c r="E3723" s="76" t="n">
        <v>120</v>
      </c>
      <c r="F3723" s="76" t="inlineStr">
        <is>
          <t>Differs from upstream baseline</t>
        </is>
      </c>
      <c r="G3723" s="76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6" t="inlineStr">
        <is>
          <t>2026-10-01</t>
        </is>
      </c>
      <c r="B3725" s="76" t="inlineStr">
        <is>
          <t>Moves</t>
        </is>
      </c>
      <c r="C3725" s="76" t="inlineStr">
        <is>
          <t>Fire Fang accuracy</t>
        </is>
      </c>
      <c r="D3725" s="76" t="n">
        <v>95</v>
      </c>
      <c r="E3725" s="76" t="n">
        <v>100</v>
      </c>
      <c r="F3725" s="76" t="inlineStr">
        <is>
          <t>Differs from upstream baseline</t>
        </is>
      </c>
      <c r="G3725" s="76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6" t="inlineStr">
        <is>
          <t>2026-10-01</t>
        </is>
      </c>
      <c r="B3727" s="76" t="inlineStr">
        <is>
          <t>Moves</t>
        </is>
      </c>
      <c r="C3727" s="76" t="inlineStr">
        <is>
          <t>Fire Spin power</t>
        </is>
      </c>
      <c r="D3727" s="76" t="n">
        <v>35</v>
      </c>
      <c r="E3727" s="76" t="n">
        <v>90</v>
      </c>
      <c r="F3727" s="76" t="inlineStr">
        <is>
          <t>Differs from upstream baseline</t>
        </is>
      </c>
      <c r="G3727" s="76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6" t="inlineStr">
        <is>
          <t>2026-10-01</t>
        </is>
      </c>
      <c r="B3729" s="76" t="inlineStr">
        <is>
          <t>Moves</t>
        </is>
      </c>
      <c r="C3729" s="76" t="inlineStr">
        <is>
          <t>Flamethrower power</t>
        </is>
      </c>
      <c r="D3729" s="76" t="n">
        <v>90</v>
      </c>
      <c r="E3729" s="76" t="n">
        <v>95</v>
      </c>
      <c r="F3729" s="76" t="inlineStr">
        <is>
          <t>Differs from upstream baseline</t>
        </is>
      </c>
      <c r="G3729" s="76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6" t="inlineStr">
        <is>
          <t>2026-10-01</t>
        </is>
      </c>
      <c r="B3731" s="76" t="inlineStr">
        <is>
          <t>Moves</t>
        </is>
      </c>
      <c r="C3731" s="76" t="inlineStr">
        <is>
          <t>Flame Charge power</t>
        </is>
      </c>
      <c r="D3731" s="76" t="n">
        <v>50</v>
      </c>
      <c r="E3731" s="76" t="n">
        <v>60</v>
      </c>
      <c r="F3731" s="76" t="inlineStr">
        <is>
          <t>Differs from upstream baseline</t>
        </is>
      </c>
      <c r="G3731" s="76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6" t="inlineStr">
        <is>
          <t>2026-10-01</t>
        </is>
      </c>
      <c r="B3733" s="76" t="inlineStr">
        <is>
          <t>Moves</t>
        </is>
      </c>
      <c r="C3733" s="76" t="inlineStr">
        <is>
          <t>Flare Blitz pp</t>
        </is>
      </c>
      <c r="D3733" s="76" t="n">
        <v>15</v>
      </c>
      <c r="E3733" s="76" t="n">
        <v>8</v>
      </c>
      <c r="F3733" s="76" t="inlineStr">
        <is>
          <t>Differs from upstream baseline</t>
        </is>
      </c>
      <c r="G3733" s="76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6" t="inlineStr">
        <is>
          <t>2026-10-01</t>
        </is>
      </c>
      <c r="B3735" s="76" t="inlineStr">
        <is>
          <t>Moves</t>
        </is>
      </c>
      <c r="C3735" s="76" t="inlineStr">
        <is>
          <t>Flying Press power</t>
        </is>
      </c>
      <c r="D3735" s="76" t="n">
        <v>100</v>
      </c>
      <c r="E3735" s="76" t="n">
        <v>110</v>
      </c>
      <c r="F3735" s="76" t="inlineStr">
        <is>
          <t>Differs from upstream baseline</t>
        </is>
      </c>
      <c r="G3735" s="76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6" t="inlineStr">
        <is>
          <t>2026-10-01</t>
        </is>
      </c>
      <c r="B3737" s="76" t="inlineStr">
        <is>
          <t>Moves</t>
        </is>
      </c>
      <c r="C3737" s="76" t="inlineStr">
        <is>
          <t>Focus Blast accuracy</t>
        </is>
      </c>
      <c r="D3737" s="76" t="n">
        <v>70</v>
      </c>
      <c r="E3737" s="76" t="n">
        <v>85</v>
      </c>
      <c r="F3737" s="76" t="inlineStr">
        <is>
          <t>Differs from upstream baseline</t>
        </is>
      </c>
      <c r="G3737" s="76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6" t="inlineStr">
        <is>
          <t>2026-10-01</t>
        </is>
      </c>
      <c r="B3739" s="76" t="inlineStr">
        <is>
          <t>Moves</t>
        </is>
      </c>
      <c r="C3739" s="76" t="inlineStr">
        <is>
          <t>Follow Me accuracy</t>
        </is>
      </c>
      <c r="D3739" s="76" t="n">
        <v>100</v>
      </c>
      <c r="E3739" s="76" t="n">
        <v>0</v>
      </c>
      <c r="F3739" s="76" t="inlineStr">
        <is>
          <t>Differs from upstream baseline</t>
        </is>
      </c>
      <c r="G3739" s="76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6" t="inlineStr">
        <is>
          <t>2026-10-01</t>
        </is>
      </c>
      <c r="B3741" s="76" t="inlineStr">
        <is>
          <t>Moves</t>
        </is>
      </c>
      <c r="C3741" s="76" t="inlineStr">
        <is>
          <t>Foresight pp</t>
        </is>
      </c>
      <c r="D3741" s="76" t="n">
        <v>40</v>
      </c>
      <c r="E3741" s="76" t="n">
        <v>5</v>
      </c>
      <c r="F3741" s="76" t="inlineStr">
        <is>
          <t>Differs from upstream baseline</t>
        </is>
      </c>
      <c r="G3741" s="76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6" t="inlineStr">
        <is>
          <t>2026-10-01</t>
        </is>
      </c>
      <c r="B3743" s="76" t="inlineStr">
        <is>
          <t>Moves</t>
        </is>
      </c>
      <c r="C3743" s="76" t="inlineStr">
        <is>
          <t>Freeze Shock accuracy</t>
        </is>
      </c>
      <c r="D3743" s="76" t="n">
        <v>90</v>
      </c>
      <c r="E3743" s="76" t="n">
        <v>95</v>
      </c>
      <c r="F3743" s="76" t="inlineStr">
        <is>
          <t>Differs from upstream baseline</t>
        </is>
      </c>
      <c r="G3743" s="76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6" t="inlineStr">
        <is>
          <t>2026-10-01</t>
        </is>
      </c>
      <c r="B3745" s="76" t="inlineStr">
        <is>
          <t>Moves</t>
        </is>
      </c>
      <c r="C3745" s="76" t="inlineStr">
        <is>
          <t>Frost Breath power</t>
        </is>
      </c>
      <c r="D3745" s="76" t="n">
        <v>60</v>
      </c>
      <c r="E3745" s="76" t="n">
        <v>70</v>
      </c>
      <c r="F3745" s="76" t="inlineStr">
        <is>
          <t>Differs from upstream baseline</t>
        </is>
      </c>
      <c r="G3745" s="76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6" t="inlineStr">
        <is>
          <t>2026-10-01</t>
        </is>
      </c>
      <c r="B3747" s="76" t="inlineStr">
        <is>
          <t>Moves</t>
        </is>
      </c>
      <c r="C3747" s="76" t="inlineStr">
        <is>
          <t>Frustration power</t>
        </is>
      </c>
      <c r="D3747" s="76" t="n">
        <v>1</v>
      </c>
      <c r="E3747" s="76" t="n">
        <v>121</v>
      </c>
      <c r="F3747" s="76" t="inlineStr">
        <is>
          <t>Differs from upstream baseline</t>
        </is>
      </c>
      <c r="G3747" s="76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6" t="inlineStr">
        <is>
          <t>2026-10-01</t>
        </is>
      </c>
      <c r="B3749" s="76" t="inlineStr">
        <is>
          <t>Moves</t>
        </is>
      </c>
      <c r="C3749" s="76" t="inlineStr">
        <is>
          <t>Fury Cutter power</t>
        </is>
      </c>
      <c r="D3749" s="76" t="n">
        <v>40</v>
      </c>
      <c r="E3749" s="76" t="n">
        <v>30</v>
      </c>
      <c r="F3749" s="76" t="inlineStr">
        <is>
          <t>Differs from upstream baseline</t>
        </is>
      </c>
      <c r="G3749" s="76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6" t="inlineStr">
        <is>
          <t>2026-10-01</t>
        </is>
      </c>
      <c r="B3751" s="76" t="inlineStr">
        <is>
          <t>Moves</t>
        </is>
      </c>
      <c r="C3751" s="76" t="inlineStr">
        <is>
          <t>Fury Swipes power</t>
        </is>
      </c>
      <c r="D3751" s="76" t="n">
        <v>18</v>
      </c>
      <c r="E3751" s="76" t="n">
        <v>30</v>
      </c>
      <c r="F3751" s="76" t="inlineStr">
        <is>
          <t>Differs from upstream baseline</t>
        </is>
      </c>
      <c r="G3751" s="76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6" t="inlineStr">
        <is>
          <t>2026-10-01</t>
        </is>
      </c>
      <c r="B3753" s="76" t="inlineStr">
        <is>
          <t>Moves</t>
        </is>
      </c>
      <c r="C3753" s="76" t="inlineStr">
        <is>
          <t>Future Sight pp</t>
        </is>
      </c>
      <c r="D3753" s="76" t="n">
        <v>10</v>
      </c>
      <c r="E3753" s="76" t="n">
        <v>15</v>
      </c>
      <c r="F3753" s="76" t="inlineStr">
        <is>
          <t>Differs from upstream baseline</t>
        </is>
      </c>
      <c r="G3753" s="76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6" t="inlineStr">
        <is>
          <t>2026-10-01</t>
        </is>
      </c>
      <c r="B3755" s="76" t="inlineStr">
        <is>
          <t>Moves</t>
        </is>
      </c>
      <c r="C3755" s="76" t="inlineStr">
        <is>
          <t>Gear Grind accuracy</t>
        </is>
      </c>
      <c r="D3755" s="76" t="n">
        <v>85</v>
      </c>
      <c r="E3755" s="76" t="n">
        <v>95</v>
      </c>
      <c r="F3755" s="76" t="inlineStr">
        <is>
          <t>Differs from upstream baseline</t>
        </is>
      </c>
      <c r="G3755" s="76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6" t="inlineStr">
        <is>
          <t>2026-10-01</t>
        </is>
      </c>
      <c r="B3757" s="76" t="inlineStr">
        <is>
          <t>Moves</t>
        </is>
      </c>
      <c r="C3757" s="76" t="inlineStr">
        <is>
          <t>Giga Drain pp</t>
        </is>
      </c>
      <c r="D3757" s="76" t="n">
        <v>10</v>
      </c>
      <c r="E3757" s="76" t="n">
        <v>15</v>
      </c>
      <c r="F3757" s="76" t="inlineStr">
        <is>
          <t>Differs from upstream baseline</t>
        </is>
      </c>
      <c r="G3757" s="76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6" t="inlineStr">
        <is>
          <t>2026-10-01</t>
        </is>
      </c>
      <c r="B3759" s="76" t="inlineStr">
        <is>
          <t>Moves</t>
        </is>
      </c>
      <c r="C3759" s="76" t="inlineStr">
        <is>
          <t>Giga Impact accuracy</t>
        </is>
      </c>
      <c r="D3759" s="76" t="n">
        <v>90</v>
      </c>
      <c r="E3759" s="76" t="n">
        <v>100</v>
      </c>
      <c r="F3759" s="76" t="inlineStr">
        <is>
          <t>Differs from upstream baseline</t>
        </is>
      </c>
      <c r="G3759" s="76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6" t="inlineStr">
        <is>
          <t>2026-10-01</t>
        </is>
      </c>
      <c r="B3761" s="76" t="inlineStr">
        <is>
          <t>Moves</t>
        </is>
      </c>
      <c r="C3761" s="76" t="inlineStr">
        <is>
          <t>Glaciate accuracy</t>
        </is>
      </c>
      <c r="D3761" s="76" t="n">
        <v>95</v>
      </c>
      <c r="E3761" s="76" t="n">
        <v>100</v>
      </c>
      <c r="F3761" s="76" t="inlineStr">
        <is>
          <t>Differs from upstream baseline</t>
        </is>
      </c>
      <c r="G3761" s="76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6" t="inlineStr">
        <is>
          <t>2026-10-01</t>
        </is>
      </c>
      <c r="B3763" s="76" t="inlineStr">
        <is>
          <t>Moves</t>
        </is>
      </c>
      <c r="C3763" s="76" t="inlineStr">
        <is>
          <t>Grass Whistle accuracy</t>
        </is>
      </c>
      <c r="D3763" s="76" t="n">
        <v>55</v>
      </c>
      <c r="E3763" s="76" t="n">
        <v>70</v>
      </c>
      <c r="F3763" s="76" t="inlineStr">
        <is>
          <t>Differs from upstream baseline</t>
        </is>
      </c>
      <c r="G3763" s="76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6" t="inlineStr">
        <is>
          <t>2026-10-01</t>
        </is>
      </c>
      <c r="B3765" s="76" t="inlineStr">
        <is>
          <t>Moves</t>
        </is>
      </c>
      <c r="C3765" s="76" t="inlineStr">
        <is>
          <t>Grudge accuracy</t>
        </is>
      </c>
      <c r="D3765" s="76" t="n">
        <v>100</v>
      </c>
      <c r="E3765" s="76" t="n">
        <v>0</v>
      </c>
      <c r="F3765" s="76" t="inlineStr">
        <is>
          <t>Differs from upstream baseline</t>
        </is>
      </c>
      <c r="G3765" s="76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6" t="inlineStr">
        <is>
          <t>2026-10-01</t>
        </is>
      </c>
      <c r="B3767" s="76" t="inlineStr">
        <is>
          <t>Moves</t>
        </is>
      </c>
      <c r="C3767" s="76" t="inlineStr">
        <is>
          <t>Guillotine pp</t>
        </is>
      </c>
      <c r="D3767" s="76" t="n">
        <v>5</v>
      </c>
      <c r="E3767" s="76" t="n">
        <v>8</v>
      </c>
      <c r="F3767" s="76" t="inlineStr">
        <is>
          <t>Differs from upstream baseline</t>
        </is>
      </c>
      <c r="G3767" s="76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6" t="inlineStr">
        <is>
          <t>2026-10-01</t>
        </is>
      </c>
      <c r="B3769" s="76" t="inlineStr">
        <is>
          <t>Moves</t>
        </is>
      </c>
      <c r="C3769" s="76" t="inlineStr">
        <is>
          <t>Gunk Shot pp</t>
        </is>
      </c>
      <c r="D3769" s="76" t="n">
        <v>5</v>
      </c>
      <c r="E3769" s="76" t="n">
        <v>8</v>
      </c>
      <c r="F3769" s="76" t="inlineStr">
        <is>
          <t>Differs from upstream baseline</t>
        </is>
      </c>
      <c r="G3769" s="76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6" t="inlineStr">
        <is>
          <t>2026-10-01</t>
        </is>
      </c>
      <c r="B3771" s="76" t="inlineStr">
        <is>
          <t>Moves</t>
        </is>
      </c>
      <c r="C3771" s="76" t="inlineStr">
        <is>
          <t>Hail pp</t>
        </is>
      </c>
      <c r="D3771" s="76" t="n">
        <v>10</v>
      </c>
      <c r="E3771" s="76" t="n">
        <v>1</v>
      </c>
      <c r="F3771" s="76" t="inlineStr">
        <is>
          <t>Differs from upstream baseline</t>
        </is>
      </c>
      <c r="G3771" s="76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6" t="inlineStr">
        <is>
          <t>2026-10-01</t>
        </is>
      </c>
      <c r="B3773" s="76" t="inlineStr">
        <is>
          <t>Moves</t>
        </is>
      </c>
      <c r="C3773" s="76" t="inlineStr">
        <is>
          <t>Harden pp</t>
        </is>
      </c>
      <c r="D3773" s="76" t="n">
        <v>30</v>
      </c>
      <c r="E3773" s="76" t="n">
        <v>5</v>
      </c>
      <c r="F3773" s="76" t="inlineStr">
        <is>
          <t>Differs from upstream baseline</t>
        </is>
      </c>
      <c r="G3773" s="76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6" t="inlineStr">
        <is>
          <t>2026-10-01</t>
        </is>
      </c>
      <c r="B3775" s="76" t="inlineStr">
        <is>
          <t>Moves</t>
        </is>
      </c>
      <c r="C3775" s="76" t="inlineStr">
        <is>
          <t>Heal Bell pp</t>
        </is>
      </c>
      <c r="D3775" s="76" t="n">
        <v>5</v>
      </c>
      <c r="E3775" s="76" t="n">
        <v>1</v>
      </c>
      <c r="F3775" s="76" t="inlineStr">
        <is>
          <t>Differs from upstream baseline</t>
        </is>
      </c>
      <c r="G3775" s="76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6" t="inlineStr">
        <is>
          <t>2026-10-01</t>
        </is>
      </c>
      <c r="B3777" s="76" t="inlineStr">
        <is>
          <t>Moves</t>
        </is>
      </c>
      <c r="C3777" s="76" t="inlineStr">
        <is>
          <t>Heart Swap power</t>
        </is>
      </c>
      <c r="D3777" s="76" t="n">
        <v>0</v>
      </c>
      <c r="E3777" s="76" t="n">
        <v>95</v>
      </c>
      <c r="F3777" s="76" t="inlineStr">
        <is>
          <t>Differs from upstream baseline</t>
        </is>
      </c>
      <c r="G3777" s="76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6" t="inlineStr">
        <is>
          <t>2026-10-01</t>
        </is>
      </c>
      <c r="B3779" s="76" t="inlineStr">
        <is>
          <t>Moves</t>
        </is>
      </c>
      <c r="C3779" s="76" t="inlineStr">
        <is>
          <t>Heat Wave power</t>
        </is>
      </c>
      <c r="D3779" s="76" t="n">
        <v>95</v>
      </c>
      <c r="E3779" s="76" t="n">
        <v>100</v>
      </c>
      <c r="F3779" s="76" t="inlineStr">
        <is>
          <t>Differs from upstream baseline</t>
        </is>
      </c>
      <c r="G3779" s="76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6" t="inlineStr">
        <is>
          <t>2026-10-01</t>
        </is>
      </c>
      <c r="B3781" s="76" t="inlineStr">
        <is>
          <t>Moves</t>
        </is>
      </c>
      <c r="C3781" s="76" t="inlineStr">
        <is>
          <t>Helping Hand accuracy</t>
        </is>
      </c>
      <c r="D3781" s="76" t="n">
        <v>100</v>
      </c>
      <c r="E3781" s="76" t="n">
        <v>0</v>
      </c>
      <c r="F3781" s="76" t="inlineStr">
        <is>
          <t>Differs from upstream baseline</t>
        </is>
      </c>
      <c r="G3781" s="76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6" t="inlineStr">
        <is>
          <t>2026-10-01</t>
        </is>
      </c>
      <c r="B3783" s="76" t="inlineStr">
        <is>
          <t>Moves</t>
        </is>
      </c>
      <c r="C3783" s="76" t="inlineStr">
        <is>
          <t>Hidden Power power</t>
        </is>
      </c>
      <c r="D3783" s="76" t="n">
        <v>60</v>
      </c>
      <c r="E3783" s="76" t="n">
        <v>1</v>
      </c>
      <c r="F3783" s="76" t="inlineStr">
        <is>
          <t>Differs from upstream baseline</t>
        </is>
      </c>
      <c r="G3783" s="76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6" t="inlineStr">
        <is>
          <t>2026-10-01</t>
        </is>
      </c>
      <c r="B3785" s="76" t="inlineStr">
        <is>
          <t>Moves</t>
        </is>
      </c>
      <c r="C3785" s="76" t="inlineStr">
        <is>
          <t>High Jump Kick pp</t>
        </is>
      </c>
      <c r="D3785" s="76" t="n">
        <v>10</v>
      </c>
      <c r="E3785" s="76" t="n">
        <v>20</v>
      </c>
      <c r="F3785" s="76" t="inlineStr">
        <is>
          <t>Differs from upstream baseline</t>
        </is>
      </c>
      <c r="G3785" s="76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6" t="inlineStr">
        <is>
          <t>2026-10-01</t>
        </is>
      </c>
      <c r="B3787" s="76" t="inlineStr">
        <is>
          <t>Moves</t>
        </is>
      </c>
      <c r="C3787" s="76" t="inlineStr">
        <is>
          <t>Horn Leech power</t>
        </is>
      </c>
      <c r="D3787" s="76" t="n">
        <v>75</v>
      </c>
      <c r="E3787" s="76" t="n">
        <v>80</v>
      </c>
      <c r="F3787" s="76" t="inlineStr">
        <is>
          <t>Differs from upstream baseline</t>
        </is>
      </c>
      <c r="G3787" s="76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6" t="inlineStr">
        <is>
          <t>2026-10-01</t>
        </is>
      </c>
      <c r="B3789" s="76" t="inlineStr">
        <is>
          <t>Moves</t>
        </is>
      </c>
      <c r="C3789" s="76" t="inlineStr">
        <is>
          <t>Hurricane power</t>
        </is>
      </c>
      <c r="D3789" s="76" t="n">
        <v>110</v>
      </c>
      <c r="E3789" s="76" t="n">
        <v>120</v>
      </c>
      <c r="F3789" s="76" t="inlineStr">
        <is>
          <t>Differs from upstream baseline</t>
        </is>
      </c>
      <c r="G3789" s="76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6" t="inlineStr">
        <is>
          <t>2026-10-01</t>
        </is>
      </c>
      <c r="B3791" s="76" t="inlineStr">
        <is>
          <t>Moves</t>
        </is>
      </c>
      <c r="C3791" s="76" t="inlineStr">
        <is>
          <t>Hydro Cannon accuracy</t>
        </is>
      </c>
      <c r="D3791" s="76" t="n">
        <v>90</v>
      </c>
      <c r="E3791" s="76" t="n">
        <v>95</v>
      </c>
      <c r="F3791" s="76" t="inlineStr">
        <is>
          <t>Differs from upstream baseline</t>
        </is>
      </c>
      <c r="G3791" s="76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6" t="inlineStr">
        <is>
          <t>2026-10-01</t>
        </is>
      </c>
      <c r="B3793" s="76" t="inlineStr">
        <is>
          <t>Moves</t>
        </is>
      </c>
      <c r="C3793" s="76" t="inlineStr">
        <is>
          <t>Hydro Pump accuracy</t>
        </is>
      </c>
      <c r="D3793" s="76" t="n">
        <v>80</v>
      </c>
      <c r="E3793" s="76" t="n">
        <v>85</v>
      </c>
      <c r="F3793" s="76" t="inlineStr">
        <is>
          <t>Differs from upstream baseline</t>
        </is>
      </c>
      <c r="G3793" s="76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6" t="inlineStr">
        <is>
          <t>2026-10-01</t>
        </is>
      </c>
      <c r="B3795" s="76" t="inlineStr">
        <is>
          <t>Moves</t>
        </is>
      </c>
      <c r="C3795" s="76" t="inlineStr">
        <is>
          <t>Hyperspace Fury power</t>
        </is>
      </c>
      <c r="D3795" s="76" t="n">
        <v>100</v>
      </c>
      <c r="E3795" s="76" t="n">
        <v>110</v>
      </c>
      <c r="F3795" s="76" t="inlineStr">
        <is>
          <t>Differs from upstream baseline</t>
        </is>
      </c>
      <c r="G3795" s="76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6" t="inlineStr">
        <is>
          <t>2026-10-01</t>
        </is>
      </c>
      <c r="B3797" s="76" t="inlineStr">
        <is>
          <t>Moves</t>
        </is>
      </c>
      <c r="C3797" s="76" t="inlineStr">
        <is>
          <t>Hyper Beam power</t>
        </is>
      </c>
      <c r="D3797" s="76" t="n">
        <v>150</v>
      </c>
      <c r="E3797" s="76" t="n">
        <v>180</v>
      </c>
      <c r="F3797" s="76" t="inlineStr">
        <is>
          <t>Differs from upstream baseline</t>
        </is>
      </c>
      <c r="G3797" s="76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6" t="inlineStr">
        <is>
          <t>2026-10-01</t>
        </is>
      </c>
      <c r="B3799" s="76" t="inlineStr">
        <is>
          <t>Moves</t>
        </is>
      </c>
      <c r="C3799" s="76" t="inlineStr">
        <is>
          <t>Hyper Beam pp</t>
        </is>
      </c>
      <c r="D3799" s="76" t="n">
        <v>5</v>
      </c>
      <c r="E3799" s="76" t="n">
        <v>8</v>
      </c>
      <c r="F3799" s="76" t="inlineStr">
        <is>
          <t>Differs from upstream baseline</t>
        </is>
      </c>
      <c r="G3799" s="76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6" t="inlineStr">
        <is>
          <t>2026-10-01</t>
        </is>
      </c>
      <c r="B3801" s="76" t="inlineStr">
        <is>
          <t>Moves</t>
        </is>
      </c>
      <c r="C3801" s="76" t="inlineStr">
        <is>
          <t>Hyper Fang accuracy</t>
        </is>
      </c>
      <c r="D3801" s="76" t="n">
        <v>90</v>
      </c>
      <c r="E3801" s="76" t="n">
        <v>100</v>
      </c>
      <c r="F3801" s="76" t="inlineStr">
        <is>
          <t>Differs from upstream baseline</t>
        </is>
      </c>
      <c r="G3801" s="76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6" t="inlineStr">
        <is>
          <t>2026-10-01</t>
        </is>
      </c>
      <c r="B3803" s="76" t="inlineStr">
        <is>
          <t>Moves</t>
        </is>
      </c>
      <c r="C3803" s="76" t="inlineStr">
        <is>
          <t>Hypnosis accuracy</t>
        </is>
      </c>
      <c r="D3803" s="76" t="n">
        <v>60</v>
      </c>
      <c r="E3803" s="76" t="n">
        <v>70</v>
      </c>
      <c r="F3803" s="76" t="inlineStr">
        <is>
          <t>Differs from upstream baseline</t>
        </is>
      </c>
      <c r="G3803" s="76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6" t="inlineStr">
        <is>
          <t>2026-10-01</t>
        </is>
      </c>
      <c r="B3805" s="76" t="inlineStr">
        <is>
          <t>Moves</t>
        </is>
      </c>
      <c r="C3805" s="76" t="inlineStr">
        <is>
          <t>Ice Ball accuracy</t>
        </is>
      </c>
      <c r="D3805" s="76" t="n">
        <v>90</v>
      </c>
      <c r="E3805" s="76" t="n">
        <v>70</v>
      </c>
      <c r="F3805" s="76" t="inlineStr">
        <is>
          <t>Differs from upstream baseline</t>
        </is>
      </c>
      <c r="G3805" s="76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6" t="inlineStr">
        <is>
          <t>2026-10-01</t>
        </is>
      </c>
      <c r="B3807" s="76" t="inlineStr">
        <is>
          <t>Moves</t>
        </is>
      </c>
      <c r="C3807" s="76" t="inlineStr">
        <is>
          <t>Ice Burn accuracy</t>
        </is>
      </c>
      <c r="D3807" s="76" t="n">
        <v>90</v>
      </c>
      <c r="E3807" s="76" t="n">
        <v>95</v>
      </c>
      <c r="F3807" s="76" t="inlineStr">
        <is>
          <t>Differs from upstream baseline</t>
        </is>
      </c>
      <c r="G3807" s="76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6" t="inlineStr">
        <is>
          <t>2026-10-01</t>
        </is>
      </c>
      <c r="B3809" s="76" t="inlineStr">
        <is>
          <t>Moves</t>
        </is>
      </c>
      <c r="C3809" s="76" t="inlineStr">
        <is>
          <t>Ice Fang accuracy</t>
        </is>
      </c>
      <c r="D3809" s="76" t="n">
        <v>95</v>
      </c>
      <c r="E3809" s="76" t="n">
        <v>100</v>
      </c>
      <c r="F3809" s="76" t="inlineStr">
        <is>
          <t>Differs from upstream baseline</t>
        </is>
      </c>
      <c r="G3809" s="76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6" t="inlineStr">
        <is>
          <t>2026-10-01</t>
        </is>
      </c>
      <c r="B3811" s="76" t="inlineStr">
        <is>
          <t>Moves</t>
        </is>
      </c>
      <c r="C3811" s="76" t="inlineStr">
        <is>
          <t>Ice Shard pp</t>
        </is>
      </c>
      <c r="D3811" s="76" t="n">
        <v>30</v>
      </c>
      <c r="E3811" s="76" t="n">
        <v>10</v>
      </c>
      <c r="F3811" s="76" t="inlineStr">
        <is>
          <t>Differs from upstream baseline</t>
        </is>
      </c>
      <c r="G3811" s="76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6" t="inlineStr">
        <is>
          <t>2026-10-01</t>
        </is>
      </c>
      <c r="B3813" s="76" t="inlineStr">
        <is>
          <t>Moves</t>
        </is>
      </c>
      <c r="C3813" s="76" t="inlineStr">
        <is>
          <t>Icicle Crash accuracy</t>
        </is>
      </c>
      <c r="D3813" s="76" t="n">
        <v>90</v>
      </c>
      <c r="E3813" s="76" t="n">
        <v>100</v>
      </c>
      <c r="F3813" s="76" t="inlineStr">
        <is>
          <t>Differs from upstream baseline</t>
        </is>
      </c>
      <c r="G3813" s="76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6" t="inlineStr">
        <is>
          <t>2026-10-01</t>
        </is>
      </c>
      <c r="B3815" s="76" t="inlineStr">
        <is>
          <t>Moves</t>
        </is>
      </c>
      <c r="C3815" s="76" t="inlineStr">
        <is>
          <t>Incinerate power</t>
        </is>
      </c>
      <c r="D3815" s="76" t="n">
        <v>60</v>
      </c>
      <c r="E3815" s="76" t="n">
        <v>70</v>
      </c>
      <c r="F3815" s="76" t="inlineStr">
        <is>
          <t>Differs from upstream baseline</t>
        </is>
      </c>
      <c r="G3815" s="76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6" t="inlineStr">
        <is>
          <t>2026-10-01</t>
        </is>
      </c>
      <c r="B3817" s="76" t="inlineStr">
        <is>
          <t>Moves</t>
        </is>
      </c>
      <c r="C3817" s="76" t="inlineStr">
        <is>
          <t>Infestation power</t>
        </is>
      </c>
      <c r="D3817" s="76" t="n">
        <v>20</v>
      </c>
      <c r="E3817" s="76" t="n">
        <v>30</v>
      </c>
      <c r="F3817" s="76" t="inlineStr">
        <is>
          <t>Differs from upstream baseline</t>
        </is>
      </c>
      <c r="G3817" s="76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6" t="inlineStr">
        <is>
          <t>2026-10-01</t>
        </is>
      </c>
      <c r="B3819" s="76" t="inlineStr">
        <is>
          <t>Moves</t>
        </is>
      </c>
      <c r="C3819" s="76" t="inlineStr">
        <is>
          <t>Ingrain pp</t>
        </is>
      </c>
      <c r="D3819" s="76" t="n">
        <v>20</v>
      </c>
      <c r="E3819" s="76" t="n">
        <v>1</v>
      </c>
      <c r="F3819" s="76" t="inlineStr">
        <is>
          <t>Differs from upstream baseline</t>
        </is>
      </c>
      <c r="G3819" s="76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6" t="inlineStr">
        <is>
          <t>2026-10-01</t>
        </is>
      </c>
      <c r="B3821" s="76" t="inlineStr">
        <is>
          <t>Moves</t>
        </is>
      </c>
      <c r="C3821" s="76" t="inlineStr">
        <is>
          <t>Iron Tail power</t>
        </is>
      </c>
      <c r="D3821" s="76" t="n">
        <v>100</v>
      </c>
      <c r="E3821" s="76" t="n">
        <v>120</v>
      </c>
      <c r="F3821" s="76" t="inlineStr">
        <is>
          <t>Differs from upstream baseline</t>
        </is>
      </c>
      <c r="G3821" s="76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6" t="inlineStr">
        <is>
          <t>2026-10-01</t>
        </is>
      </c>
      <c r="B3823" s="76" t="inlineStr">
        <is>
          <t>Moves</t>
        </is>
      </c>
      <c r="C3823" s="76" t="inlineStr">
        <is>
          <t>Judgment power</t>
        </is>
      </c>
      <c r="D3823" s="76" t="n">
        <v>100</v>
      </c>
      <c r="E3823" s="76" t="n">
        <v>120</v>
      </c>
      <c r="F3823" s="76" t="inlineStr">
        <is>
          <t>Differs from upstream baseline</t>
        </is>
      </c>
      <c r="G3823" s="76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6" t="inlineStr">
        <is>
          <t>2026-10-01</t>
        </is>
      </c>
      <c r="B3825" s="76" t="inlineStr">
        <is>
          <t>Moves</t>
        </is>
      </c>
      <c r="C3825" s="76" t="inlineStr">
        <is>
          <t>Jump Kick accuracy</t>
        </is>
      </c>
      <c r="D3825" s="76" t="n">
        <v>95</v>
      </c>
      <c r="E3825" s="76" t="n">
        <v>90</v>
      </c>
      <c r="F3825" s="76" t="inlineStr">
        <is>
          <t>Differs from upstream baseline</t>
        </is>
      </c>
      <c r="G3825" s="76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6" t="inlineStr">
        <is>
          <t>2026-10-01</t>
        </is>
      </c>
      <c r="B3827" s="76" t="inlineStr">
        <is>
          <t>Moves</t>
        </is>
      </c>
      <c r="C3827" s="76" t="inlineStr">
        <is>
          <t>Kinesis accuracy</t>
        </is>
      </c>
      <c r="D3827" s="76" t="n">
        <v>80</v>
      </c>
      <c r="E3827" s="76" t="n">
        <v>100</v>
      </c>
      <c r="F3827" s="76" t="inlineStr">
        <is>
          <t>Differs from upstream baseline</t>
        </is>
      </c>
      <c r="G3827" s="76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6" t="inlineStr">
        <is>
          <t>2026-10-01</t>
        </is>
      </c>
      <c r="B3829" s="76" t="inlineStr">
        <is>
          <t>Moves</t>
        </is>
      </c>
      <c r="C3829" s="76" t="inlineStr">
        <is>
          <t>Land's Wrath power</t>
        </is>
      </c>
      <c r="D3829" s="76" t="n">
        <v>90</v>
      </c>
      <c r="E3829" s="76" t="n">
        <v>95</v>
      </c>
      <c r="F3829" s="76" t="inlineStr">
        <is>
          <t>Differs from upstream baseline</t>
        </is>
      </c>
      <c r="G3829" s="76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6" t="inlineStr">
        <is>
          <t>2026-10-01</t>
        </is>
      </c>
      <c r="B3831" s="76" t="inlineStr">
        <is>
          <t>Moves</t>
        </is>
      </c>
      <c r="C3831" s="76" t="inlineStr">
        <is>
          <t>Leaf Blade power</t>
        </is>
      </c>
      <c r="D3831" s="76" t="n">
        <v>90</v>
      </c>
      <c r="E3831" s="76" t="n">
        <v>95</v>
      </c>
      <c r="F3831" s="76" t="inlineStr">
        <is>
          <t>Differs from upstream baseline</t>
        </is>
      </c>
      <c r="G3831" s="76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6" t="inlineStr">
        <is>
          <t>2026-10-01</t>
        </is>
      </c>
      <c r="B3833" s="76" t="inlineStr">
        <is>
          <t>Moves</t>
        </is>
      </c>
      <c r="C3833" s="76" t="inlineStr">
        <is>
          <t>Leaf Storm accuracy</t>
        </is>
      </c>
      <c r="D3833" s="76" t="n">
        <v>90</v>
      </c>
      <c r="E3833" s="76" t="n">
        <v>85</v>
      </c>
      <c r="F3833" s="76" t="inlineStr">
        <is>
          <t>Differs from upstream baseline</t>
        </is>
      </c>
      <c r="G3833" s="76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6" t="inlineStr">
        <is>
          <t>2026-10-01</t>
        </is>
      </c>
      <c r="B3835" s="76" t="inlineStr">
        <is>
          <t>Moves</t>
        </is>
      </c>
      <c r="C3835" s="76" t="inlineStr">
        <is>
          <t>Leaf Tornado accuracy</t>
        </is>
      </c>
      <c r="D3835" s="76" t="n">
        <v>90</v>
      </c>
      <c r="E3835" s="76" t="n">
        <v>100</v>
      </c>
      <c r="F3835" s="76" t="inlineStr">
        <is>
          <t>Differs from upstream baseline</t>
        </is>
      </c>
      <c r="G3835" s="76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6" t="inlineStr">
        <is>
          <t>2026-10-01</t>
        </is>
      </c>
      <c r="B3837" s="76" t="inlineStr">
        <is>
          <t>Moves</t>
        </is>
      </c>
      <c r="C3837" s="76" t="inlineStr">
        <is>
          <t>Leech Seed accuracy</t>
        </is>
      </c>
      <c r="D3837" s="76" t="n">
        <v>90</v>
      </c>
      <c r="E3837" s="76" t="n">
        <v>0</v>
      </c>
      <c r="F3837" s="76" t="inlineStr">
        <is>
          <t>Differs from upstream baseline</t>
        </is>
      </c>
      <c r="G3837" s="76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6" t="inlineStr">
        <is>
          <t>2026-10-01</t>
        </is>
      </c>
      <c r="B3839" s="76" t="inlineStr">
        <is>
          <t>Moves</t>
        </is>
      </c>
      <c r="C3839" s="76" t="inlineStr">
        <is>
          <t>Lick pp</t>
        </is>
      </c>
      <c r="D3839" s="76" t="n">
        <v>30</v>
      </c>
      <c r="E3839" s="76" t="n">
        <v>15</v>
      </c>
      <c r="F3839" s="76" t="inlineStr">
        <is>
          <t>Differs from upstream baseline</t>
        </is>
      </c>
      <c r="G3839" s="76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6" t="inlineStr">
        <is>
          <t>2026-10-01</t>
        </is>
      </c>
      <c r="B3841" s="76" t="inlineStr">
        <is>
          <t>Moves</t>
        </is>
      </c>
      <c r="C3841" s="76" t="inlineStr">
        <is>
          <t>Light Screen pp</t>
        </is>
      </c>
      <c r="D3841" s="76" t="n">
        <v>30</v>
      </c>
      <c r="E3841" s="76" t="n">
        <v>2</v>
      </c>
      <c r="F3841" s="76" t="inlineStr">
        <is>
          <t>Differs from upstream baseline</t>
        </is>
      </c>
      <c r="G3841" s="76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6" t="inlineStr">
        <is>
          <t>2026-10-01</t>
        </is>
      </c>
      <c r="B3843" s="76" t="inlineStr">
        <is>
          <t>Moves</t>
        </is>
      </c>
      <c r="C3843" s="76" t="inlineStr">
        <is>
          <t>Low Sweep power</t>
        </is>
      </c>
      <c r="D3843" s="76" t="n">
        <v>65</v>
      </c>
      <c r="E3843" s="76" t="n">
        <v>70</v>
      </c>
      <c r="F3843" s="76" t="inlineStr">
        <is>
          <t>Differs from upstream baseline</t>
        </is>
      </c>
      <c r="G3843" s="76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6" t="inlineStr">
        <is>
          <t>2026-10-01</t>
        </is>
      </c>
      <c r="B3845" s="76" t="inlineStr">
        <is>
          <t>Moves</t>
        </is>
      </c>
      <c r="C3845" s="76" t="inlineStr">
        <is>
          <t>Mach Punch pp</t>
        </is>
      </c>
      <c r="D3845" s="76" t="n">
        <v>30</v>
      </c>
      <c r="E3845" s="76" t="n">
        <v>15</v>
      </c>
      <c r="F3845" s="76" t="inlineStr">
        <is>
          <t>Differs from upstream baseline</t>
        </is>
      </c>
      <c r="G3845" s="76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6" t="inlineStr">
        <is>
          <t>2026-10-01</t>
        </is>
      </c>
      <c r="B3847" s="76" t="inlineStr">
        <is>
          <t>Moves</t>
        </is>
      </c>
      <c r="C3847" s="76" t="inlineStr">
        <is>
          <t>Magic Coat accuracy</t>
        </is>
      </c>
      <c r="D3847" s="76" t="n">
        <v>100</v>
      </c>
      <c r="E3847" s="76" t="n">
        <v>0</v>
      </c>
      <c r="F3847" s="76" t="inlineStr">
        <is>
          <t>Differs from upstream baseline</t>
        </is>
      </c>
      <c r="G3847" s="76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6" t="inlineStr">
        <is>
          <t>2026-10-01</t>
        </is>
      </c>
      <c r="B3849" s="76" t="inlineStr">
        <is>
          <t>Moves</t>
        </is>
      </c>
      <c r="C3849" s="76" t="inlineStr">
        <is>
          <t>Magma Storm accuracy</t>
        </is>
      </c>
      <c r="D3849" s="76" t="n">
        <v>75</v>
      </c>
      <c r="E3849" s="76" t="n">
        <v>100</v>
      </c>
      <c r="F3849" s="76" t="inlineStr">
        <is>
          <t>Differs from upstream baseline</t>
        </is>
      </c>
      <c r="G3849" s="76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6" t="inlineStr">
        <is>
          <t>2026-10-01</t>
        </is>
      </c>
      <c r="B3851" s="76" t="inlineStr">
        <is>
          <t>Moves</t>
        </is>
      </c>
      <c r="C3851" s="76" t="inlineStr">
        <is>
          <t>Meditate pp</t>
        </is>
      </c>
      <c r="D3851" s="76" t="n">
        <v>40</v>
      </c>
      <c r="E3851" s="76" t="n">
        <v>1</v>
      </c>
      <c r="F3851" s="76" t="inlineStr">
        <is>
          <t>Differs from upstream baseline</t>
        </is>
      </c>
      <c r="G3851" s="76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6" t="inlineStr">
        <is>
          <t>2026-10-01</t>
        </is>
      </c>
      <c r="B3853" s="76" t="inlineStr">
        <is>
          <t>Moves</t>
        </is>
      </c>
      <c r="C3853" s="76" t="inlineStr">
        <is>
          <t>Mega Kick power</t>
        </is>
      </c>
      <c r="D3853" s="76" t="n">
        <v>120</v>
      </c>
      <c r="E3853" s="76" t="n">
        <v>140</v>
      </c>
      <c r="F3853" s="76" t="inlineStr">
        <is>
          <t>Differs from upstream baseline</t>
        </is>
      </c>
      <c r="G3853" s="76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6" t="inlineStr">
        <is>
          <t>2026-10-01</t>
        </is>
      </c>
      <c r="B3855" s="76" t="inlineStr">
        <is>
          <t>Moves</t>
        </is>
      </c>
      <c r="C3855" s="76" t="inlineStr">
        <is>
          <t>Mega Kick pp</t>
        </is>
      </c>
      <c r="D3855" s="76" t="n">
        <v>5</v>
      </c>
      <c r="E3855" s="76" t="n">
        <v>8</v>
      </c>
      <c r="F3855" s="76" t="inlineStr">
        <is>
          <t>Differs from upstream baseline</t>
        </is>
      </c>
      <c r="G3855" s="76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6" t="inlineStr">
        <is>
          <t>2026-10-01</t>
        </is>
      </c>
      <c r="B3857" s="76" t="inlineStr">
        <is>
          <t>Moves</t>
        </is>
      </c>
      <c r="C3857" s="76" t="inlineStr">
        <is>
          <t>Memento power</t>
        </is>
      </c>
      <c r="D3857" s="76" t="n">
        <v>0</v>
      </c>
      <c r="E3857" s="76" t="n">
        <v>255</v>
      </c>
      <c r="F3857" s="76" t="inlineStr">
        <is>
          <t>Differs from upstream baseline</t>
        </is>
      </c>
      <c r="G3857" s="76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6" t="inlineStr">
        <is>
          <t>2026-10-01</t>
        </is>
      </c>
      <c r="B3859" s="76" t="inlineStr">
        <is>
          <t>Moves</t>
        </is>
      </c>
      <c r="C3859" s="76" t="inlineStr">
        <is>
          <t>Metal Sound accuracy</t>
        </is>
      </c>
      <c r="D3859" s="76" t="n">
        <v>85</v>
      </c>
      <c r="E3859" s="76" t="n">
        <v>100</v>
      </c>
      <c r="F3859" s="76" t="inlineStr">
        <is>
          <t>Differs from upstream baseline</t>
        </is>
      </c>
      <c r="G3859" s="76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6" t="inlineStr">
        <is>
          <t>2026-10-01</t>
        </is>
      </c>
      <c r="B3861" s="76" t="inlineStr">
        <is>
          <t>Moves</t>
        </is>
      </c>
      <c r="C3861" s="76" t="inlineStr">
        <is>
          <t>Meteor Mash power</t>
        </is>
      </c>
      <c r="D3861" s="76" t="n">
        <v>90</v>
      </c>
      <c r="E3861" s="76" t="n">
        <v>100</v>
      </c>
      <c r="F3861" s="76" t="inlineStr">
        <is>
          <t>Differs from upstream baseline</t>
        </is>
      </c>
      <c r="G3861" s="76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6" t="inlineStr">
        <is>
          <t>2026-10-01</t>
        </is>
      </c>
      <c r="B3863" s="76" t="inlineStr">
        <is>
          <t>Moves</t>
        </is>
      </c>
      <c r="C3863" s="76" t="inlineStr">
        <is>
          <t>Metronome pp</t>
        </is>
      </c>
      <c r="D3863" s="76" t="n">
        <v>10</v>
      </c>
      <c r="E3863" s="76" t="n">
        <v>40</v>
      </c>
      <c r="F3863" s="76" t="inlineStr">
        <is>
          <t>Differs from upstream baseline</t>
        </is>
      </c>
      <c r="G3863" s="76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6" t="inlineStr">
        <is>
          <t>2026-10-01</t>
        </is>
      </c>
      <c r="B3865" s="76" t="inlineStr">
        <is>
          <t>Moves</t>
        </is>
      </c>
      <c r="C3865" s="76" t="inlineStr">
        <is>
          <t>Minimize pp</t>
        </is>
      </c>
      <c r="D3865" s="76" t="n">
        <v>10</v>
      </c>
      <c r="E3865" s="76" t="n">
        <v>3</v>
      </c>
      <c r="F3865" s="76" t="inlineStr">
        <is>
          <t>Differs from upstream baseline</t>
        </is>
      </c>
      <c r="G3865" s="76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6" t="inlineStr">
        <is>
          <t>2026-10-01</t>
        </is>
      </c>
      <c r="B3867" s="76" t="inlineStr">
        <is>
          <t>Moves</t>
        </is>
      </c>
      <c r="C3867" s="76" t="inlineStr">
        <is>
          <t>Mirror Shot accuracy</t>
        </is>
      </c>
      <c r="D3867" s="76" t="n">
        <v>85</v>
      </c>
      <c r="E3867" s="76" t="n">
        <v>100</v>
      </c>
      <c r="F3867" s="76" t="inlineStr">
        <is>
          <t>Differs from upstream baseline</t>
        </is>
      </c>
      <c r="G3867" s="76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6" t="inlineStr">
        <is>
          <t>2026-10-01</t>
        </is>
      </c>
      <c r="B3869" s="76" t="inlineStr">
        <is>
          <t>Moves</t>
        </is>
      </c>
      <c r="C3869" s="76" t="inlineStr">
        <is>
          <t>Mist Ball power</t>
        </is>
      </c>
      <c r="D3869" s="76" t="n">
        <v>95</v>
      </c>
      <c r="E3869" s="76" t="n">
        <v>100</v>
      </c>
      <c r="F3869" s="76" t="inlineStr">
        <is>
          <t>Differs from upstream baseline</t>
        </is>
      </c>
      <c r="G3869" s="76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6" t="inlineStr">
        <is>
          <t>2026-10-01</t>
        </is>
      </c>
      <c r="B3871" s="76" t="inlineStr">
        <is>
          <t>Moves</t>
        </is>
      </c>
      <c r="C3871" s="76" t="inlineStr">
        <is>
          <t>Muddy Water accuracy</t>
        </is>
      </c>
      <c r="D3871" s="76" t="n">
        <v>85</v>
      </c>
      <c r="E3871" s="76" t="n">
        <v>100</v>
      </c>
      <c r="F3871" s="76" t="inlineStr">
        <is>
          <t>Differs from upstream baseline</t>
        </is>
      </c>
      <c r="G3871" s="76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6" t="inlineStr">
        <is>
          <t>2026-10-01</t>
        </is>
      </c>
      <c r="B3873" s="76" t="inlineStr">
        <is>
          <t>Moves</t>
        </is>
      </c>
      <c r="C3873" s="76" t="inlineStr">
        <is>
          <t>Mud Shot accuracy</t>
        </is>
      </c>
      <c r="D3873" s="76" t="n">
        <v>95</v>
      </c>
      <c r="E3873" s="76" t="n">
        <v>100</v>
      </c>
      <c r="F3873" s="76" t="inlineStr">
        <is>
          <t>Differs from upstream baseline</t>
        </is>
      </c>
      <c r="G3873" s="76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6" t="inlineStr">
        <is>
          <t>2026-10-01</t>
        </is>
      </c>
      <c r="B3875" s="76" t="inlineStr">
        <is>
          <t>Moves</t>
        </is>
      </c>
      <c r="C3875" s="76" t="inlineStr">
        <is>
          <t>Mystical Fire pp</t>
        </is>
      </c>
      <c r="D3875" s="76" t="n">
        <v>10</v>
      </c>
      <c r="E3875" s="76" t="n">
        <v>20</v>
      </c>
      <c r="F3875" s="76" t="inlineStr">
        <is>
          <t>Differs from upstream baseline</t>
        </is>
      </c>
      <c r="G3875" s="76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6" t="inlineStr">
        <is>
          <t>2026-10-01</t>
        </is>
      </c>
      <c r="B3877" s="76" t="inlineStr">
        <is>
          <t>Moves</t>
        </is>
      </c>
      <c r="C3877" s="76" t="inlineStr">
        <is>
          <t>Nasty Plot type</t>
        </is>
      </c>
      <c r="D3877" s="76" t="inlineStr">
        <is>
          <t>TYPE_DARK</t>
        </is>
      </c>
      <c r="E3877" s="76" t="inlineStr">
        <is>
          <t>TYPE_MYSTERY</t>
        </is>
      </c>
      <c r="F3877" s="76" t="inlineStr">
        <is>
          <t>Differs from upstream baseline</t>
        </is>
      </c>
      <c r="G3877" s="76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6" t="inlineStr">
        <is>
          <t>2026-10-01</t>
        </is>
      </c>
      <c r="B3879" s="76" t="inlineStr">
        <is>
          <t>Moves</t>
        </is>
      </c>
      <c r="C3879" s="76" t="inlineStr">
        <is>
          <t>Nature Power power</t>
        </is>
      </c>
      <c r="D3879" s="76" t="n">
        <v>1</v>
      </c>
      <c r="E3879" s="76" t="n">
        <v>0</v>
      </c>
      <c r="F3879" s="76" t="inlineStr">
        <is>
          <t>Differs from upstream baseline</t>
        </is>
      </c>
      <c r="G3879" s="76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6" t="inlineStr">
        <is>
          <t>2026-10-01</t>
        </is>
      </c>
      <c r="B3881" s="76" t="inlineStr">
        <is>
          <t>Moves</t>
        </is>
      </c>
      <c r="C3881" s="76" t="inlineStr">
        <is>
          <t>Night Daze power</t>
        </is>
      </c>
      <c r="D3881" s="76" t="n">
        <v>85</v>
      </c>
      <c r="E3881" s="76" t="n">
        <v>90</v>
      </c>
      <c r="F3881" s="76" t="inlineStr">
        <is>
          <t>Differs from upstream baseline</t>
        </is>
      </c>
      <c r="G3881" s="76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6" t="inlineStr">
        <is>
          <t>2026-10-01</t>
        </is>
      </c>
      <c r="B3883" s="76" t="inlineStr">
        <is>
          <t>Moves</t>
        </is>
      </c>
      <c r="C3883" s="76" t="inlineStr">
        <is>
          <t>Noble Roar pp</t>
        </is>
      </c>
      <c r="D3883" s="76" t="n">
        <v>30</v>
      </c>
      <c r="E3883" s="76" t="n">
        <v>20</v>
      </c>
      <c r="F3883" s="76" t="inlineStr">
        <is>
          <t>Differs from upstream baseline</t>
        </is>
      </c>
      <c r="G3883" s="76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6" t="inlineStr">
        <is>
          <t>2026-10-01</t>
        </is>
      </c>
      <c r="B3885" s="76" t="inlineStr">
        <is>
          <t>Moves</t>
        </is>
      </c>
      <c r="C3885" s="76" t="inlineStr">
        <is>
          <t>Oblivion Wing power</t>
        </is>
      </c>
      <c r="D3885" s="76" t="n">
        <v>80</v>
      </c>
      <c r="E3885" s="76" t="n">
        <v>85</v>
      </c>
      <c r="F3885" s="76" t="inlineStr">
        <is>
          <t>Differs from upstream baseline</t>
        </is>
      </c>
      <c r="G3885" s="76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6" t="inlineStr">
        <is>
          <t>2026-10-01</t>
        </is>
      </c>
      <c r="B3887" s="76" t="inlineStr">
        <is>
          <t>Moves</t>
        </is>
      </c>
      <c r="C3887" s="76" t="inlineStr">
        <is>
          <t>Octazooka accuracy</t>
        </is>
      </c>
      <c r="D3887" s="76" t="n">
        <v>85</v>
      </c>
      <c r="E3887" s="76" t="n">
        <v>100</v>
      </c>
      <c r="F3887" s="76" t="inlineStr">
        <is>
          <t>Differs from upstream baseline</t>
        </is>
      </c>
      <c r="G3887" s="76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6" t="inlineStr">
        <is>
          <t>2026-10-01</t>
        </is>
      </c>
      <c r="B3889" s="76" t="inlineStr">
        <is>
          <t>Moves</t>
        </is>
      </c>
      <c r="C3889" s="76" t="inlineStr">
        <is>
          <t>Ominous Wind accuracy</t>
        </is>
      </c>
      <c r="D3889" s="76" t="n">
        <v>100</v>
      </c>
      <c r="E3889" s="76" t="n">
        <v>0</v>
      </c>
      <c r="F3889" s="76" t="inlineStr">
        <is>
          <t>Differs from upstream baseline</t>
        </is>
      </c>
      <c r="G3889" s="76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6" t="inlineStr">
        <is>
          <t>2026-10-01</t>
        </is>
      </c>
      <c r="B3891" s="76" t="inlineStr">
        <is>
          <t>Moves</t>
        </is>
      </c>
      <c r="C3891" s="76" t="inlineStr">
        <is>
          <t>Outrage power</t>
        </is>
      </c>
      <c r="D3891" s="76" t="n">
        <v>120</v>
      </c>
      <c r="E3891" s="76" t="n">
        <v>140</v>
      </c>
      <c r="F3891" s="76" t="inlineStr">
        <is>
          <t>Differs from upstream baseline</t>
        </is>
      </c>
      <c r="G3891" s="76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6" t="inlineStr">
        <is>
          <t>2026-10-01</t>
        </is>
      </c>
      <c r="B3893" s="76" t="inlineStr">
        <is>
          <t>Moves</t>
        </is>
      </c>
      <c r="C3893" s="76" t="inlineStr">
        <is>
          <t>Overheat power</t>
        </is>
      </c>
      <c r="D3893" s="76" t="n">
        <v>130</v>
      </c>
      <c r="E3893" s="76" t="n">
        <v>120</v>
      </c>
      <c r="F3893" s="76" t="inlineStr">
        <is>
          <t>Differs from upstream baseline</t>
        </is>
      </c>
      <c r="G3893" s="76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6" t="inlineStr">
        <is>
          <t>2026-10-01</t>
        </is>
      </c>
      <c r="B3895" s="76" t="inlineStr">
        <is>
          <t>Moves</t>
        </is>
      </c>
      <c r="C3895" s="76" t="inlineStr">
        <is>
          <t>Parabolic Charge power</t>
        </is>
      </c>
      <c r="D3895" s="76" t="n">
        <v>65</v>
      </c>
      <c r="E3895" s="76" t="n">
        <v>75</v>
      </c>
      <c r="F3895" s="76" t="inlineStr">
        <is>
          <t>Differs from upstream baseline</t>
        </is>
      </c>
      <c r="G3895" s="76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6" t="inlineStr">
        <is>
          <t>2026-10-01</t>
        </is>
      </c>
      <c r="B3897" s="76" t="inlineStr">
        <is>
          <t>Moves</t>
        </is>
      </c>
      <c r="C3897" s="76" t="inlineStr">
        <is>
          <t>Payback power</t>
        </is>
      </c>
      <c r="D3897" s="76" t="n">
        <v>50</v>
      </c>
      <c r="E3897" s="76" t="n">
        <v>60</v>
      </c>
      <c r="F3897" s="76" t="inlineStr">
        <is>
          <t>Differs from upstream baseline</t>
        </is>
      </c>
      <c r="G3897" s="76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6" t="inlineStr">
        <is>
          <t>2026-10-01</t>
        </is>
      </c>
      <c r="B3899" s="76" t="inlineStr">
        <is>
          <t>Moves</t>
        </is>
      </c>
      <c r="C3899" s="76" t="inlineStr">
        <is>
          <t>Petal Blizzard power</t>
        </is>
      </c>
      <c r="D3899" s="76" t="n">
        <v>90</v>
      </c>
      <c r="E3899" s="76" t="n">
        <v>100</v>
      </c>
      <c r="F3899" s="76" t="inlineStr">
        <is>
          <t>Differs from upstream baseline</t>
        </is>
      </c>
      <c r="G3899" s="76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6" t="inlineStr">
        <is>
          <t>2026-10-01</t>
        </is>
      </c>
      <c r="B3901" s="76" t="inlineStr">
        <is>
          <t>Moves</t>
        </is>
      </c>
      <c r="C3901" s="76" t="inlineStr">
        <is>
          <t>Petal Dance pp</t>
        </is>
      </c>
      <c r="D3901" s="76" t="n">
        <v>10</v>
      </c>
      <c r="E3901" s="76" t="n">
        <v>20</v>
      </c>
      <c r="F3901" s="76" t="inlineStr">
        <is>
          <t>Differs from upstream baseline</t>
        </is>
      </c>
      <c r="G3901" s="76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6" t="inlineStr">
        <is>
          <t>2026-10-01</t>
        </is>
      </c>
      <c r="B3903" s="76" t="inlineStr">
        <is>
          <t>Moves</t>
        </is>
      </c>
      <c r="C3903" s="76" t="inlineStr">
        <is>
          <t>Pin Missile accuracy</t>
        </is>
      </c>
      <c r="D3903" s="76" t="n">
        <v>95</v>
      </c>
      <c r="E3903" s="76" t="n">
        <v>100</v>
      </c>
      <c r="F3903" s="76" t="inlineStr">
        <is>
          <t>Differs from upstream baseline</t>
        </is>
      </c>
      <c r="G3903" s="76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6" t="inlineStr">
        <is>
          <t>2026-10-01</t>
        </is>
      </c>
      <c r="B3905" s="76" t="inlineStr">
        <is>
          <t>Moves</t>
        </is>
      </c>
      <c r="C3905" s="76" t="inlineStr">
        <is>
          <t>Play Rough power</t>
        </is>
      </c>
      <c r="D3905" s="76" t="n">
        <v>90</v>
      </c>
      <c r="E3905" s="76" t="n">
        <v>95</v>
      </c>
      <c r="F3905" s="76" t="inlineStr">
        <is>
          <t>Differs from upstream baseline</t>
        </is>
      </c>
      <c r="G3905" s="76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6" t="inlineStr">
        <is>
          <t>2026-10-01</t>
        </is>
      </c>
      <c r="B3907" s="76" t="inlineStr">
        <is>
          <t>Moves</t>
        </is>
      </c>
      <c r="C3907" s="76" t="inlineStr">
        <is>
          <t>Pluck power</t>
        </is>
      </c>
      <c r="D3907" s="76" t="n">
        <v>60</v>
      </c>
      <c r="E3907" s="76" t="n">
        <v>50</v>
      </c>
      <c r="F3907" s="76" t="inlineStr">
        <is>
          <t>Differs from upstream baseline</t>
        </is>
      </c>
      <c r="G3907" s="76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6" t="inlineStr">
        <is>
          <t>2026-10-01</t>
        </is>
      </c>
      <c r="B3909" s="76" t="inlineStr">
        <is>
          <t>Moves</t>
        </is>
      </c>
      <c r="C3909" s="76" t="inlineStr">
        <is>
          <t>Poison Fang power</t>
        </is>
      </c>
      <c r="D3909" s="76" t="n">
        <v>50</v>
      </c>
      <c r="E3909" s="76" t="n">
        <v>90</v>
      </c>
      <c r="F3909" s="76" t="inlineStr">
        <is>
          <t>Differs from upstream baseline</t>
        </is>
      </c>
      <c r="G3909" s="76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6" t="inlineStr">
        <is>
          <t>2026-10-01</t>
        </is>
      </c>
      <c r="B3911" s="76" t="inlineStr">
        <is>
          <t>Moves</t>
        </is>
      </c>
      <c r="C3911" s="76" t="inlineStr">
        <is>
          <t>Poison Powder accuracy</t>
        </is>
      </c>
      <c r="D3911" s="76" t="n">
        <v>75</v>
      </c>
      <c r="E3911" s="76" t="n">
        <v>100</v>
      </c>
      <c r="F3911" s="76" t="inlineStr">
        <is>
          <t>Differs from upstream baseline</t>
        </is>
      </c>
      <c r="G3911" s="76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6" t="inlineStr">
        <is>
          <t>2026-10-01</t>
        </is>
      </c>
      <c r="B3913" s="76" t="inlineStr">
        <is>
          <t>Moves</t>
        </is>
      </c>
      <c r="C3913" s="76" t="inlineStr">
        <is>
          <t>Poison Tail power</t>
        </is>
      </c>
      <c r="D3913" s="76" t="n">
        <v>50</v>
      </c>
      <c r="E3913" s="76" t="n">
        <v>120</v>
      </c>
      <c r="F3913" s="76" t="inlineStr">
        <is>
          <t>Differs from upstream baseline</t>
        </is>
      </c>
      <c r="G3913" s="76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6" t="inlineStr">
        <is>
          <t>2026-10-01</t>
        </is>
      </c>
      <c r="B3915" s="76" t="inlineStr">
        <is>
          <t>Moves</t>
        </is>
      </c>
      <c r="C3915" s="76" t="inlineStr">
        <is>
          <t>Power Gem power</t>
        </is>
      </c>
      <c r="D3915" s="76" t="n">
        <v>80</v>
      </c>
      <c r="E3915" s="76" t="n">
        <v>90</v>
      </c>
      <c r="F3915" s="76" t="inlineStr">
        <is>
          <t>Differs from upstream baseline</t>
        </is>
      </c>
      <c r="G3915" s="76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6" t="inlineStr">
        <is>
          <t>2026-10-01</t>
        </is>
      </c>
      <c r="B3917" s="76" t="inlineStr">
        <is>
          <t>Moves</t>
        </is>
      </c>
      <c r="C3917" s="76" t="inlineStr">
        <is>
          <t>Power-Up Punch power</t>
        </is>
      </c>
      <c r="D3917" s="76" t="n">
        <v>40</v>
      </c>
      <c r="E3917" s="76" t="n">
        <v>50</v>
      </c>
      <c r="F3917" s="76" t="inlineStr">
        <is>
          <t>Differs from upstream baseline</t>
        </is>
      </c>
      <c r="G3917" s="76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6" t="inlineStr">
        <is>
          <t>2026-10-01</t>
        </is>
      </c>
      <c r="B3919" s="76" t="inlineStr">
        <is>
          <t>Moves</t>
        </is>
      </c>
      <c r="C3919" s="76" t="inlineStr">
        <is>
          <t>Precipice Blades power</t>
        </is>
      </c>
      <c r="D3919" s="76" t="n">
        <v>120</v>
      </c>
      <c r="E3919" s="76" t="n">
        <v>130</v>
      </c>
      <c r="F3919" s="76" t="inlineStr">
        <is>
          <t>Differs from upstream baseline</t>
        </is>
      </c>
      <c r="G3919" s="76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6" t="inlineStr">
        <is>
          <t>2026-10-01</t>
        </is>
      </c>
      <c r="B3921" s="76" t="inlineStr">
        <is>
          <t>Moves</t>
        </is>
      </c>
      <c r="C3921" s="76" t="inlineStr">
        <is>
          <t>Psycho Boost accuracy</t>
        </is>
      </c>
      <c r="D3921" s="76" t="n">
        <v>90</v>
      </c>
      <c r="E3921" s="76" t="n">
        <v>100</v>
      </c>
      <c r="F3921" s="76" t="inlineStr">
        <is>
          <t>Differs from upstream baseline</t>
        </is>
      </c>
      <c r="G3921" s="76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6" t="inlineStr">
        <is>
          <t>2026-10-01</t>
        </is>
      </c>
      <c r="B3923" s="76" t="inlineStr">
        <is>
          <t>Moves</t>
        </is>
      </c>
      <c r="C3923" s="76" t="inlineStr">
        <is>
          <t>Psyshock power</t>
        </is>
      </c>
      <c r="D3923" s="76" t="n">
        <v>80</v>
      </c>
      <c r="E3923" s="76" t="n">
        <v>85</v>
      </c>
      <c r="F3923" s="76" t="inlineStr">
        <is>
          <t>Differs from upstream baseline</t>
        </is>
      </c>
      <c r="G3923" s="76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6" t="inlineStr">
        <is>
          <t>2026-10-01</t>
        </is>
      </c>
      <c r="B3925" s="76" t="inlineStr">
        <is>
          <t>Moves</t>
        </is>
      </c>
      <c r="C3925" s="76" t="inlineStr">
        <is>
          <t>Pursuit power</t>
        </is>
      </c>
      <c r="D3925" s="76" t="n">
        <v>40</v>
      </c>
      <c r="E3925" s="76" t="n">
        <v>70</v>
      </c>
      <c r="F3925" s="76" t="inlineStr">
        <is>
          <t>Differs from upstream baseline</t>
        </is>
      </c>
      <c r="G3925" s="76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6" t="inlineStr">
        <is>
          <t>2026-10-01</t>
        </is>
      </c>
      <c r="B3927" s="76" t="inlineStr">
        <is>
          <t>Moves</t>
        </is>
      </c>
      <c r="C3927" s="76" t="inlineStr">
        <is>
          <t>Quiver Dance pp</t>
        </is>
      </c>
      <c r="D3927" s="76" t="n">
        <v>20</v>
      </c>
      <c r="E3927" s="76" t="n">
        <v>3</v>
      </c>
      <c r="F3927" s="76" t="inlineStr">
        <is>
          <t>Differs from upstream baseline</t>
        </is>
      </c>
      <c r="G3927" s="76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6" t="inlineStr">
        <is>
          <t>2026-10-01</t>
        </is>
      </c>
      <c r="B3929" s="76" t="inlineStr">
        <is>
          <t>Moves</t>
        </is>
      </c>
      <c r="C3929" s="76" t="inlineStr">
        <is>
          <t>Rage type</t>
        </is>
      </c>
      <c r="D3929" s="76" t="inlineStr">
        <is>
          <t>TYPE_NORMAL</t>
        </is>
      </c>
      <c r="E3929" s="76" t="inlineStr">
        <is>
          <t>TYPE_FIGHTING</t>
        </is>
      </c>
      <c r="F3929" s="76" t="inlineStr">
        <is>
          <t>Differs from upstream baseline</t>
        </is>
      </c>
      <c r="G3929" s="76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6" t="inlineStr">
        <is>
          <t>2026-10-01</t>
        </is>
      </c>
      <c r="B3931" s="76" t="inlineStr">
        <is>
          <t>Moves</t>
        </is>
      </c>
      <c r="C3931" s="76" t="inlineStr">
        <is>
          <t>Rapid Spin power</t>
        </is>
      </c>
      <c r="D3931" s="76" t="n">
        <v>50</v>
      </c>
      <c r="E3931" s="76" t="n">
        <v>60</v>
      </c>
      <c r="F3931" s="76" t="inlineStr">
        <is>
          <t>Differs from upstream baseline</t>
        </is>
      </c>
      <c r="G3931" s="76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6" t="inlineStr">
        <is>
          <t>2026-10-01</t>
        </is>
      </c>
      <c r="B3933" s="76" t="inlineStr">
        <is>
          <t>Moves</t>
        </is>
      </c>
      <c r="C3933" s="76" t="inlineStr">
        <is>
          <t>Razor Leaf power</t>
        </is>
      </c>
      <c r="D3933" s="76" t="n">
        <v>55</v>
      </c>
      <c r="E3933" s="76" t="n">
        <v>60</v>
      </c>
      <c r="F3933" s="76" t="inlineStr">
        <is>
          <t>Differs from upstream baseline</t>
        </is>
      </c>
      <c r="G3933" s="76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6" t="inlineStr">
        <is>
          <t>2026-10-01</t>
        </is>
      </c>
      <c r="B3935" s="76" t="inlineStr">
        <is>
          <t>Moves</t>
        </is>
      </c>
      <c r="C3935" s="76" t="inlineStr">
        <is>
          <t>Razor Shell power</t>
        </is>
      </c>
      <c r="D3935" s="76" t="n">
        <v>75</v>
      </c>
      <c r="E3935" s="76" t="n">
        <v>85</v>
      </c>
      <c r="F3935" s="76" t="inlineStr">
        <is>
          <t>Differs from upstream baseline</t>
        </is>
      </c>
      <c r="G3935" s="76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6" t="inlineStr">
        <is>
          <t>2026-10-01</t>
        </is>
      </c>
      <c r="B3937" s="76" t="inlineStr">
        <is>
          <t>Moves</t>
        </is>
      </c>
      <c r="C3937" s="76" t="inlineStr">
        <is>
          <t>Recover pp</t>
        </is>
      </c>
      <c r="D3937" s="76" t="n">
        <v>5</v>
      </c>
      <c r="E3937" s="76" t="n">
        <v>10</v>
      </c>
      <c r="F3937" s="76" t="inlineStr">
        <is>
          <t>Differs from upstream baseline</t>
        </is>
      </c>
      <c r="G3937" s="76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6" t="inlineStr">
        <is>
          <t>2026-10-01</t>
        </is>
      </c>
      <c r="B3939" s="76" t="inlineStr">
        <is>
          <t>Moves</t>
        </is>
      </c>
      <c r="C3939" s="76" t="inlineStr">
        <is>
          <t>Recycle pp</t>
        </is>
      </c>
      <c r="D3939" s="76" t="n">
        <v>10</v>
      </c>
      <c r="E3939" s="76" t="n">
        <v>15</v>
      </c>
      <c r="F3939" s="76" t="inlineStr">
        <is>
          <t>Differs from upstream baseline</t>
        </is>
      </c>
      <c r="G3939" s="76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6" t="inlineStr">
        <is>
          <t>2026-10-01</t>
        </is>
      </c>
      <c r="B3941" s="76" t="inlineStr">
        <is>
          <t>Moves</t>
        </is>
      </c>
      <c r="C3941" s="76" t="inlineStr">
        <is>
          <t>Refresh accuracy</t>
        </is>
      </c>
      <c r="D3941" s="76" t="n">
        <v>100</v>
      </c>
      <c r="E3941" s="76" t="n">
        <v>0</v>
      </c>
      <c r="F3941" s="76" t="inlineStr">
        <is>
          <t>Differs from upstream baseline</t>
        </is>
      </c>
      <c r="G3941" s="76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6" t="inlineStr">
        <is>
          <t>2026-10-01</t>
        </is>
      </c>
      <c r="B3943" s="76" t="inlineStr">
        <is>
          <t>Moves</t>
        </is>
      </c>
      <c r="C3943" s="76" t="inlineStr">
        <is>
          <t>Relic Song power</t>
        </is>
      </c>
      <c r="D3943" s="76" t="n">
        <v>75</v>
      </c>
      <c r="E3943" s="76" t="n">
        <v>85</v>
      </c>
      <c r="F3943" s="76" t="inlineStr">
        <is>
          <t>Differs from upstream baseline</t>
        </is>
      </c>
      <c r="G3943" s="76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6" t="inlineStr">
        <is>
          <t>2026-10-01</t>
        </is>
      </c>
      <c r="B3945" s="76" t="inlineStr">
        <is>
          <t>Moves</t>
        </is>
      </c>
      <c r="C3945" s="76" t="inlineStr">
        <is>
          <t>Retaliate power</t>
        </is>
      </c>
      <c r="D3945" s="76" t="n">
        <v>70</v>
      </c>
      <c r="E3945" s="76" t="n">
        <v>80</v>
      </c>
      <c r="F3945" s="76" t="inlineStr">
        <is>
          <t>Differs from upstream baseline</t>
        </is>
      </c>
      <c r="G3945" s="76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6" t="inlineStr">
        <is>
          <t>2026-10-01</t>
        </is>
      </c>
      <c r="B3947" s="76" t="inlineStr">
        <is>
          <t>Moves</t>
        </is>
      </c>
      <c r="C3947" s="76" t="inlineStr">
        <is>
          <t>Return power</t>
        </is>
      </c>
      <c r="D3947" s="76" t="n">
        <v>1</v>
      </c>
      <c r="E3947" s="76" t="n">
        <v>121</v>
      </c>
      <c r="F3947" s="76" t="inlineStr">
        <is>
          <t>Differs from upstream baseline</t>
        </is>
      </c>
      <c r="G3947" s="76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6" t="inlineStr">
        <is>
          <t>2026-10-01</t>
        </is>
      </c>
      <c r="B3949" s="76" t="inlineStr">
        <is>
          <t>Moves</t>
        </is>
      </c>
      <c r="C3949" s="76" t="inlineStr">
        <is>
          <t>Roar of Time accuracy</t>
        </is>
      </c>
      <c r="D3949" s="76" t="n">
        <v>90</v>
      </c>
      <c r="E3949" s="76" t="n">
        <v>100</v>
      </c>
      <c r="F3949" s="76" t="inlineStr">
        <is>
          <t>Differs from upstream baseline</t>
        </is>
      </c>
      <c r="G3949" s="76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6" t="inlineStr">
        <is>
          <t>2026-10-01</t>
        </is>
      </c>
      <c r="B3951" s="76" t="inlineStr">
        <is>
          <t>Moves</t>
        </is>
      </c>
      <c r="C3951" s="76" t="inlineStr">
        <is>
          <t>Rock Blast pp</t>
        </is>
      </c>
      <c r="D3951" s="76" t="n">
        <v>10</v>
      </c>
      <c r="E3951" s="76" t="n">
        <v>8</v>
      </c>
      <c r="F3951" s="76" t="inlineStr">
        <is>
          <t>Differs from upstream baseline</t>
        </is>
      </c>
      <c r="G3951" s="76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6" t="inlineStr">
        <is>
          <t>2026-10-01</t>
        </is>
      </c>
      <c r="B3953" s="76" t="inlineStr">
        <is>
          <t>Moves</t>
        </is>
      </c>
      <c r="C3953" s="76" t="inlineStr">
        <is>
          <t>Rock Climb type</t>
        </is>
      </c>
      <c r="D3953" s="76" t="inlineStr">
        <is>
          <t>TYPE_NORMAL</t>
        </is>
      </c>
      <c r="E3953" s="76" t="inlineStr">
        <is>
          <t>TYPE_ROCK</t>
        </is>
      </c>
      <c r="F3953" s="76" t="inlineStr">
        <is>
          <t>Differs from upstream baseline</t>
        </is>
      </c>
      <c r="G3953" s="76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6" t="inlineStr">
        <is>
          <t>2026-10-01</t>
        </is>
      </c>
      <c r="B3955" s="76" t="inlineStr">
        <is>
          <t>Moves</t>
        </is>
      </c>
      <c r="C3955" s="76" t="inlineStr">
        <is>
          <t>Rock Slide accuracy</t>
        </is>
      </c>
      <c r="D3955" s="76" t="n">
        <v>90</v>
      </c>
      <c r="E3955" s="76" t="n">
        <v>100</v>
      </c>
      <c r="F3955" s="76" t="inlineStr">
        <is>
          <t>Differs from upstream baseline</t>
        </is>
      </c>
      <c r="G3955" s="76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6" t="inlineStr">
        <is>
          <t>2026-10-01</t>
        </is>
      </c>
      <c r="B3957" s="76" t="inlineStr">
        <is>
          <t>Moves</t>
        </is>
      </c>
      <c r="C3957" s="76" t="inlineStr">
        <is>
          <t>Rock Tomb power</t>
        </is>
      </c>
      <c r="D3957" s="76" t="n">
        <v>60</v>
      </c>
      <c r="E3957" s="76" t="n">
        <v>70</v>
      </c>
      <c r="F3957" s="76" t="inlineStr">
        <is>
          <t>Differs from upstream baseline</t>
        </is>
      </c>
      <c r="G3957" s="76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6" t="inlineStr">
        <is>
          <t>2026-10-01</t>
        </is>
      </c>
      <c r="B3959" s="76" t="inlineStr">
        <is>
          <t>Moves</t>
        </is>
      </c>
      <c r="C3959" s="76" t="inlineStr">
        <is>
          <t>Rock Tomb pp</t>
        </is>
      </c>
      <c r="D3959" s="76" t="n">
        <v>15</v>
      </c>
      <c r="E3959" s="76" t="n">
        <v>10</v>
      </c>
      <c r="F3959" s="76" t="inlineStr">
        <is>
          <t>Differs from upstream baseline</t>
        </is>
      </c>
      <c r="G3959" s="76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6" t="inlineStr">
        <is>
          <t>2026-10-01</t>
        </is>
      </c>
      <c r="B3961" s="76" t="inlineStr">
        <is>
          <t>Moves</t>
        </is>
      </c>
      <c r="C3961" s="76" t="inlineStr">
        <is>
          <t>Rock Wrecker accuracy</t>
        </is>
      </c>
      <c r="D3961" s="76" t="n">
        <v>90</v>
      </c>
      <c r="E3961" s="76" t="n">
        <v>100</v>
      </c>
      <c r="F3961" s="76" t="inlineStr">
        <is>
          <t>Differs from upstream baseline</t>
        </is>
      </c>
      <c r="G3961" s="76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6" t="inlineStr">
        <is>
          <t>2026-10-01</t>
        </is>
      </c>
      <c r="B3963" s="76" t="inlineStr">
        <is>
          <t>Moves</t>
        </is>
      </c>
      <c r="C3963" s="76" t="inlineStr">
        <is>
          <t>Rolling Kick accuracy</t>
        </is>
      </c>
      <c r="D3963" s="76" t="n">
        <v>85</v>
      </c>
      <c r="E3963" s="76" t="n">
        <v>100</v>
      </c>
      <c r="F3963" s="76" t="inlineStr">
        <is>
          <t>Differs from upstream baseline</t>
        </is>
      </c>
      <c r="G3963" s="76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6" t="inlineStr">
        <is>
          <t>2026-10-01</t>
        </is>
      </c>
      <c r="B3965" s="76" t="inlineStr">
        <is>
          <t>Moves</t>
        </is>
      </c>
      <c r="C3965" s="76" t="inlineStr">
        <is>
          <t>Rollout accuracy</t>
        </is>
      </c>
      <c r="D3965" s="76" t="n">
        <v>90</v>
      </c>
      <c r="E3965" s="76" t="n">
        <v>100</v>
      </c>
      <c r="F3965" s="76" t="inlineStr">
        <is>
          <t>Differs from upstream baseline</t>
        </is>
      </c>
      <c r="G3965" s="76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6" t="inlineStr">
        <is>
          <t>2026-10-01</t>
        </is>
      </c>
      <c r="B3967" s="76" t="inlineStr">
        <is>
          <t>Moves</t>
        </is>
      </c>
      <c r="C3967" s="76" t="inlineStr">
        <is>
          <t>Roost pp</t>
        </is>
      </c>
      <c r="D3967" s="76" t="n">
        <v>5</v>
      </c>
      <c r="E3967" s="76" t="n">
        <v>8</v>
      </c>
      <c r="F3967" s="76" t="inlineStr">
        <is>
          <t>Differs from upstream baseline</t>
        </is>
      </c>
      <c r="G3967" s="76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6" t="inlineStr">
        <is>
          <t>2026-10-01</t>
        </is>
      </c>
      <c r="B3969" s="76" t="inlineStr">
        <is>
          <t>Moves</t>
        </is>
      </c>
      <c r="C3969" s="76" t="inlineStr">
        <is>
          <t>Sacred Fire power</t>
        </is>
      </c>
      <c r="D3969" s="76" t="n">
        <v>100</v>
      </c>
      <c r="E3969" s="76" t="n">
        <v>120</v>
      </c>
      <c r="F3969" s="76" t="inlineStr">
        <is>
          <t>Differs from upstream baseline</t>
        </is>
      </c>
      <c r="G3969" s="76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6" t="inlineStr">
        <is>
          <t>2026-10-01</t>
        </is>
      </c>
      <c r="B3971" s="76" t="inlineStr">
        <is>
          <t>Moves</t>
        </is>
      </c>
      <c r="C3971" s="76" t="inlineStr">
        <is>
          <t>Sacred Sword power</t>
        </is>
      </c>
      <c r="D3971" s="76" t="n">
        <v>90</v>
      </c>
      <c r="E3971" s="76" t="n">
        <v>95</v>
      </c>
      <c r="F3971" s="76" t="inlineStr">
        <is>
          <t>Differs from upstream baseline</t>
        </is>
      </c>
      <c r="G3971" s="76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6" t="inlineStr">
        <is>
          <t>2026-10-01</t>
        </is>
      </c>
      <c r="B3973" s="76" t="inlineStr">
        <is>
          <t>Moves</t>
        </is>
      </c>
      <c r="C3973" s="76" t="inlineStr">
        <is>
          <t>Sandstorm pp</t>
        </is>
      </c>
      <c r="D3973" s="76" t="n">
        <v>10</v>
      </c>
      <c r="E3973" s="76" t="n">
        <v>1</v>
      </c>
      <c r="F3973" s="76" t="inlineStr">
        <is>
          <t>Differs from upstream baseline</t>
        </is>
      </c>
      <c r="G3973" s="76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6" t="inlineStr">
        <is>
          <t>2026-10-01</t>
        </is>
      </c>
      <c r="B3975" s="76" t="inlineStr">
        <is>
          <t>Moves</t>
        </is>
      </c>
      <c r="C3975" s="76" t="inlineStr">
        <is>
          <t>Sand Tomb power</t>
        </is>
      </c>
      <c r="D3975" s="76" t="n">
        <v>35</v>
      </c>
      <c r="E3975" s="76" t="n">
        <v>90</v>
      </c>
      <c r="F3975" s="76" t="inlineStr">
        <is>
          <t>Differs from upstream baseline</t>
        </is>
      </c>
      <c r="G3975" s="76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6" t="inlineStr">
        <is>
          <t>2026-10-01</t>
        </is>
      </c>
      <c r="B3977" s="76" t="inlineStr">
        <is>
          <t>Moves</t>
        </is>
      </c>
      <c r="C3977" s="76" t="inlineStr">
        <is>
          <t>Screech accuracy</t>
        </is>
      </c>
      <c r="D3977" s="76" t="n">
        <v>85</v>
      </c>
      <c r="E3977" s="76" t="n">
        <v>100</v>
      </c>
      <c r="F3977" s="76" t="inlineStr">
        <is>
          <t>Differs from upstream baseline</t>
        </is>
      </c>
      <c r="G3977" s="76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6" t="inlineStr">
        <is>
          <t>2026-10-01</t>
        </is>
      </c>
      <c r="B3979" s="76" t="inlineStr">
        <is>
          <t>Moves</t>
        </is>
      </c>
      <c r="C3979" s="76" t="inlineStr">
        <is>
          <t>Secret Power power</t>
        </is>
      </c>
      <c r="D3979" s="76" t="n">
        <v>70</v>
      </c>
      <c r="E3979" s="76" t="n">
        <v>85</v>
      </c>
      <c r="F3979" s="76" t="inlineStr">
        <is>
          <t>Differs from upstream baseline</t>
        </is>
      </c>
      <c r="G3979" s="76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6" t="inlineStr">
        <is>
          <t>2026-10-01</t>
        </is>
      </c>
      <c r="B3981" s="76" t="inlineStr">
        <is>
          <t>Moves</t>
        </is>
      </c>
      <c r="C3981" s="76" t="inlineStr">
        <is>
          <t>Seed Flare accuracy</t>
        </is>
      </c>
      <c r="D3981" s="76" t="n">
        <v>85</v>
      </c>
      <c r="E3981" s="76" t="n">
        <v>100</v>
      </c>
      <c r="F3981" s="76" t="inlineStr">
        <is>
          <t>Differs from upstream baseline</t>
        </is>
      </c>
      <c r="G3981" s="76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6" t="inlineStr">
        <is>
          <t>2026-10-01</t>
        </is>
      </c>
      <c r="B3983" s="76" t="inlineStr">
        <is>
          <t>Moves</t>
        </is>
      </c>
      <c r="C3983" s="76" t="inlineStr">
        <is>
          <t>Shadow Claw power</t>
        </is>
      </c>
      <c r="D3983" s="76" t="n">
        <v>70</v>
      </c>
      <c r="E3983" s="76" t="n">
        <v>25</v>
      </c>
      <c r="F3983" s="76" t="inlineStr">
        <is>
          <t>Differs from upstream baseline</t>
        </is>
      </c>
      <c r="G3983" s="76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6" t="inlineStr">
        <is>
          <t>2026-10-01</t>
        </is>
      </c>
      <c r="B3985" s="76" t="inlineStr">
        <is>
          <t>Moves</t>
        </is>
      </c>
      <c r="C3985" s="76" t="inlineStr">
        <is>
          <t>Shadow Sneak pp</t>
        </is>
      </c>
      <c r="D3985" s="76" t="n">
        <v>30</v>
      </c>
      <c r="E3985" s="76" t="n">
        <v>10</v>
      </c>
      <c r="F3985" s="76" t="inlineStr">
        <is>
          <t>Differs from upstream baseline</t>
        </is>
      </c>
      <c r="G3985" s="76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6" t="inlineStr">
        <is>
          <t>2026-10-01</t>
        </is>
      </c>
      <c r="B3987" s="76" t="inlineStr">
        <is>
          <t>Moves</t>
        </is>
      </c>
      <c r="C3987" s="76" t="inlineStr">
        <is>
          <t>Sheer Cold power</t>
        </is>
      </c>
      <c r="D3987" s="76" t="n">
        <v>1</v>
      </c>
      <c r="E3987" s="76" t="n">
        <v>70</v>
      </c>
      <c r="F3987" s="76" t="inlineStr">
        <is>
          <t>Differs from upstream baseline</t>
        </is>
      </c>
      <c r="G3987" s="76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6" t="inlineStr">
        <is>
          <t>2026-10-01</t>
        </is>
      </c>
      <c r="B3989" s="76" t="inlineStr">
        <is>
          <t>Moves</t>
        </is>
      </c>
      <c r="C3989" s="76" t="inlineStr">
        <is>
          <t>Shell Smash pp</t>
        </is>
      </c>
      <c r="D3989" s="76" t="n">
        <v>15</v>
      </c>
      <c r="E3989" s="76" t="n">
        <v>3</v>
      </c>
      <c r="F3989" s="76" t="inlineStr">
        <is>
          <t>Differs from upstream baseline</t>
        </is>
      </c>
      <c r="G3989" s="76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6" t="inlineStr">
        <is>
          <t>2026-10-01</t>
        </is>
      </c>
      <c r="B3991" s="76" t="inlineStr">
        <is>
          <t>Moves</t>
        </is>
      </c>
      <c r="C3991" s="76" t="inlineStr">
        <is>
          <t>Shock Wave pp</t>
        </is>
      </c>
      <c r="D3991" s="76" t="n">
        <v>20</v>
      </c>
      <c r="E3991" s="76" t="n">
        <v>15</v>
      </c>
      <c r="F3991" s="76" t="inlineStr">
        <is>
          <t>Differs from upstream baseline</t>
        </is>
      </c>
      <c r="G3991" s="76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6" t="inlineStr">
        <is>
          <t>2026-10-01</t>
        </is>
      </c>
      <c r="B3993" s="76" t="inlineStr">
        <is>
          <t>Moves</t>
        </is>
      </c>
      <c r="C3993" s="76" t="inlineStr">
        <is>
          <t>Silver Wind power</t>
        </is>
      </c>
      <c r="D3993" s="76" t="n">
        <v>60</v>
      </c>
      <c r="E3993" s="76" t="n">
        <v>80</v>
      </c>
      <c r="F3993" s="76" t="inlineStr">
        <is>
          <t>Differs from upstream baseline</t>
        </is>
      </c>
      <c r="G3993" s="76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6" t="inlineStr">
        <is>
          <t>2026-10-01</t>
        </is>
      </c>
      <c r="B3995" s="76" t="inlineStr">
        <is>
          <t>Moves</t>
        </is>
      </c>
      <c r="C3995" s="76" t="inlineStr">
        <is>
          <t>Sing accuracy</t>
        </is>
      </c>
      <c r="D3995" s="76" t="n">
        <v>55</v>
      </c>
      <c r="E3995" s="76" t="n">
        <v>70</v>
      </c>
      <c r="F3995" s="76" t="inlineStr">
        <is>
          <t>Differs from upstream baseline</t>
        </is>
      </c>
      <c r="G3995" s="76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6" t="inlineStr">
        <is>
          <t>2026-10-01</t>
        </is>
      </c>
      <c r="B3997" s="76" t="inlineStr">
        <is>
          <t>Moves</t>
        </is>
      </c>
      <c r="C3997" s="76" t="inlineStr">
        <is>
          <t>Skill Swap pp</t>
        </is>
      </c>
      <c r="D3997" s="76" t="n">
        <v>10</v>
      </c>
      <c r="E3997" s="76" t="n">
        <v>2</v>
      </c>
      <c r="F3997" s="76" t="inlineStr">
        <is>
          <t>Differs from upstream baseline</t>
        </is>
      </c>
      <c r="G3997" s="76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6" t="inlineStr">
        <is>
          <t>2026-10-01</t>
        </is>
      </c>
      <c r="B3999" s="76" t="inlineStr">
        <is>
          <t>Moves</t>
        </is>
      </c>
      <c r="C3999" s="76" t="inlineStr">
        <is>
          <t>Sky Attack accuracy</t>
        </is>
      </c>
      <c r="D3999" s="76" t="n">
        <v>90</v>
      </c>
      <c r="E3999" s="76" t="n">
        <v>100</v>
      </c>
      <c r="F3999" s="76" t="inlineStr">
        <is>
          <t>Differs from upstream baseline</t>
        </is>
      </c>
      <c r="G3999" s="76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6" t="inlineStr">
        <is>
          <t>2026-10-01</t>
        </is>
      </c>
      <c r="B4001" s="76" t="inlineStr">
        <is>
          <t>Moves</t>
        </is>
      </c>
      <c r="C4001" s="76" t="inlineStr">
        <is>
          <t>Sky Uppercut power</t>
        </is>
      </c>
      <c r="D4001" s="76" t="n">
        <v>85</v>
      </c>
      <c r="E4001" s="76" t="n">
        <v>95</v>
      </c>
      <c r="F4001" s="76" t="inlineStr">
        <is>
          <t>Differs from upstream baseline</t>
        </is>
      </c>
      <c r="G4001" s="76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6" t="inlineStr">
        <is>
          <t>2026-10-01</t>
        </is>
      </c>
      <c r="B4003" s="76" t="inlineStr">
        <is>
          <t>Moves</t>
        </is>
      </c>
      <c r="C4003" s="76" t="inlineStr">
        <is>
          <t>Slack Off accuracy</t>
        </is>
      </c>
      <c r="D4003" s="76" t="n">
        <v>100</v>
      </c>
      <c r="E4003" s="76" t="n">
        <v>0</v>
      </c>
      <c r="F4003" s="76" t="inlineStr">
        <is>
          <t>Differs from upstream baseline</t>
        </is>
      </c>
      <c r="G4003" s="76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6" t="inlineStr">
        <is>
          <t>2026-10-01</t>
        </is>
      </c>
      <c r="B4005" s="76" t="inlineStr">
        <is>
          <t>Moves</t>
        </is>
      </c>
      <c r="C4005" s="76" t="inlineStr">
        <is>
          <t>Slam power</t>
        </is>
      </c>
      <c r="D4005" s="76" t="n">
        <v>80</v>
      </c>
      <c r="E4005" s="76" t="n">
        <v>120</v>
      </c>
      <c r="F4005" s="76" t="inlineStr">
        <is>
          <t>Differs from upstream baseline</t>
        </is>
      </c>
      <c r="G4005" s="76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6" t="inlineStr">
        <is>
          <t>2026-10-01</t>
        </is>
      </c>
      <c r="B4007" s="76" t="inlineStr">
        <is>
          <t>Moves</t>
        </is>
      </c>
      <c r="C4007" s="76" t="inlineStr">
        <is>
          <t>Slam pp</t>
        </is>
      </c>
      <c r="D4007" s="76" t="n">
        <v>20</v>
      </c>
      <c r="E4007" s="76" t="n">
        <v>8</v>
      </c>
      <c r="F4007" s="76" t="inlineStr">
        <is>
          <t>Differs from upstream baseline</t>
        </is>
      </c>
      <c r="G4007" s="76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6" t="inlineStr">
        <is>
          <t>2026-10-01</t>
        </is>
      </c>
      <c r="B4009" s="76" t="inlineStr">
        <is>
          <t>Moves</t>
        </is>
      </c>
      <c r="C4009" s="76" t="inlineStr">
        <is>
          <t>Sleep Talk pp</t>
        </is>
      </c>
      <c r="D4009" s="76" t="n">
        <v>10</v>
      </c>
      <c r="E4009" s="76" t="n">
        <v>20</v>
      </c>
      <c r="F4009" s="76" t="inlineStr">
        <is>
          <t>Differs from upstream baseline</t>
        </is>
      </c>
      <c r="G4009" s="76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6" t="inlineStr">
        <is>
          <t>2026-10-01</t>
        </is>
      </c>
      <c r="B4011" s="76" t="inlineStr">
        <is>
          <t>Moves</t>
        </is>
      </c>
      <c r="C4011" s="76" t="inlineStr">
        <is>
          <t>Sludge Bomb power</t>
        </is>
      </c>
      <c r="D4011" s="76" t="n">
        <v>90</v>
      </c>
      <c r="E4011" s="76" t="n">
        <v>95</v>
      </c>
      <c r="F4011" s="76" t="inlineStr">
        <is>
          <t>Differs from upstream baseline</t>
        </is>
      </c>
      <c r="G4011" s="76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6" t="inlineStr">
        <is>
          <t>2026-10-01</t>
        </is>
      </c>
      <c r="B4013" s="76" t="inlineStr">
        <is>
          <t>Moves</t>
        </is>
      </c>
      <c r="C4013" s="76" t="inlineStr">
        <is>
          <t>Smelling Salts power</t>
        </is>
      </c>
      <c r="D4013" s="76" t="n">
        <v>70</v>
      </c>
      <c r="E4013" s="76" t="n">
        <v>90</v>
      </c>
      <c r="F4013" s="76" t="inlineStr">
        <is>
          <t>Differs from upstream baseline</t>
        </is>
      </c>
      <c r="G4013" s="76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6" t="inlineStr">
        <is>
          <t>2026-10-01</t>
        </is>
      </c>
      <c r="B4015" s="76" t="inlineStr">
        <is>
          <t>Moves</t>
        </is>
      </c>
      <c r="C4015" s="76" t="inlineStr">
        <is>
          <t>Smog accuracy</t>
        </is>
      </c>
      <c r="D4015" s="76" t="n">
        <v>70</v>
      </c>
      <c r="E4015" s="76" t="n">
        <v>100</v>
      </c>
      <c r="F4015" s="76" t="inlineStr">
        <is>
          <t>Differs from upstream baseline</t>
        </is>
      </c>
      <c r="G4015" s="76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6" t="inlineStr">
        <is>
          <t>2026-10-01</t>
        </is>
      </c>
      <c r="B4017" s="76" t="inlineStr">
        <is>
          <t>Moves</t>
        </is>
      </c>
      <c r="C4017" s="76" t="inlineStr">
        <is>
          <t>Snarl power</t>
        </is>
      </c>
      <c r="D4017" s="76" t="n">
        <v>55</v>
      </c>
      <c r="E4017" s="76" t="n">
        <v>65</v>
      </c>
      <c r="F4017" s="76" t="inlineStr">
        <is>
          <t>Differs from upstream baseline</t>
        </is>
      </c>
      <c r="G4017" s="76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6" t="inlineStr">
        <is>
          <t>2026-10-01</t>
        </is>
      </c>
      <c r="B4019" s="76" t="inlineStr">
        <is>
          <t>Moves</t>
        </is>
      </c>
      <c r="C4019" s="76" t="inlineStr">
        <is>
          <t>Snore power</t>
        </is>
      </c>
      <c r="D4019" s="76" t="n">
        <v>50</v>
      </c>
      <c r="E4019" s="76" t="n">
        <v>80</v>
      </c>
      <c r="F4019" s="76" t="inlineStr">
        <is>
          <t>Differs from upstream baseline</t>
        </is>
      </c>
      <c r="G4019" s="76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6" t="inlineStr">
        <is>
          <t>2026-10-01</t>
        </is>
      </c>
      <c r="B4021" s="76" t="inlineStr">
        <is>
          <t>Moves</t>
        </is>
      </c>
      <c r="C4021" s="76" t="inlineStr">
        <is>
          <t>Soft-Boiled pp</t>
        </is>
      </c>
      <c r="D4021" s="76" t="n">
        <v>5</v>
      </c>
      <c r="E4021" s="76" t="n">
        <v>25</v>
      </c>
      <c r="F4021" s="76" t="inlineStr">
        <is>
          <t>Differs from upstream baseline</t>
        </is>
      </c>
      <c r="G4021" s="76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6" t="inlineStr">
        <is>
          <t>2026-10-01</t>
        </is>
      </c>
      <c r="B4023" s="76" t="inlineStr">
        <is>
          <t>Moves</t>
        </is>
      </c>
      <c r="C4023" s="76" t="inlineStr">
        <is>
          <t>Sonic Boom accuracy</t>
        </is>
      </c>
      <c r="D4023" s="76" t="n">
        <v>90</v>
      </c>
      <c r="E4023" s="76" t="n">
        <v>100</v>
      </c>
      <c r="F4023" s="76" t="inlineStr">
        <is>
          <t>Differs from upstream baseline</t>
        </is>
      </c>
      <c r="G4023" s="76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6" t="inlineStr">
        <is>
          <t>2026-10-01</t>
        </is>
      </c>
      <c r="B4025" s="76" t="inlineStr">
        <is>
          <t>Moves</t>
        </is>
      </c>
      <c r="C4025" s="76" t="inlineStr">
        <is>
          <t>Spacial Rend accuracy</t>
        </is>
      </c>
      <c r="D4025" s="76" t="n">
        <v>95</v>
      </c>
      <c r="E4025" s="76" t="n">
        <v>100</v>
      </c>
      <c r="F4025" s="76" t="inlineStr">
        <is>
          <t>Differs from upstream baseline</t>
        </is>
      </c>
      <c r="G4025" s="76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6" t="inlineStr">
        <is>
          <t>2026-10-01</t>
        </is>
      </c>
      <c r="B4027" s="76" t="inlineStr">
        <is>
          <t>Moves</t>
        </is>
      </c>
      <c r="C4027" s="76" t="inlineStr">
        <is>
          <t>Spike Cannon power</t>
        </is>
      </c>
      <c r="D4027" s="76" t="n">
        <v>20</v>
      </c>
      <c r="E4027" s="76" t="n">
        <v>35</v>
      </c>
      <c r="F4027" s="76" t="inlineStr">
        <is>
          <t>Differs from upstream baseline</t>
        </is>
      </c>
      <c r="G4027" s="76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6" t="inlineStr">
        <is>
          <t>2026-10-01</t>
        </is>
      </c>
      <c r="B4029" s="76" t="inlineStr">
        <is>
          <t>Moves</t>
        </is>
      </c>
      <c r="C4029" s="76" t="inlineStr">
        <is>
          <t>Steam Eruption power</t>
        </is>
      </c>
      <c r="D4029" s="76" t="n">
        <v>110</v>
      </c>
      <c r="E4029" s="76" t="n">
        <v>120</v>
      </c>
      <c r="F4029" s="76" t="inlineStr">
        <is>
          <t>Differs from upstream baseline</t>
        </is>
      </c>
      <c r="G4029" s="76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6" t="inlineStr">
        <is>
          <t>2026-10-01</t>
        </is>
      </c>
      <c r="B4031" s="76" t="inlineStr">
        <is>
          <t>Moves</t>
        </is>
      </c>
      <c r="C4031" s="76" t="inlineStr">
        <is>
          <t>Steel Wing accuracy</t>
        </is>
      </c>
      <c r="D4031" s="76" t="n">
        <v>90</v>
      </c>
      <c r="E4031" s="76" t="n">
        <v>100</v>
      </c>
      <c r="F4031" s="76" t="inlineStr">
        <is>
          <t>Differs from upstream baseline</t>
        </is>
      </c>
      <c r="G4031" s="76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6" t="inlineStr">
        <is>
          <t>2026-10-01</t>
        </is>
      </c>
      <c r="B4033" s="76" t="inlineStr">
        <is>
          <t>Moves</t>
        </is>
      </c>
      <c r="C4033" s="76" t="inlineStr">
        <is>
          <t>Stomp power</t>
        </is>
      </c>
      <c r="D4033" s="76" t="n">
        <v>65</v>
      </c>
      <c r="E4033" s="76" t="n">
        <v>90</v>
      </c>
      <c r="F4033" s="76" t="inlineStr">
        <is>
          <t>Differs from upstream baseline</t>
        </is>
      </c>
      <c r="G4033" s="76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6" t="inlineStr">
        <is>
          <t>2026-10-01</t>
        </is>
      </c>
      <c r="B4035" s="76" t="inlineStr">
        <is>
          <t>Moves</t>
        </is>
      </c>
      <c r="C4035" s="76" t="inlineStr">
        <is>
          <t>Stone Edge power</t>
        </is>
      </c>
      <c r="D4035" s="76" t="n">
        <v>100</v>
      </c>
      <c r="E4035" s="76" t="n">
        <v>120</v>
      </c>
      <c r="F4035" s="76" t="inlineStr">
        <is>
          <t>Differs from upstream baseline</t>
        </is>
      </c>
      <c r="G4035" s="76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6" t="inlineStr">
        <is>
          <t>2026-10-01</t>
        </is>
      </c>
      <c r="B4037" s="76" t="inlineStr">
        <is>
          <t>Moves</t>
        </is>
      </c>
      <c r="C4037" s="76" t="inlineStr">
        <is>
          <t>String Shot accuracy</t>
        </is>
      </c>
      <c r="D4037" s="76" t="n">
        <v>95</v>
      </c>
      <c r="E4037" s="76" t="n">
        <v>100</v>
      </c>
      <c r="F4037" s="76" t="inlineStr">
        <is>
          <t>Differs from upstream baseline</t>
        </is>
      </c>
      <c r="G4037" s="76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6" t="inlineStr">
        <is>
          <t>2026-10-01</t>
        </is>
      </c>
      <c r="B4039" s="76" t="inlineStr">
        <is>
          <t>Moves</t>
        </is>
      </c>
      <c r="C4039" s="76" t="inlineStr">
        <is>
          <t>Stun Spore accuracy</t>
        </is>
      </c>
      <c r="D4039" s="76" t="n">
        <v>75</v>
      </c>
      <c r="E4039" s="76" t="n">
        <v>90</v>
      </c>
      <c r="F4039" s="76" t="inlineStr">
        <is>
          <t>Differs from upstream baseline</t>
        </is>
      </c>
      <c r="G4039" s="76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6" t="inlineStr">
        <is>
          <t>2026-10-01</t>
        </is>
      </c>
      <c r="B4041" s="76" t="inlineStr">
        <is>
          <t>Moves</t>
        </is>
      </c>
      <c r="C4041" s="76" t="inlineStr">
        <is>
          <t>Submission accuracy</t>
        </is>
      </c>
      <c r="D4041" s="76" t="n">
        <v>80</v>
      </c>
      <c r="E4041" s="76" t="n">
        <v>100</v>
      </c>
      <c r="F4041" s="76" t="inlineStr">
        <is>
          <t>Differs from upstream baseline</t>
        </is>
      </c>
      <c r="G4041" s="76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6" t="inlineStr">
        <is>
          <t>2026-10-01</t>
        </is>
      </c>
      <c r="B4043" s="76" t="inlineStr">
        <is>
          <t>Moves</t>
        </is>
      </c>
      <c r="C4043" s="76" t="inlineStr">
        <is>
          <t>Substitute pp</t>
        </is>
      </c>
      <c r="D4043" s="76" t="n">
        <v>10</v>
      </c>
      <c r="E4043" s="76" t="n">
        <v>2</v>
      </c>
      <c r="F4043" s="76" t="inlineStr">
        <is>
          <t>Differs from upstream baseline</t>
        </is>
      </c>
      <c r="G4043" s="76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6" t="inlineStr">
        <is>
          <t>2026-10-01</t>
        </is>
      </c>
      <c r="B4045" s="76" t="inlineStr">
        <is>
          <t>Moves</t>
        </is>
      </c>
      <c r="C4045" s="76" t="inlineStr">
        <is>
          <t>Sunny Day pp</t>
        </is>
      </c>
      <c r="D4045" s="76" t="n">
        <v>5</v>
      </c>
      <c r="E4045" s="76" t="n">
        <v>1</v>
      </c>
      <c r="F4045" s="76" t="inlineStr">
        <is>
          <t>Differs from upstream baseline</t>
        </is>
      </c>
      <c r="G4045" s="76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6" t="inlineStr">
        <is>
          <t>2026-10-01</t>
        </is>
      </c>
      <c r="B4047" s="76" t="inlineStr">
        <is>
          <t>Moves</t>
        </is>
      </c>
      <c r="C4047" s="76" t="inlineStr">
        <is>
          <t>Supersonic accuracy</t>
        </is>
      </c>
      <c r="D4047" s="76" t="n">
        <v>55</v>
      </c>
      <c r="E4047" s="76" t="n">
        <v>70</v>
      </c>
      <c r="F4047" s="76" t="inlineStr">
        <is>
          <t>Differs from upstream baseline</t>
        </is>
      </c>
      <c r="G4047" s="76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6" t="inlineStr">
        <is>
          <t>2026-10-01</t>
        </is>
      </c>
      <c r="B4049" s="76" t="inlineStr">
        <is>
          <t>Moves</t>
        </is>
      </c>
      <c r="C4049" s="76" t="inlineStr">
        <is>
          <t>Super Fang type</t>
        </is>
      </c>
      <c r="D4049" s="76" t="inlineStr">
        <is>
          <t>TYPE_NORMAL</t>
        </is>
      </c>
      <c r="E4049" s="76" t="inlineStr">
        <is>
          <t>TYPE_DARK</t>
        </is>
      </c>
      <c r="F4049" s="76" t="inlineStr">
        <is>
          <t>Differs from upstream baseline</t>
        </is>
      </c>
      <c r="G4049" s="76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6" t="inlineStr">
        <is>
          <t>2026-10-01</t>
        </is>
      </c>
      <c r="B4051" s="76" t="inlineStr">
        <is>
          <t>Moves</t>
        </is>
      </c>
      <c r="C4051" s="76" t="inlineStr">
        <is>
          <t>Swagger accuracy</t>
        </is>
      </c>
      <c r="D4051" s="76" t="n">
        <v>85</v>
      </c>
      <c r="E4051" s="76" t="n">
        <v>100</v>
      </c>
      <c r="F4051" s="76" t="inlineStr">
        <is>
          <t>Differs from upstream baseline</t>
        </is>
      </c>
      <c r="G4051" s="76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6" t="inlineStr">
        <is>
          <t>2026-10-01</t>
        </is>
      </c>
      <c r="B4053" s="76" t="inlineStr">
        <is>
          <t>Moves</t>
        </is>
      </c>
      <c r="C4053" s="76" t="inlineStr">
        <is>
          <t>Swallow accuracy</t>
        </is>
      </c>
      <c r="D4053" s="76" t="n">
        <v>0</v>
      </c>
      <c r="E4053" s="76" t="n">
        <v>100</v>
      </c>
      <c r="F4053" s="76" t="inlineStr">
        <is>
          <t>Differs from upstream baseline</t>
        </is>
      </c>
      <c r="G4053" s="76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6" t="inlineStr">
        <is>
          <t>2026-10-01</t>
        </is>
      </c>
      <c r="B4055" s="76" t="inlineStr">
        <is>
          <t>Moves</t>
        </is>
      </c>
      <c r="C4055" s="76" t="inlineStr">
        <is>
          <t>Sweet Kiss accuracy</t>
        </is>
      </c>
      <c r="D4055" s="76" t="n">
        <v>75</v>
      </c>
      <c r="E4055" s="76" t="n">
        <v>100</v>
      </c>
      <c r="F4055" s="76" t="inlineStr">
        <is>
          <t>Differs from upstream baseline</t>
        </is>
      </c>
      <c r="G4055" s="76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6" t="inlineStr">
        <is>
          <t>2026-10-01</t>
        </is>
      </c>
      <c r="B4057" s="76" t="inlineStr">
        <is>
          <t>Moves</t>
        </is>
      </c>
      <c r="C4057" s="76" t="inlineStr">
        <is>
          <t>Swords Dance pp</t>
        </is>
      </c>
      <c r="D4057" s="76" t="n">
        <v>20</v>
      </c>
      <c r="E4057" s="76" t="n">
        <v>30</v>
      </c>
      <c r="F4057" s="76" t="inlineStr">
        <is>
          <t>Differs from upstream baseline</t>
        </is>
      </c>
      <c r="G4057" s="76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6" t="inlineStr">
        <is>
          <t>2026-10-01</t>
        </is>
      </c>
      <c r="B4059" s="76" t="inlineStr">
        <is>
          <t>Moves</t>
        </is>
      </c>
      <c r="C4059" s="76" t="inlineStr">
        <is>
          <t>Tailwind pp</t>
        </is>
      </c>
      <c r="D4059" s="76" t="n">
        <v>15</v>
      </c>
      <c r="E4059" s="76" t="n">
        <v>30</v>
      </c>
      <c r="F4059" s="76" t="inlineStr">
        <is>
          <t>Differs from upstream baseline</t>
        </is>
      </c>
      <c r="G4059" s="76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6" t="inlineStr">
        <is>
          <t>2026-10-01</t>
        </is>
      </c>
      <c r="B4061" s="76" t="inlineStr">
        <is>
          <t>Moves</t>
        </is>
      </c>
      <c r="C4061" s="76" t="inlineStr">
        <is>
          <t>Tail Slap accuracy</t>
        </is>
      </c>
      <c r="D4061" s="76" t="n">
        <v>85</v>
      </c>
      <c r="E4061" s="76" t="n">
        <v>95</v>
      </c>
      <c r="F4061" s="76" t="inlineStr">
        <is>
          <t>Differs from upstream baseline</t>
        </is>
      </c>
      <c r="G4061" s="76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6" t="inlineStr">
        <is>
          <t>2026-10-01</t>
        </is>
      </c>
      <c r="B4063" s="76" t="inlineStr">
        <is>
          <t>Moves</t>
        </is>
      </c>
      <c r="C4063" s="76" t="inlineStr">
        <is>
          <t>Take Down accuracy</t>
        </is>
      </c>
      <c r="D4063" s="76" t="n">
        <v>85</v>
      </c>
      <c r="E4063" s="76" t="n">
        <v>100</v>
      </c>
      <c r="F4063" s="76" t="inlineStr">
        <is>
          <t>Differs from upstream baseline</t>
        </is>
      </c>
      <c r="G4063" s="76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6" t="inlineStr">
        <is>
          <t>2026-10-01</t>
        </is>
      </c>
      <c r="B4065" s="76" t="inlineStr">
        <is>
          <t>Moves</t>
        </is>
      </c>
      <c r="C4065" s="76" t="inlineStr">
        <is>
          <t>Thief power</t>
        </is>
      </c>
      <c r="D4065" s="76" t="n">
        <v>60</v>
      </c>
      <c r="E4065" s="76" t="n">
        <v>40</v>
      </c>
      <c r="F4065" s="76" t="inlineStr">
        <is>
          <t>Differs from upstream baseline</t>
        </is>
      </c>
      <c r="G4065" s="76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6" t="inlineStr">
        <is>
          <t>2026-10-01</t>
        </is>
      </c>
      <c r="B4067" s="76" t="inlineStr">
        <is>
          <t>Moves</t>
        </is>
      </c>
      <c r="C4067" s="76" t="inlineStr">
        <is>
          <t>Thousand Arrows power</t>
        </is>
      </c>
      <c r="D4067" s="76" t="n">
        <v>90</v>
      </c>
      <c r="E4067" s="76" t="n">
        <v>95</v>
      </c>
      <c r="F4067" s="76" t="inlineStr">
        <is>
          <t>Differs from upstream baseline</t>
        </is>
      </c>
      <c r="G4067" s="76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6" t="inlineStr">
        <is>
          <t>2026-10-01</t>
        </is>
      </c>
      <c r="B4069" s="76" t="inlineStr">
        <is>
          <t>Moves</t>
        </is>
      </c>
      <c r="C4069" s="76" t="inlineStr">
        <is>
          <t>Thrash pp</t>
        </is>
      </c>
      <c r="D4069" s="76" t="n">
        <v>10</v>
      </c>
      <c r="E4069" s="76" t="n">
        <v>20</v>
      </c>
      <c r="F4069" s="76" t="inlineStr">
        <is>
          <t>Differs from upstream baseline</t>
        </is>
      </c>
      <c r="G4069" s="76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6" t="inlineStr">
        <is>
          <t>2026-10-01</t>
        </is>
      </c>
      <c r="B4071" s="76" t="inlineStr">
        <is>
          <t>Moves</t>
        </is>
      </c>
      <c r="C4071" s="76" t="inlineStr">
        <is>
          <t>Thunderbolt power</t>
        </is>
      </c>
      <c r="D4071" s="76" t="n">
        <v>90</v>
      </c>
      <c r="E4071" s="76" t="n">
        <v>95</v>
      </c>
      <c r="F4071" s="76" t="inlineStr">
        <is>
          <t>Differs from upstream baseline</t>
        </is>
      </c>
      <c r="G4071" s="76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6" t="inlineStr">
        <is>
          <t>2026-10-01</t>
        </is>
      </c>
      <c r="B4073" s="76" t="inlineStr">
        <is>
          <t>Moves</t>
        </is>
      </c>
      <c r="C4073" s="76" t="inlineStr">
        <is>
          <t>Thunder Fang accuracy</t>
        </is>
      </c>
      <c r="D4073" s="76" t="n">
        <v>95</v>
      </c>
      <c r="E4073" s="76" t="n">
        <v>100</v>
      </c>
      <c r="F4073" s="76" t="inlineStr">
        <is>
          <t>Differs from upstream baseline</t>
        </is>
      </c>
      <c r="G4073" s="76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6" t="inlineStr">
        <is>
          <t>2026-10-01</t>
        </is>
      </c>
      <c r="B4075" s="76" t="inlineStr">
        <is>
          <t>Moves</t>
        </is>
      </c>
      <c r="C4075" s="76" t="inlineStr">
        <is>
          <t>Thunder Wave accuracy</t>
        </is>
      </c>
      <c r="D4075" s="76" t="n">
        <v>90</v>
      </c>
      <c r="E4075" s="76" t="n">
        <v>100</v>
      </c>
      <c r="F4075" s="76" t="inlineStr">
        <is>
          <t>Differs from upstream baseline</t>
        </is>
      </c>
      <c r="G4075" s="76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6" t="inlineStr">
        <is>
          <t>2026-10-01</t>
        </is>
      </c>
      <c r="B4077" s="76" t="inlineStr">
        <is>
          <t>Moves</t>
        </is>
      </c>
      <c r="C4077" s="76" t="inlineStr">
        <is>
          <t>Toxic accuracy</t>
        </is>
      </c>
      <c r="D4077" s="76" t="n">
        <v>90</v>
      </c>
      <c r="E4077" s="76" t="n">
        <v>100</v>
      </c>
      <c r="F4077" s="76" t="inlineStr">
        <is>
          <t>Differs from upstream baseline</t>
        </is>
      </c>
      <c r="G4077" s="76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6" t="inlineStr">
        <is>
          <t>2026-10-01</t>
        </is>
      </c>
      <c r="B4079" s="76" t="inlineStr">
        <is>
          <t>Moves</t>
        </is>
      </c>
      <c r="C4079" s="76" t="inlineStr">
        <is>
          <t>Triple Axel power</t>
        </is>
      </c>
      <c r="D4079" s="76" t="n">
        <v>20</v>
      </c>
      <c r="E4079" s="76" t="n">
        <v>40</v>
      </c>
      <c r="F4079" s="76" t="inlineStr">
        <is>
          <t>Differs from upstream baseline</t>
        </is>
      </c>
      <c r="G4079" s="76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6" t="inlineStr">
        <is>
          <t>2026-10-01</t>
        </is>
      </c>
      <c r="B4081" s="76" t="inlineStr">
        <is>
          <t>Moves</t>
        </is>
      </c>
      <c r="C4081" s="76" t="inlineStr">
        <is>
          <t>Triple Axel pp</t>
        </is>
      </c>
      <c r="D4081" s="76" t="n">
        <v>10</v>
      </c>
      <c r="E4081" s="76" t="n">
        <v>15</v>
      </c>
      <c r="F4081" s="76" t="inlineStr">
        <is>
          <t>Differs from upstream baseline</t>
        </is>
      </c>
      <c r="G4081" s="76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6" t="inlineStr">
        <is>
          <t>2026-10-01</t>
        </is>
      </c>
      <c r="B4083" s="76" t="inlineStr">
        <is>
          <t>Moves</t>
        </is>
      </c>
      <c r="C4083" s="76" t="inlineStr">
        <is>
          <t>Triple Kick accuracy</t>
        </is>
      </c>
      <c r="D4083" s="76" t="n">
        <v>90</v>
      </c>
      <c r="E4083" s="76" t="n">
        <v>100</v>
      </c>
      <c r="F4083" s="76" t="inlineStr">
        <is>
          <t>Differs from upstream baseline</t>
        </is>
      </c>
      <c r="G4083" s="76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6" t="inlineStr">
        <is>
          <t>2026-10-01</t>
        </is>
      </c>
      <c r="B4085" s="76" t="inlineStr">
        <is>
          <t>Moves</t>
        </is>
      </c>
      <c r="C4085" s="76" t="inlineStr">
        <is>
          <t>Trump Card pp</t>
        </is>
      </c>
      <c r="D4085" s="76" t="n">
        <v>5</v>
      </c>
      <c r="E4085" s="76" t="n">
        <v>1</v>
      </c>
      <c r="F4085" s="76" t="inlineStr">
        <is>
          <t>Differs from upstream baseline</t>
        </is>
      </c>
      <c r="G4085" s="76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6" t="inlineStr">
        <is>
          <t>2026-10-01</t>
        </is>
      </c>
      <c r="B4087" s="76" t="inlineStr">
        <is>
          <t>Moves</t>
        </is>
      </c>
      <c r="C4087" s="76" t="inlineStr">
        <is>
          <t>Twister power</t>
        </is>
      </c>
      <c r="D4087" s="76" t="n">
        <v>40</v>
      </c>
      <c r="E4087" s="76" t="n">
        <v>90</v>
      </c>
      <c r="F4087" s="76" t="inlineStr">
        <is>
          <t>Differs from upstream baseline</t>
        </is>
      </c>
      <c r="G4087" s="76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6" t="inlineStr">
        <is>
          <t>2026-10-01</t>
        </is>
      </c>
      <c r="B4089" s="76" t="inlineStr">
        <is>
          <t>Moves</t>
        </is>
      </c>
      <c r="C4089" s="76" t="inlineStr">
        <is>
          <t>Uproar power</t>
        </is>
      </c>
      <c r="D4089" s="76" t="n">
        <v>90</v>
      </c>
      <c r="E4089" s="76" t="n">
        <v>50</v>
      </c>
      <c r="F4089" s="76" t="inlineStr">
        <is>
          <t>Differs from upstream baseline</t>
        </is>
      </c>
      <c r="G4089" s="76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6" t="inlineStr">
        <is>
          <t>2026-10-01</t>
        </is>
      </c>
      <c r="B4091" s="76" t="inlineStr">
        <is>
          <t>Moves</t>
        </is>
      </c>
      <c r="C4091" s="76" t="inlineStr">
        <is>
          <t>Venoshock power</t>
        </is>
      </c>
      <c r="D4091" s="76" t="n">
        <v>65</v>
      </c>
      <c r="E4091" s="76" t="n">
        <v>75</v>
      </c>
      <c r="F4091" s="76" t="inlineStr">
        <is>
          <t>Differs from upstream baseline</t>
        </is>
      </c>
      <c r="G4091" s="76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6" t="inlineStr">
        <is>
          <t>2026-10-01</t>
        </is>
      </c>
      <c r="B4093" s="76" t="inlineStr">
        <is>
          <t>Moves</t>
        </is>
      </c>
      <c r="C4093" s="76" t="inlineStr">
        <is>
          <t>Vine Whip pp</t>
        </is>
      </c>
      <c r="D4093" s="76" t="n">
        <v>25</v>
      </c>
      <c r="E4093" s="76" t="n">
        <v>15</v>
      </c>
      <c r="F4093" s="76" t="inlineStr">
        <is>
          <t>Differs from upstream baseline</t>
        </is>
      </c>
      <c r="G4093" s="76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6" t="inlineStr">
        <is>
          <t>2026-10-01</t>
        </is>
      </c>
      <c r="B4095" s="76" t="inlineStr">
        <is>
          <t>Moves</t>
        </is>
      </c>
      <c r="C4095" s="76" t="inlineStr">
        <is>
          <t>Vital Throw power</t>
        </is>
      </c>
      <c r="D4095" s="76" t="n">
        <v>70</v>
      </c>
      <c r="E4095" s="76" t="n">
        <v>90</v>
      </c>
      <c r="F4095" s="76" t="inlineStr">
        <is>
          <t>Differs from upstream baseline</t>
        </is>
      </c>
      <c r="G4095" s="76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6" t="inlineStr">
        <is>
          <t>2026-10-01</t>
        </is>
      </c>
      <c r="B4097" s="76" t="inlineStr">
        <is>
          <t>Moves</t>
        </is>
      </c>
      <c r="C4097" s="76" t="inlineStr">
        <is>
          <t>Volt Tackle power</t>
        </is>
      </c>
      <c r="D4097" s="76" t="n">
        <v>120</v>
      </c>
      <c r="E4097" s="76" t="n">
        <v>150</v>
      </c>
      <c r="F4097" s="76" t="inlineStr">
        <is>
          <t>Differs from upstream baseline</t>
        </is>
      </c>
      <c r="G4097" s="76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6" t="inlineStr">
        <is>
          <t>2026-10-01</t>
        </is>
      </c>
      <c r="B4099" s="76" t="inlineStr">
        <is>
          <t>Moves</t>
        </is>
      </c>
      <c r="C4099" s="76" t="inlineStr">
        <is>
          <t>Wake-Up Slap power</t>
        </is>
      </c>
      <c r="D4099" s="76" t="n">
        <v>70</v>
      </c>
      <c r="E4099" s="76" t="n">
        <v>60</v>
      </c>
      <c r="F4099" s="76" t="inlineStr">
        <is>
          <t>Differs from upstream baseline</t>
        </is>
      </c>
      <c r="G4099" s="76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6" t="inlineStr">
        <is>
          <t>2026-10-01</t>
        </is>
      </c>
      <c r="B4101" s="76" t="inlineStr">
        <is>
          <t>Moves</t>
        </is>
      </c>
      <c r="C4101" s="76" t="inlineStr">
        <is>
          <t>Water Shuriken power</t>
        </is>
      </c>
      <c r="D4101" s="76" t="n">
        <v>15</v>
      </c>
      <c r="E4101" s="76" t="n">
        <v>20</v>
      </c>
      <c r="F4101" s="76" t="inlineStr">
        <is>
          <t>Differs from upstream baseline</t>
        </is>
      </c>
      <c r="G4101" s="76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6" t="inlineStr">
        <is>
          <t>2026-10-01</t>
        </is>
      </c>
      <c r="B4103" s="76" t="inlineStr">
        <is>
          <t>Moves</t>
        </is>
      </c>
      <c r="C4103" s="76" t="inlineStr">
        <is>
          <t>Whirlpool accuracy</t>
        </is>
      </c>
      <c r="D4103" s="76" t="n">
        <v>85</v>
      </c>
      <c r="E4103" s="76" t="n">
        <v>100</v>
      </c>
      <c r="F4103" s="76" t="inlineStr">
        <is>
          <t>Differs from upstream baseline</t>
        </is>
      </c>
      <c r="G4103" s="76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6" t="inlineStr">
        <is>
          <t>2026-10-01</t>
        </is>
      </c>
      <c r="B4105" s="76" t="inlineStr">
        <is>
          <t>Moves</t>
        </is>
      </c>
      <c r="C4105" s="76" t="inlineStr">
        <is>
          <t>Wild Charge power</t>
        </is>
      </c>
      <c r="D4105" s="76" t="n">
        <v>90</v>
      </c>
      <c r="E4105" s="76" t="n">
        <v>120</v>
      </c>
      <c r="F4105" s="76" t="inlineStr">
        <is>
          <t>Differs from upstream baseline</t>
        </is>
      </c>
      <c r="G4105" s="76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6" t="inlineStr">
        <is>
          <t>2026-10-01</t>
        </is>
      </c>
      <c r="B4107" s="76" t="inlineStr">
        <is>
          <t>Moves</t>
        </is>
      </c>
      <c r="C4107" s="76" t="inlineStr">
        <is>
          <t>Will-O-Wisp accuracy</t>
        </is>
      </c>
      <c r="D4107" s="76" t="n">
        <v>85</v>
      </c>
      <c r="E4107" s="76" t="n">
        <v>90</v>
      </c>
      <c r="F4107" s="76" t="inlineStr">
        <is>
          <t>Differs from upstream baseline</t>
        </is>
      </c>
      <c r="G4107" s="76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6" t="inlineStr">
        <is>
          <t>2026-10-01</t>
        </is>
      </c>
      <c r="B4109" s="76" t="inlineStr">
        <is>
          <t>Moves</t>
        </is>
      </c>
      <c r="C4109" s="76" t="inlineStr">
        <is>
          <t>Work Up pp</t>
        </is>
      </c>
      <c r="D4109" s="76" t="n">
        <v>30</v>
      </c>
      <c r="E4109" s="76" t="n">
        <v>15</v>
      </c>
      <c r="F4109" s="76" t="inlineStr">
        <is>
          <t>Differs from upstream baseline</t>
        </is>
      </c>
      <c r="G4109" s="76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6" t="inlineStr">
        <is>
          <t>2026-10-01</t>
        </is>
      </c>
      <c r="B4111" s="76" t="inlineStr">
        <is>
          <t>Moves</t>
        </is>
      </c>
      <c r="C4111" s="76" t="inlineStr">
        <is>
          <t>Wring Out power</t>
        </is>
      </c>
      <c r="D4111" s="76" t="n">
        <v>120</v>
      </c>
      <c r="E4111" s="76" t="n">
        <v>75</v>
      </c>
      <c r="F4111" s="76" t="inlineStr">
        <is>
          <t>Differs from upstream baseline</t>
        </is>
      </c>
      <c r="G4111" s="76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6" t="inlineStr">
        <is>
          <t>2026-10-01</t>
        </is>
      </c>
      <c r="B4113" s="76" t="inlineStr">
        <is>
          <t>Moves</t>
        </is>
      </c>
      <c r="C4113" s="76" t="inlineStr">
        <is>
          <t>Zen Headbutt accuracy</t>
        </is>
      </c>
      <c r="D4113" s="76" t="n">
        <v>90</v>
      </c>
      <c r="E4113" s="76" t="n">
        <v>100</v>
      </c>
      <c r="F4113" s="76" t="inlineStr">
        <is>
          <t>Differs from upstream baseline</t>
        </is>
      </c>
      <c r="G4113" s="76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</sheetData>
  <autoFilter ref="A1:G41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2026-10-01T21:37:34Z</dcterms:created>
  <dcterms:modified xmlns:dcterms="http://purl.org/dc/terms/" xmlns:xsi="http://www.w3.org/2001/XMLSchema-instance" xsi:type="dcterms:W3CDTF">2026-10-01T21:38:49Z</dcterms:modified>
</cp:coreProperties>
</file>